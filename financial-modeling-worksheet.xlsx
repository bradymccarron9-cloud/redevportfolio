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135\Downloads\"/>
    </mc:Choice>
  </mc:AlternateContent>
  <xr:revisionPtr revIDLastSave="0" documentId="8_{C3E9FF05-EBB8-491E-9B62-AED525F65BC3}" xr6:coauthVersionLast="47" xr6:coauthVersionMax="47" xr10:uidLastSave="{00000000-0000-0000-0000-000000000000}"/>
  <bookViews>
    <workbookView xWindow="-110" yWindow="-110" windowWidth="19420" windowHeight="11500" tabRatio="770" activeTab="2" xr2:uid="{9BB157EE-D72D-4EB0-9497-049D18C027DA}"/>
  </bookViews>
  <sheets>
    <sheet name="Transaction Summary" sheetId="14" r:id="rId1"/>
    <sheet name="Inputs &amp; Drivers" sheetId="6" r:id="rId2"/>
    <sheet name="Model" sheetId="7" r:id="rId3"/>
    <sheet name="Development Budget" sheetId="15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123Graph_A" hidden="1">[1]P!#REF!</definedName>
    <definedName name="__123Graph_AChart1" hidden="1">[1]P!#REF!</definedName>
    <definedName name="__123Graph_ACurrent" hidden="1">[1]P!#REF!</definedName>
    <definedName name="__123Graph_AGATHERING" hidden="1">[2]COC!#REF!</definedName>
    <definedName name="__123Graph_B" hidden="1">[3]XOM!#REF!</definedName>
    <definedName name="__123Graph_BSPREADS" hidden="1">[4]TSO!#REF!</definedName>
    <definedName name="__123Graph_X" hidden="1">[3]XOM!#REF!</definedName>
    <definedName name="__123Graph_XChart1" hidden="1">[5]P!$R$29:$AK$29</definedName>
    <definedName name="__123Graph_XCurrent" hidden="1">[5]P!$R$29:$AK$29</definedName>
    <definedName name="__123Graph_XGATHERING" hidden="1">[2]COC!#REF!</definedName>
    <definedName name="__FDS_HYPERLINK_TOGGLE_STATE__" hidden="1">"ON"</definedName>
    <definedName name="_10__123Graph_BGASOLINE\_2" hidden="1">[4]TSO!#REF!</definedName>
    <definedName name="_12__123Graph_XGASOLINE\_2" hidden="1">[4]TSO!#REF!</definedName>
    <definedName name="_13__123Graph_XLIQUIDS" hidden="1">[5]P!$R$29:$AK$29</definedName>
    <definedName name="_15__123Graph_XOP_COSTS" hidden="1">[4]TSO!#REF!</definedName>
    <definedName name="_16__123Graph_XR_M_MARG" hidden="1">[5]P!$R$29:$AK$29</definedName>
    <definedName name="_2__123Graph_AGASOLINE\_2" hidden="1">[4]TSO!#REF!</definedName>
    <definedName name="_4__123Graph_ALIQUIDS" hidden="1">[6]COP!#REF!</definedName>
    <definedName name="_6__123Graph_AOP_COSTS" hidden="1">[4]TSO!#REF!</definedName>
    <definedName name="_8__123Graph_AR_M_MARG" hidden="1">[1]P!#REF!</definedName>
    <definedName name="_bdm.27A67F90C7C644ABA5AEE92323AE8841.edm" hidden="1">'[7]New Source Charts'!$A:$IV</definedName>
    <definedName name="_bdm.2F994D6394314D65966806B0027B7ED0.edm" hidden="1">[8]Plants!$A:$IV</definedName>
    <definedName name="_bdm.3D459AB342314C87AF28EE2023B5B5D2.edm" hidden="1">[7]Modelware!$A:$IV</definedName>
    <definedName name="_bdm.4AF7B9937D644F5F89369844785EF279.edm" hidden="1">[8]VeraSun!$A:$IV</definedName>
    <definedName name="_bdm.51DB0A22AC534FDAAE0186334B0F5CC7.edm" hidden="1">#REF!</definedName>
    <definedName name="_bdm.556C0F41CE9F461F93C646A4B737FE37.edm" hidden="1">'[8]Forecast Change'!$A:$IV</definedName>
    <definedName name="_bdm.6A05919F37494F38ACE807AC7DE0AF1C.edm" hidden="1">#REF!</definedName>
    <definedName name="_bdm.6C3127543B3B4F248937555D27DB740A.edm" hidden="1">[9]PXP!$A:$IV</definedName>
    <definedName name="_bdm.80AA8F96F3EC41DCA0719BEA7F3C72E4.edm" hidden="1">'[7]Segment ROCE'!$A:$IV</definedName>
    <definedName name="_bdm.A167D12DAE3248FDB8A1CC583636203E.edm" hidden="1">#REF!</definedName>
    <definedName name="_bdm.AA6C2D22BE3E4F2895813DA1409C2ED5.edm" hidden="1">[7]BS!$A:$IV</definedName>
    <definedName name="_bdm.B187957A40074E88B68BA9B13084EB53.edm" hidden="1">[7]COP!$A:$IV</definedName>
    <definedName name="_bdm.B2DA56CA5AA740E6AFBE3497C6982B4B.edm" hidden="1">'[7]R&amp;MIS'!$A:$IV</definedName>
    <definedName name="_bdm.BC1DD9D4902146ED81E611A5BC71C3AD.edm" hidden="1">[8]INPUTS!$A:$IV</definedName>
    <definedName name="_bdm.FD343515BA234434BE623D650D6B8A99.edm" hidden="1">'[7]E&amp;P Growth &amp; Returns'!$A:$IV</definedName>
    <definedName name="ab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beta_observed">#REF!</definedName>
    <definedName name="beta_unlev_comps">#REF!</definedName>
    <definedName name="conversionfactor">'[10]E&amp;P'!$D$6</definedName>
    <definedName name="convfactor">#REF!</definedName>
    <definedName name="costdebtfirm">#REF!</definedName>
    <definedName name="costequity">#REF!</definedName>
    <definedName name="days_per_year">#REF!</definedName>
    <definedName name="debt">#REF!</definedName>
    <definedName name="debt_weight">#REF!</definedName>
    <definedName name="market_equity">#REF!</definedName>
    <definedName name="relevered_beta">#REF!</definedName>
    <definedName name="risk_free_rate">#REF!</definedName>
    <definedName name="risk_premium">#REF!</definedName>
    <definedName name="stubyear">#REF!</definedName>
    <definedName name="totalcap">#REF!</definedName>
    <definedName name="wacc">#REF!</definedName>
    <definedName name="wrn.2._.pagers." hidden="1">{"Cover",#N/A,FALSE,"Cover";"Summary",#N/A,FALSE,"Summarpage"}</definedName>
    <definedName name="wrn.allpages." hidden="1">{#N/A,#N/A,TRUE,"Historicals";#N/A,#N/A,TRUE,"Charts";#N/A,#N/A,TRUE,"Forecasts"}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LBO._.Summary." hidden="1">{"LBO Summary",#N/A,FALSE,"Summary"}</definedName>
    <definedName name="wrn.MOBIL." hidden="1">{"quarter",#N/A,FALSE,"MOB"}</definedName>
    <definedName name="wrn.print._.all.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offshore." hidden="1">{"off_at",#N/A,FALSE,"Off AT POT";"off_bt",#N/A,FALSE,"Off POT"}</definedName>
    <definedName name="wrn.Pulp." hidden="1">{"Pulp Production",#N/A,FALSE,"Pulp";"Pulp Earnings",#N/A,FALSE,"Pulp"}</definedName>
  </definedNames>
  <calcPr calcId="191029" calcMode="autoNoTable" iterate="1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80" i="14" l="1"/>
  <c r="J78" i="14"/>
  <c r="J74" i="14"/>
  <c r="J73" i="14"/>
  <c r="J72" i="14"/>
  <c r="J70" i="14"/>
  <c r="J68" i="14"/>
  <c r="J67" i="14"/>
  <c r="J66" i="14"/>
  <c r="J64" i="14"/>
  <c r="J63" i="14"/>
  <c r="J65" i="14" s="1"/>
  <c r="I80" i="14"/>
  <c r="I78" i="14"/>
  <c r="I74" i="14"/>
  <c r="I73" i="14"/>
  <c r="I72" i="14"/>
  <c r="I70" i="14"/>
  <c r="I68" i="14"/>
  <c r="I67" i="14"/>
  <c r="I66" i="14"/>
  <c r="I64" i="14"/>
  <c r="I63" i="14"/>
  <c r="H80" i="14"/>
  <c r="H78" i="14"/>
  <c r="H74" i="14"/>
  <c r="H73" i="14"/>
  <c r="H72" i="14"/>
  <c r="H70" i="14"/>
  <c r="H68" i="14"/>
  <c r="H67" i="14"/>
  <c r="H66" i="14"/>
  <c r="H64" i="14"/>
  <c r="H65" i="14" s="1"/>
  <c r="H63" i="14"/>
  <c r="G80" i="14"/>
  <c r="G78" i="14"/>
  <c r="G74" i="14"/>
  <c r="G73" i="14"/>
  <c r="G72" i="14"/>
  <c r="G70" i="14"/>
  <c r="G68" i="14"/>
  <c r="G67" i="14"/>
  <c r="G66" i="14"/>
  <c r="G64" i="14"/>
  <c r="G63" i="14"/>
  <c r="G65" i="14" s="1"/>
  <c r="F80" i="14"/>
  <c r="F78" i="14"/>
  <c r="F74" i="14"/>
  <c r="F73" i="14"/>
  <c r="F72" i="14"/>
  <c r="F70" i="14"/>
  <c r="F68" i="14"/>
  <c r="F67" i="14"/>
  <c r="F66" i="14"/>
  <c r="F64" i="14"/>
  <c r="E80" i="14"/>
  <c r="E78" i="14"/>
  <c r="E70" i="14"/>
  <c r="E68" i="14"/>
  <c r="E67" i="14"/>
  <c r="E66" i="14"/>
  <c r="E64" i="14"/>
  <c r="E63" i="14"/>
  <c r="F63" i="14"/>
  <c r="F65" i="14" s="1"/>
  <c r="F95" i="7" a="1"/>
  <c r="F95" i="7" s="1"/>
  <c r="F94" i="7" a="1"/>
  <c r="F94" i="7" s="1"/>
  <c r="F93" i="7" a="1"/>
  <c r="F93" i="7" s="1"/>
  <c r="F92" i="7" a="1"/>
  <c r="F92" i="7" s="1"/>
  <c r="F91" i="7" a="1"/>
  <c r="F91" i="7" s="1"/>
  <c r="F90" i="7" a="1"/>
  <c r="F90" i="7" s="1"/>
  <c r="F86" i="7" a="1"/>
  <c r="F86" i="7" s="1"/>
  <c r="F77" i="7" a="1"/>
  <c r="F77" i="7" s="1"/>
  <c r="F76" i="7" a="1"/>
  <c r="F76" i="7" s="1"/>
  <c r="F75" i="7" a="1"/>
  <c r="F75" i="7" s="1"/>
  <c r="F74" i="7" a="1"/>
  <c r="F74" i="7" s="1"/>
  <c r="F73" i="7" a="1"/>
  <c r="F73" i="7" s="1"/>
  <c r="F72" i="7" a="1"/>
  <c r="F72" i="7" s="1"/>
  <c r="F71" i="7" a="1"/>
  <c r="F71" i="7" s="1"/>
  <c r="F70" i="7" a="1"/>
  <c r="F70" i="7" s="1"/>
  <c r="F69" i="7" a="1"/>
  <c r="F69" i="7" s="1"/>
  <c r="CE20" i="7"/>
  <c r="CE23" i="7" s="1"/>
  <c r="CE22" i="7"/>
  <c r="CE24" i="7"/>
  <c r="CF22" i="7" s="1"/>
  <c r="CF20" i="7" s="1"/>
  <c r="CF23" i="7" s="1"/>
  <c r="CF24" i="7" s="1"/>
  <c r="CG22" i="7" s="1"/>
  <c r="CG20" i="7" s="1"/>
  <c r="CG23" i="7" s="1"/>
  <c r="CG24" i="7" s="1"/>
  <c r="CH22" i="7" s="1"/>
  <c r="CH20" i="7" s="1"/>
  <c r="CH23" i="7" s="1"/>
  <c r="CH24" i="7" s="1"/>
  <c r="CI22" i="7" s="1"/>
  <c r="CI20" i="7" s="1"/>
  <c r="CI23" i="7" s="1"/>
  <c r="CI24" i="7" s="1"/>
  <c r="CJ22" i="7" s="1"/>
  <c r="CJ20" i="7" s="1"/>
  <c r="CJ23" i="7" s="1"/>
  <c r="CJ24" i="7" s="1"/>
  <c r="CK22" i="7" s="1"/>
  <c r="CK20" i="7" s="1"/>
  <c r="CK23" i="7" s="1"/>
  <c r="CK24" i="7" s="1"/>
  <c r="CL22" i="7" s="1"/>
  <c r="CL20" i="7" s="1"/>
  <c r="CL23" i="7" s="1"/>
  <c r="CL24" i="7" s="1"/>
  <c r="CM22" i="7" s="1"/>
  <c r="CM20" i="7" s="1"/>
  <c r="CM23" i="7" s="1"/>
  <c r="CM24" i="7" s="1"/>
  <c r="CN22" i="7" s="1"/>
  <c r="CN20" i="7" s="1"/>
  <c r="CN23" i="7" s="1"/>
  <c r="CN24" i="7" s="1"/>
  <c r="CO22" i="7" s="1"/>
  <c r="CO20" i="7" s="1"/>
  <c r="CO23" i="7" s="1"/>
  <c r="CO24" i="7" s="1"/>
  <c r="CP22" i="7" s="1"/>
  <c r="CP20" i="7" s="1"/>
  <c r="CP23" i="7" s="1"/>
  <c r="CP24" i="7" s="1"/>
  <c r="CQ22" i="7" s="1"/>
  <c r="CQ20" i="7" s="1"/>
  <c r="CQ23" i="7" s="1"/>
  <c r="CQ24" i="7" s="1"/>
  <c r="CR22" i="7" s="1"/>
  <c r="CR20" i="7" s="1"/>
  <c r="CR23" i="7" s="1"/>
  <c r="CR24" i="7" s="1"/>
  <c r="CS22" i="7" s="1"/>
  <c r="CS20" i="7" s="1"/>
  <c r="CS23" i="7" s="1"/>
  <c r="CS24" i="7" s="1"/>
  <c r="CT22" i="7" s="1"/>
  <c r="CT20" i="7" s="1"/>
  <c r="CT23" i="7" s="1"/>
  <c r="CT24" i="7" s="1"/>
  <c r="CU22" i="7" s="1"/>
  <c r="CU20" i="7" s="1"/>
  <c r="CU23" i="7" s="1"/>
  <c r="CU24" i="7" s="1"/>
  <c r="CV22" i="7" s="1"/>
  <c r="CV20" i="7" s="1"/>
  <c r="CV23" i="7" s="1"/>
  <c r="CV24" i="7" s="1"/>
  <c r="CW22" i="7" s="1"/>
  <c r="CW20" i="7" s="1"/>
  <c r="CW23" i="7" s="1"/>
  <c r="CW24" i="7" s="1"/>
  <c r="CX22" i="7" s="1"/>
  <c r="CX20" i="7" s="1"/>
  <c r="CX23" i="7" s="1"/>
  <c r="CX24" i="7" s="1"/>
  <c r="CY22" i="7" s="1"/>
  <c r="CY20" i="7" s="1"/>
  <c r="CY23" i="7" s="1"/>
  <c r="CY24" i="7" s="1"/>
  <c r="CZ22" i="7" s="1"/>
  <c r="CZ20" i="7" s="1"/>
  <c r="CZ23" i="7" s="1"/>
  <c r="CZ24" i="7" s="1"/>
  <c r="DA22" i="7" s="1"/>
  <c r="DA20" i="7" s="1"/>
  <c r="DA23" i="7" s="1"/>
  <c r="DA24" i="7" s="1"/>
  <c r="DB22" i="7" s="1"/>
  <c r="DB20" i="7" s="1"/>
  <c r="DB23" i="7" s="1"/>
  <c r="DB24" i="7" s="1"/>
  <c r="DC22" i="7" s="1"/>
  <c r="DC20" i="7" s="1"/>
  <c r="DC23" i="7" s="1"/>
  <c r="DC24" i="7" s="1"/>
  <c r="DD22" i="7" s="1"/>
  <c r="DD20" i="7" s="1"/>
  <c r="DD23" i="7" s="1"/>
  <c r="DD24" i="7" s="1"/>
  <c r="DE22" i="7" s="1"/>
  <c r="DE20" i="7" s="1"/>
  <c r="DE23" i="7" s="1"/>
  <c r="DE24" i="7" s="1"/>
  <c r="DF22" i="7" s="1"/>
  <c r="DF20" i="7" s="1"/>
  <c r="DF23" i="7" s="1"/>
  <c r="DF24" i="7" s="1"/>
  <c r="DG22" i="7" s="1"/>
  <c r="DG20" i="7" s="1"/>
  <c r="DG23" i="7" s="1"/>
  <c r="DG24" i="7" s="1"/>
  <c r="DH22" i="7" s="1"/>
  <c r="DH20" i="7" s="1"/>
  <c r="DH23" i="7" s="1"/>
  <c r="DH24" i="7" s="1"/>
  <c r="DI22" i="7" s="1"/>
  <c r="DI20" i="7" s="1"/>
  <c r="DI23" i="7" s="1"/>
  <c r="DI24" i="7" s="1"/>
  <c r="DJ22" i="7" s="1"/>
  <c r="DJ20" i="7" s="1"/>
  <c r="DJ23" i="7" s="1"/>
  <c r="DJ24" i="7" s="1"/>
  <c r="DK22" i="7" s="1"/>
  <c r="DK20" i="7" s="1"/>
  <c r="DK23" i="7" s="1"/>
  <c r="DK24" i="7" s="1"/>
  <c r="DL22" i="7" s="1"/>
  <c r="DL20" i="7" s="1"/>
  <c r="DL23" i="7" s="1"/>
  <c r="DL24" i="7" s="1"/>
  <c r="DM22" i="7" s="1"/>
  <c r="DM20" i="7" s="1"/>
  <c r="DM23" i="7" s="1"/>
  <c r="DM24" i="7" s="1"/>
  <c r="DN22" i="7" s="1"/>
  <c r="DN20" i="7" s="1"/>
  <c r="DN23" i="7" s="1"/>
  <c r="DN24" i="7" s="1"/>
  <c r="DO22" i="7" s="1"/>
  <c r="DO20" i="7" s="1"/>
  <c r="DO23" i="7" s="1"/>
  <c r="DO24" i="7" s="1"/>
  <c r="DP22" i="7" s="1"/>
  <c r="DP20" i="7" s="1"/>
  <c r="DP23" i="7" s="1"/>
  <c r="DP24" i="7" s="1"/>
  <c r="DQ22" i="7" s="1"/>
  <c r="DQ20" i="7" s="1"/>
  <c r="DQ23" i="7" s="1"/>
  <c r="DQ24" i="7" s="1"/>
  <c r="DR22" i="7" s="1"/>
  <c r="DR20" i="7" s="1"/>
  <c r="DR23" i="7" s="1"/>
  <c r="DR24" i="7" s="1"/>
  <c r="DS22" i="7" s="1"/>
  <c r="DS20" i="7" s="1"/>
  <c r="DS23" i="7" s="1"/>
  <c r="DS24" i="7" s="1"/>
  <c r="DT22" i="7" s="1"/>
  <c r="DT20" i="7" s="1"/>
  <c r="DT23" i="7" s="1"/>
  <c r="DT24" i="7" s="1"/>
  <c r="DU22" i="7" s="1"/>
  <c r="DU20" i="7" s="1"/>
  <c r="DU23" i="7" s="1"/>
  <c r="DU24" i="7" s="1"/>
  <c r="DV22" i="7" s="1"/>
  <c r="DV20" i="7" s="1"/>
  <c r="DV23" i="7" s="1"/>
  <c r="DV24" i="7" s="1"/>
  <c r="DW22" i="7" s="1"/>
  <c r="DW20" i="7" s="1"/>
  <c r="DW23" i="7" s="1"/>
  <c r="DW24" i="7" s="1"/>
  <c r="DX22" i="7" s="1"/>
  <c r="DX20" i="7" s="1"/>
  <c r="DX23" i="7" s="1"/>
  <c r="DX24" i="7" s="1"/>
  <c r="DY22" i="7" s="1"/>
  <c r="DY20" i="7" s="1"/>
  <c r="DY23" i="7" s="1"/>
  <c r="DY24" i="7" s="1"/>
  <c r="DZ22" i="7" s="1"/>
  <c r="DZ20" i="7" s="1"/>
  <c r="DZ23" i="7" s="1"/>
  <c r="DZ24" i="7" s="1"/>
  <c r="EA22" i="7" s="1"/>
  <c r="EA20" i="7" s="1"/>
  <c r="EA23" i="7" s="1"/>
  <c r="EA24" i="7" s="1"/>
  <c r="EB22" i="7" s="1"/>
  <c r="EB20" i="7" s="1"/>
  <c r="EB23" i="7" s="1"/>
  <c r="EB24" i="7" s="1"/>
  <c r="EC22" i="7" s="1"/>
  <c r="EC20" i="7" s="1"/>
  <c r="EC23" i="7" s="1"/>
  <c r="EC24" i="7" s="1"/>
  <c r="ED22" i="7" s="1"/>
  <c r="ED20" i="7" s="1"/>
  <c r="ED23" i="7" s="1"/>
  <c r="ED24" i="7" s="1"/>
  <c r="EE22" i="7" s="1"/>
  <c r="EE20" i="7" s="1"/>
  <c r="EE23" i="7" s="1"/>
  <c r="EE24" i="7" s="1"/>
  <c r="EF22" i="7" s="1"/>
  <c r="EF20" i="7" s="1"/>
  <c r="EF23" i="7" s="1"/>
  <c r="EF24" i="7" s="1"/>
  <c r="EG22" i="7" s="1"/>
  <c r="EG20" i="7" s="1"/>
  <c r="EG23" i="7" s="1"/>
  <c r="EG24" i="7" s="1"/>
  <c r="EH22" i="7" s="1"/>
  <c r="EH20" i="7" s="1"/>
  <c r="EH23" i="7" s="1"/>
  <c r="EH24" i="7" s="1"/>
  <c r="EI22" i="7" s="1"/>
  <c r="EI20" i="7" s="1"/>
  <c r="EI23" i="7" s="1"/>
  <c r="EI24" i="7" s="1"/>
  <c r="EJ22" i="7" s="1"/>
  <c r="EJ20" i="7" s="1"/>
  <c r="EJ23" i="7" s="1"/>
  <c r="EJ24" i="7" s="1"/>
  <c r="D78" i="14"/>
  <c r="D80" i="14"/>
  <c r="D82" i="14"/>
  <c r="J69" i="14" l="1"/>
  <c r="J71" i="14" s="1"/>
  <c r="J79" i="14"/>
  <c r="I65" i="14"/>
  <c r="I69" i="14" s="1"/>
  <c r="I71" i="14" s="1"/>
  <c r="I82" i="14" s="1"/>
  <c r="I79" i="14"/>
  <c r="H69" i="14"/>
  <c r="H71" i="14" s="1"/>
  <c r="H79" i="14"/>
  <c r="G69" i="14"/>
  <c r="G71" i="14" s="1"/>
  <c r="G82" i="14" s="1"/>
  <c r="G79" i="14"/>
  <c r="F69" i="14"/>
  <c r="F71" i="14" s="1"/>
  <c r="E65" i="14"/>
  <c r="E69" i="14" s="1"/>
  <c r="E71" i="14" s="1"/>
  <c r="E82" i="14" s="1"/>
  <c r="J82" i="14" l="1"/>
  <c r="H82" i="14"/>
  <c r="N9" i="6"/>
  <c r="F82" i="14"/>
  <c r="D70" i="14" l="1"/>
  <c r="D67" i="14"/>
  <c r="D68" i="14"/>
  <c r="D66" i="14"/>
  <c r="D64" i="14"/>
  <c r="D65" i="14" s="1"/>
  <c r="D69" i="14" s="1"/>
  <c r="D71" i="14" s="1"/>
  <c r="D63" i="14"/>
  <c r="AV22" i="7"/>
  <c r="AV61" i="7" s="1"/>
  <c r="AU24" i="7"/>
  <c r="AV50" i="7" l="1"/>
  <c r="AV20" i="7"/>
  <c r="AV23" i="7" s="1"/>
  <c r="AV24" i="7" s="1"/>
  <c r="AW22" i="7" s="1"/>
  <c r="AV62" i="7"/>
  <c r="AV63" i="7"/>
  <c r="AV64" i="7"/>
  <c r="AV51" i="7"/>
  <c r="AV53" i="7" s="1"/>
  <c r="AW49" i="7"/>
  <c r="AV49" i="7"/>
  <c r="AW62" i="7" l="1"/>
  <c r="AW61" i="7"/>
  <c r="AW50" i="7"/>
  <c r="AW51" i="7" s="1"/>
  <c r="AW20" i="7"/>
  <c r="AW23" i="7" s="1"/>
  <c r="AW24" i="7" s="1"/>
  <c r="AX22" i="7" s="1"/>
  <c r="AW63" i="7"/>
  <c r="AW56" i="7"/>
  <c r="AW57" i="7" s="1"/>
  <c r="AV56" i="7"/>
  <c r="AV57" i="7" s="1"/>
  <c r="AV54" i="7"/>
  <c r="AV52" i="7"/>
  <c r="AV55" i="7" l="1"/>
  <c r="AV59" i="7" s="1"/>
  <c r="AV58" i="7"/>
  <c r="AX62" i="7"/>
  <c r="AX50" i="7"/>
  <c r="AX63" i="7"/>
  <c r="AX20" i="7"/>
  <c r="AX23" i="7" s="1"/>
  <c r="AX24" i="7" s="1"/>
  <c r="AY22" i="7" s="1"/>
  <c r="AX61" i="7"/>
  <c r="AX64" i="7" s="1"/>
  <c r="AX49" i="7"/>
  <c r="AX51" i="7" s="1"/>
  <c r="AW52" i="7"/>
  <c r="AW54" i="7"/>
  <c r="AW53" i="7"/>
  <c r="AW64" i="7"/>
  <c r="AX52" i="7" l="1"/>
  <c r="AX53" i="7"/>
  <c r="AX54" i="7"/>
  <c r="AX56" i="7"/>
  <c r="AX57" i="7" s="1"/>
  <c r="AW58" i="7"/>
  <c r="AW55" i="7"/>
  <c r="AW59" i="7" s="1"/>
  <c r="AY20" i="7"/>
  <c r="AY23" i="7" s="1"/>
  <c r="AY24" i="7" s="1"/>
  <c r="AZ22" i="7" s="1"/>
  <c r="AY50" i="7"/>
  <c r="AY62" i="7"/>
  <c r="AY61" i="7"/>
  <c r="AY49" i="7"/>
  <c r="AY51" i="7" s="1"/>
  <c r="AY63" i="7"/>
  <c r="AY64" i="7" s="1"/>
  <c r="AX55" i="7" l="1"/>
  <c r="AX59" i="7" s="1"/>
  <c r="AX58" i="7"/>
  <c r="AZ49" i="7"/>
  <c r="AZ20" i="7"/>
  <c r="AZ23" i="7" s="1"/>
  <c r="AZ24" i="7" s="1"/>
  <c r="BA22" i="7" s="1"/>
  <c r="AZ61" i="7"/>
  <c r="AZ62" i="7"/>
  <c r="AZ63" i="7"/>
  <c r="AZ50" i="7"/>
  <c r="AY56" i="7"/>
  <c r="AY57" i="7" s="1"/>
  <c r="AY52" i="7"/>
  <c r="AY58" i="7" s="1"/>
  <c r="AY54" i="7"/>
  <c r="AY53" i="7"/>
  <c r="AZ51" i="7" l="1"/>
  <c r="AZ64" i="7"/>
  <c r="BA63" i="7"/>
  <c r="BA49" i="7"/>
  <c r="BA50" i="7"/>
  <c r="BA20" i="7"/>
  <c r="BA23" i="7" s="1"/>
  <c r="BA24" i="7" s="1"/>
  <c r="BB22" i="7" s="1"/>
  <c r="BA61" i="7"/>
  <c r="BA62" i="7"/>
  <c r="AY55" i="7"/>
  <c r="AY59" i="7" s="1"/>
  <c r="BB62" i="7" l="1"/>
  <c r="BB63" i="7"/>
  <c r="BB61" i="7"/>
  <c r="BB64" i="7" s="1"/>
  <c r="BB50" i="7"/>
  <c r="BB49" i="7"/>
  <c r="BB51" i="7" s="1"/>
  <c r="BB20" i="7"/>
  <c r="BB23" i="7" s="1"/>
  <c r="BB24" i="7" s="1"/>
  <c r="BC22" i="7" s="1"/>
  <c r="BC20" i="7" s="1"/>
  <c r="BC23" i="7" s="1"/>
  <c r="BC24" i="7" s="1"/>
  <c r="BD22" i="7" s="1"/>
  <c r="BD20" i="7" s="1"/>
  <c r="BD23" i="7" s="1"/>
  <c r="BD24" i="7" s="1"/>
  <c r="BE22" i="7" s="1"/>
  <c r="BE20" i="7" s="1"/>
  <c r="BE23" i="7" s="1"/>
  <c r="BE24" i="7" s="1"/>
  <c r="BF22" i="7" s="1"/>
  <c r="BF20" i="7" s="1"/>
  <c r="BF23" i="7" s="1"/>
  <c r="BF24" i="7" s="1"/>
  <c r="BG22" i="7" s="1"/>
  <c r="BG20" i="7" s="1"/>
  <c r="BG23" i="7" s="1"/>
  <c r="BG24" i="7" s="1"/>
  <c r="BH22" i="7" s="1"/>
  <c r="BH20" i="7" s="1"/>
  <c r="BH23" i="7" s="1"/>
  <c r="BH24" i="7" s="1"/>
  <c r="BI22" i="7" s="1"/>
  <c r="BI20" i="7" s="1"/>
  <c r="BI23" i="7" s="1"/>
  <c r="BI24" i="7" s="1"/>
  <c r="BJ22" i="7" s="1"/>
  <c r="BJ20" i="7" s="1"/>
  <c r="BJ23" i="7" s="1"/>
  <c r="BJ24" i="7" s="1"/>
  <c r="BK22" i="7" s="1"/>
  <c r="BK20" i="7" s="1"/>
  <c r="BK23" i="7" s="1"/>
  <c r="BK24" i="7" s="1"/>
  <c r="BL22" i="7" s="1"/>
  <c r="BL20" i="7" s="1"/>
  <c r="BL23" i="7" s="1"/>
  <c r="BL24" i="7" s="1"/>
  <c r="BM22" i="7" s="1"/>
  <c r="BM20" i="7" s="1"/>
  <c r="BM23" i="7" s="1"/>
  <c r="BM24" i="7" s="1"/>
  <c r="BN22" i="7" s="1"/>
  <c r="BN20" i="7" s="1"/>
  <c r="BN23" i="7" s="1"/>
  <c r="BN24" i="7" s="1"/>
  <c r="BO22" i="7" s="1"/>
  <c r="BO20" i="7" s="1"/>
  <c r="BO23" i="7" s="1"/>
  <c r="BO24" i="7" s="1"/>
  <c r="BP22" i="7" s="1"/>
  <c r="BP20" i="7" s="1"/>
  <c r="BP23" i="7" s="1"/>
  <c r="BP24" i="7" s="1"/>
  <c r="BQ22" i="7" s="1"/>
  <c r="BQ20" i="7" s="1"/>
  <c r="BQ23" i="7" s="1"/>
  <c r="BQ24" i="7" s="1"/>
  <c r="BR22" i="7" s="1"/>
  <c r="BR20" i="7" s="1"/>
  <c r="BR23" i="7" s="1"/>
  <c r="BR24" i="7" s="1"/>
  <c r="BS22" i="7" s="1"/>
  <c r="BS20" i="7" s="1"/>
  <c r="BS23" i="7" s="1"/>
  <c r="BS24" i="7" s="1"/>
  <c r="BT22" i="7" s="1"/>
  <c r="BT20" i="7" s="1"/>
  <c r="BT23" i="7" s="1"/>
  <c r="BT24" i="7" s="1"/>
  <c r="BU22" i="7" s="1"/>
  <c r="BU20" i="7" s="1"/>
  <c r="BU23" i="7" s="1"/>
  <c r="BU24" i="7" s="1"/>
  <c r="BV22" i="7" s="1"/>
  <c r="BV20" i="7" s="1"/>
  <c r="BV23" i="7" s="1"/>
  <c r="BV24" i="7" s="1"/>
  <c r="BW22" i="7" s="1"/>
  <c r="BW20" i="7" s="1"/>
  <c r="BW23" i="7" s="1"/>
  <c r="BW24" i="7" s="1"/>
  <c r="BX22" i="7" s="1"/>
  <c r="BX20" i="7" s="1"/>
  <c r="BX23" i="7" s="1"/>
  <c r="BX24" i="7" s="1"/>
  <c r="BY22" i="7" s="1"/>
  <c r="BY20" i="7" s="1"/>
  <c r="BY23" i="7" s="1"/>
  <c r="BY24" i="7" s="1"/>
  <c r="BZ22" i="7" s="1"/>
  <c r="BZ20" i="7" s="1"/>
  <c r="BZ23" i="7" s="1"/>
  <c r="BZ24" i="7" s="1"/>
  <c r="CA22" i="7" s="1"/>
  <c r="CA20" i="7" s="1"/>
  <c r="CA23" i="7" s="1"/>
  <c r="CA24" i="7" s="1"/>
  <c r="CB22" i="7" s="1"/>
  <c r="CB20" i="7" s="1"/>
  <c r="CB23" i="7" s="1"/>
  <c r="CB24" i="7" s="1"/>
  <c r="CC22" i="7" s="1"/>
  <c r="CC20" i="7" s="1"/>
  <c r="CC23" i="7" s="1"/>
  <c r="CC24" i="7" s="1"/>
  <c r="CD22" i="7" s="1"/>
  <c r="CD20" i="7" s="1"/>
  <c r="CD23" i="7" s="1"/>
  <c r="CD24" i="7" s="1"/>
  <c r="BA64" i="7"/>
  <c r="BA51" i="7"/>
  <c r="AZ54" i="7"/>
  <c r="AZ52" i="7"/>
  <c r="AZ56" i="7"/>
  <c r="AZ57" i="7" s="1"/>
  <c r="AZ53" i="7"/>
  <c r="BB52" i="7" l="1"/>
  <c r="BB58" i="7" s="1"/>
  <c r="BB53" i="7"/>
  <c r="BB55" i="7"/>
  <c r="BB59" i="7" s="1"/>
  <c r="BB54" i="7"/>
  <c r="BB56" i="7"/>
  <c r="BB57" i="7" s="1"/>
  <c r="AZ55" i="7"/>
  <c r="AZ59" i="7" s="1"/>
  <c r="AZ58" i="7"/>
  <c r="BA52" i="7"/>
  <c r="BA58" i="7" s="1"/>
  <c r="BA53" i="7"/>
  <c r="BA54" i="7"/>
  <c r="BA56" i="7"/>
  <c r="BA57" i="7" s="1"/>
  <c r="BA55" i="7"/>
  <c r="BA59" i="7" s="1"/>
  <c r="F139" i="7" l="1"/>
  <c r="K137" i="7"/>
  <c r="K138" i="7"/>
  <c r="L138" i="7"/>
  <c r="M138" i="7"/>
  <c r="N138" i="7" s="1"/>
  <c r="O138" i="7" s="1"/>
  <c r="P138" i="7" s="1"/>
  <c r="Q138" i="7" s="1"/>
  <c r="R138" i="7" s="1"/>
  <c r="S138" i="7" s="1"/>
  <c r="T138" i="7" s="1"/>
  <c r="U138" i="7" s="1"/>
  <c r="V138" i="7" s="1"/>
  <c r="W138" i="7" s="1"/>
  <c r="X138" i="7" s="1"/>
  <c r="Y138" i="7" s="1"/>
  <c r="Z138" i="7" s="1"/>
  <c r="AA138" i="7" s="1"/>
  <c r="AB138" i="7" s="1"/>
  <c r="AC138" i="7" s="1"/>
  <c r="AD138" i="7" s="1"/>
  <c r="AE138" i="7" s="1"/>
  <c r="AF138" i="7" s="1"/>
  <c r="AG138" i="7" s="1"/>
  <c r="AH138" i="7" s="1"/>
  <c r="AI138" i="7" s="1"/>
  <c r="AJ138" i="7" s="1"/>
  <c r="AK138" i="7" s="1"/>
  <c r="AL138" i="7" s="1"/>
  <c r="AM138" i="7" s="1"/>
  <c r="AN138" i="7" s="1"/>
  <c r="AO138" i="7" s="1"/>
  <c r="AP138" i="7" s="1"/>
  <c r="AQ138" i="7" s="1"/>
  <c r="AR138" i="7" s="1"/>
  <c r="AS138" i="7" s="1"/>
  <c r="AT138" i="7" s="1"/>
  <c r="AU138" i="7" s="1"/>
  <c r="AV138" i="7" s="1"/>
  <c r="AW138" i="7" s="1"/>
  <c r="AX138" i="7" s="1"/>
  <c r="AY138" i="7" s="1"/>
  <c r="AZ138" i="7" s="1"/>
  <c r="BA138" i="7" s="1"/>
  <c r="BB138" i="7" s="1"/>
  <c r="BC138" i="7" s="1"/>
  <c r="BD138" i="7" s="1"/>
  <c r="BE138" i="7" s="1"/>
  <c r="BF138" i="7" s="1"/>
  <c r="BG138" i="7" s="1"/>
  <c r="BH138" i="7" s="1"/>
  <c r="BI138" i="7" s="1"/>
  <c r="BJ138" i="7" s="1"/>
  <c r="BK138" i="7" s="1"/>
  <c r="BL138" i="7" s="1"/>
  <c r="BM138" i="7" s="1"/>
  <c r="BN138" i="7" s="1"/>
  <c r="BO138" i="7" s="1"/>
  <c r="BP138" i="7" s="1"/>
  <c r="BQ138" i="7" s="1"/>
  <c r="BR138" i="7" s="1"/>
  <c r="BS138" i="7" s="1"/>
  <c r="BT138" i="7" s="1"/>
  <c r="BU138" i="7" s="1"/>
  <c r="BV138" i="7" s="1"/>
  <c r="BW138" i="7" s="1"/>
  <c r="BX138" i="7" s="1"/>
  <c r="BY138" i="7" s="1"/>
  <c r="BZ138" i="7" s="1"/>
  <c r="CA138" i="7" s="1"/>
  <c r="CB138" i="7" s="1"/>
  <c r="CC138" i="7" s="1"/>
  <c r="CD138" i="7" s="1"/>
  <c r="CE138" i="7" s="1"/>
  <c r="CF138" i="7" s="1"/>
  <c r="CG138" i="7" s="1"/>
  <c r="CH138" i="7" s="1"/>
  <c r="CI138" i="7" s="1"/>
  <c r="CJ138" i="7" s="1"/>
  <c r="CK138" i="7" s="1"/>
  <c r="CL138" i="7" s="1"/>
  <c r="CM138" i="7" s="1"/>
  <c r="CN138" i="7" s="1"/>
  <c r="CO138" i="7" s="1"/>
  <c r="CP138" i="7" s="1"/>
  <c r="CQ138" i="7" s="1"/>
  <c r="CR138" i="7" s="1"/>
  <c r="CS138" i="7" s="1"/>
  <c r="CT138" i="7" s="1"/>
  <c r="CU138" i="7" s="1"/>
  <c r="CV138" i="7" s="1"/>
  <c r="CW138" i="7" s="1"/>
  <c r="CX138" i="7" s="1"/>
  <c r="CY138" i="7" s="1"/>
  <c r="CZ138" i="7" s="1"/>
  <c r="DA138" i="7" s="1"/>
  <c r="DB138" i="7" s="1"/>
  <c r="DC138" i="7" s="1"/>
  <c r="DD138" i="7" s="1"/>
  <c r="DE138" i="7" s="1"/>
  <c r="DF138" i="7" s="1"/>
  <c r="DG138" i="7" s="1"/>
  <c r="DH138" i="7" s="1"/>
  <c r="DI138" i="7" s="1"/>
  <c r="DJ138" i="7" s="1"/>
  <c r="DK138" i="7" s="1"/>
  <c r="DL138" i="7" s="1"/>
  <c r="DM138" i="7" s="1"/>
  <c r="DN138" i="7" s="1"/>
  <c r="DO138" i="7" s="1"/>
  <c r="DP138" i="7" s="1"/>
  <c r="DQ138" i="7" s="1"/>
  <c r="DR138" i="7" s="1"/>
  <c r="DS138" i="7" s="1"/>
  <c r="DT138" i="7" s="1"/>
  <c r="DU138" i="7" s="1"/>
  <c r="DV138" i="7" s="1"/>
  <c r="DW138" i="7" s="1"/>
  <c r="DX138" i="7" s="1"/>
  <c r="DY138" i="7" s="1"/>
  <c r="DZ138" i="7" s="1"/>
  <c r="EA138" i="7" s="1"/>
  <c r="EB138" i="7" s="1"/>
  <c r="EC138" i="7" s="1"/>
  <c r="ED138" i="7" s="1"/>
  <c r="EE138" i="7" s="1"/>
  <c r="EF138" i="7" s="1"/>
  <c r="EG138" i="7" s="1"/>
  <c r="EH138" i="7" s="1"/>
  <c r="EI138" i="7" s="1"/>
  <c r="EJ138" i="7" s="1"/>
  <c r="K139" i="7"/>
  <c r="K140" i="7"/>
  <c r="L137" i="7" s="1"/>
  <c r="J138" i="7"/>
  <c r="J139" i="7"/>
  <c r="J140" i="7" s="1"/>
  <c r="I139" i="7"/>
  <c r="I111" i="7" s="1"/>
  <c r="H139" i="7"/>
  <c r="H111" i="7" s="1"/>
  <c r="H140" i="7"/>
  <c r="I137" i="7" s="1"/>
  <c r="I140" i="7" s="1"/>
  <c r="J137" i="7" s="1"/>
  <c r="H138" i="7"/>
  <c r="E31" i="15"/>
  <c r="J26" i="6"/>
  <c r="F135" i="7"/>
  <c r="K130" i="7"/>
  <c r="L130" i="7" s="1"/>
  <c r="M130" i="7" s="1"/>
  <c r="N130" i="7" s="1"/>
  <c r="O130" i="7" s="1"/>
  <c r="P130" i="7" s="1"/>
  <c r="Q130" i="7" s="1"/>
  <c r="R130" i="7" s="1"/>
  <c r="S130" i="7" s="1"/>
  <c r="T130" i="7" s="1"/>
  <c r="U130" i="7" s="1"/>
  <c r="V130" i="7" s="1"/>
  <c r="W130" i="7" s="1"/>
  <c r="X130" i="7" s="1"/>
  <c r="Y130" i="7" s="1"/>
  <c r="Z130" i="7" s="1"/>
  <c r="AA130" i="7" s="1"/>
  <c r="AB130" i="7" s="1"/>
  <c r="AC130" i="7" s="1"/>
  <c r="AD130" i="7" s="1"/>
  <c r="AE130" i="7" s="1"/>
  <c r="AF130" i="7" s="1"/>
  <c r="AG130" i="7" s="1"/>
  <c r="AH130" i="7" s="1"/>
  <c r="AI130" i="7" s="1"/>
  <c r="AJ130" i="7" s="1"/>
  <c r="AK130" i="7" s="1"/>
  <c r="AL130" i="7" s="1"/>
  <c r="AM130" i="7" s="1"/>
  <c r="AN130" i="7" s="1"/>
  <c r="AO130" i="7" s="1"/>
  <c r="AP130" i="7" s="1"/>
  <c r="AQ130" i="7" s="1"/>
  <c r="AR130" i="7" s="1"/>
  <c r="AS130" i="7" s="1"/>
  <c r="AT130" i="7" s="1"/>
  <c r="AU130" i="7" s="1"/>
  <c r="AV130" i="7" s="1"/>
  <c r="AW130" i="7" s="1"/>
  <c r="AX130" i="7" s="1"/>
  <c r="AY130" i="7" s="1"/>
  <c r="AZ130" i="7" s="1"/>
  <c r="BA130" i="7" s="1"/>
  <c r="BB130" i="7" s="1"/>
  <c r="BC130" i="7" s="1"/>
  <c r="BD130" i="7" s="1"/>
  <c r="BE130" i="7" s="1"/>
  <c r="BF130" i="7" s="1"/>
  <c r="BG130" i="7" s="1"/>
  <c r="BH130" i="7" s="1"/>
  <c r="BI130" i="7" s="1"/>
  <c r="BJ130" i="7" s="1"/>
  <c r="BK130" i="7" s="1"/>
  <c r="BL130" i="7" s="1"/>
  <c r="BM130" i="7" s="1"/>
  <c r="BN130" i="7" s="1"/>
  <c r="BO130" i="7" s="1"/>
  <c r="BP130" i="7" s="1"/>
  <c r="BQ130" i="7" s="1"/>
  <c r="BR130" i="7" s="1"/>
  <c r="BS130" i="7" s="1"/>
  <c r="BT130" i="7" s="1"/>
  <c r="BU130" i="7" s="1"/>
  <c r="BV130" i="7" s="1"/>
  <c r="BW130" i="7" s="1"/>
  <c r="BX130" i="7" s="1"/>
  <c r="BY130" i="7" s="1"/>
  <c r="BZ130" i="7" s="1"/>
  <c r="CA130" i="7" s="1"/>
  <c r="CB130" i="7" s="1"/>
  <c r="CC130" i="7" s="1"/>
  <c r="CD130" i="7" s="1"/>
  <c r="CE130" i="7" s="1"/>
  <c r="CF130" i="7" s="1"/>
  <c r="CG130" i="7" s="1"/>
  <c r="CH130" i="7" s="1"/>
  <c r="CI130" i="7" s="1"/>
  <c r="CJ130" i="7" s="1"/>
  <c r="CK130" i="7" s="1"/>
  <c r="CL130" i="7" s="1"/>
  <c r="CM130" i="7" s="1"/>
  <c r="CN130" i="7" s="1"/>
  <c r="CO130" i="7" s="1"/>
  <c r="CP130" i="7" s="1"/>
  <c r="CQ130" i="7" s="1"/>
  <c r="CR130" i="7" s="1"/>
  <c r="CS130" i="7" s="1"/>
  <c r="CT130" i="7" s="1"/>
  <c r="CU130" i="7" s="1"/>
  <c r="CV130" i="7" s="1"/>
  <c r="CW130" i="7" s="1"/>
  <c r="CX130" i="7" s="1"/>
  <c r="CY130" i="7" s="1"/>
  <c r="CZ130" i="7" s="1"/>
  <c r="DA130" i="7" s="1"/>
  <c r="DB130" i="7" s="1"/>
  <c r="DC130" i="7" s="1"/>
  <c r="DD130" i="7" s="1"/>
  <c r="DE130" i="7" s="1"/>
  <c r="DF130" i="7" s="1"/>
  <c r="DG130" i="7" s="1"/>
  <c r="DH130" i="7" s="1"/>
  <c r="DI130" i="7" s="1"/>
  <c r="DJ130" i="7" s="1"/>
  <c r="DK130" i="7" s="1"/>
  <c r="DL130" i="7" s="1"/>
  <c r="DM130" i="7" s="1"/>
  <c r="DN130" i="7" s="1"/>
  <c r="DO130" i="7" s="1"/>
  <c r="DP130" i="7" s="1"/>
  <c r="DQ130" i="7" s="1"/>
  <c r="DR130" i="7" s="1"/>
  <c r="DS130" i="7" s="1"/>
  <c r="DT130" i="7" s="1"/>
  <c r="DU130" i="7" s="1"/>
  <c r="DV130" i="7" s="1"/>
  <c r="DW130" i="7" s="1"/>
  <c r="DX130" i="7" s="1"/>
  <c r="DY130" i="7" s="1"/>
  <c r="DZ130" i="7" s="1"/>
  <c r="EA130" i="7" s="1"/>
  <c r="EB130" i="7" s="1"/>
  <c r="EC130" i="7" s="1"/>
  <c r="ED130" i="7" s="1"/>
  <c r="EE130" i="7" s="1"/>
  <c r="EF130" i="7" s="1"/>
  <c r="EG130" i="7" s="1"/>
  <c r="EH130" i="7" s="1"/>
  <c r="EI130" i="7" s="1"/>
  <c r="EJ130" i="7" s="1"/>
  <c r="J130" i="7"/>
  <c r="H120" i="7"/>
  <c r="EJ108" i="7"/>
  <c r="EF108" i="7"/>
  <c r="EE108" i="7"/>
  <c r="DT108" i="7"/>
  <c r="DS108" i="7"/>
  <c r="DR108" i="7"/>
  <c r="DH108" i="7"/>
  <c r="DG108" i="7"/>
  <c r="DE108" i="7"/>
  <c r="CW108" i="7"/>
  <c r="CV108" i="7"/>
  <c r="CU108" i="7"/>
  <c r="CI108" i="7"/>
  <c r="CG108" i="7"/>
  <c r="CF108" i="7"/>
  <c r="CA108" i="7"/>
  <c r="BW108" i="7"/>
  <c r="BU108" i="7"/>
  <c r="BK90" i="7"/>
  <c r="BL90" i="7"/>
  <c r="BM90" i="7"/>
  <c r="BN90" i="7"/>
  <c r="BO90" i="7"/>
  <c r="BP90" i="7"/>
  <c r="BQ90" i="7"/>
  <c r="BR90" i="7"/>
  <c r="BS90" i="7"/>
  <c r="BT90" i="7"/>
  <c r="BT108" i="7" s="1"/>
  <c r="BU90" i="7"/>
  <c r="BV90" i="7"/>
  <c r="BV108" i="7" s="1"/>
  <c r="BW90" i="7"/>
  <c r="BX90" i="7"/>
  <c r="BY90" i="7"/>
  <c r="BZ90" i="7"/>
  <c r="CA90" i="7"/>
  <c r="CB90" i="7"/>
  <c r="CC90" i="7"/>
  <c r="CD90" i="7"/>
  <c r="CE90" i="7"/>
  <c r="CF90" i="7"/>
  <c r="CG90" i="7"/>
  <c r="CH90" i="7"/>
  <c r="CH108" i="7" s="1"/>
  <c r="CI90" i="7"/>
  <c r="CJ90" i="7"/>
  <c r="CK90" i="7"/>
  <c r="CL90" i="7"/>
  <c r="CM90" i="7"/>
  <c r="CN90" i="7"/>
  <c r="CO90" i="7"/>
  <c r="CP90" i="7"/>
  <c r="CQ90" i="7"/>
  <c r="CR90" i="7"/>
  <c r="CR108" i="7" s="1"/>
  <c r="CS90" i="7"/>
  <c r="CT90" i="7"/>
  <c r="CT108" i="7" s="1"/>
  <c r="CU90" i="7"/>
  <c r="CV90" i="7"/>
  <c r="CW90" i="7"/>
  <c r="CX90" i="7"/>
  <c r="CY90" i="7"/>
  <c r="CY108" i="7" s="1"/>
  <c r="CZ90" i="7"/>
  <c r="DA90" i="7"/>
  <c r="DB90" i="7"/>
  <c r="DC90" i="7"/>
  <c r="DD90" i="7"/>
  <c r="DD108" i="7" s="1"/>
  <c r="DE90" i="7"/>
  <c r="DF90" i="7"/>
  <c r="DF108" i="7" s="1"/>
  <c r="DG90" i="7"/>
  <c r="DH90" i="7"/>
  <c r="DI90" i="7"/>
  <c r="DJ90" i="7"/>
  <c r="DK90" i="7"/>
  <c r="DL90" i="7"/>
  <c r="DM90" i="7"/>
  <c r="DN90" i="7"/>
  <c r="DO90" i="7"/>
  <c r="DP90" i="7"/>
  <c r="DP108" i="7" s="1"/>
  <c r="DQ90" i="7"/>
  <c r="DR90" i="7"/>
  <c r="DS90" i="7"/>
  <c r="DT90" i="7"/>
  <c r="DU90" i="7"/>
  <c r="DV90" i="7"/>
  <c r="DW90" i="7"/>
  <c r="DX90" i="7"/>
  <c r="DY90" i="7"/>
  <c r="DZ90" i="7"/>
  <c r="EA90" i="7"/>
  <c r="EB90" i="7"/>
  <c r="EB108" i="7" s="1"/>
  <c r="EC90" i="7"/>
  <c r="ED90" i="7"/>
  <c r="ED108" i="7" s="1"/>
  <c r="EE90" i="7"/>
  <c r="EF90" i="7"/>
  <c r="EG90" i="7"/>
  <c r="EH90" i="7"/>
  <c r="EI90" i="7"/>
  <c r="EJ90" i="7"/>
  <c r="AM91" i="7"/>
  <c r="AN91" i="7"/>
  <c r="AO91" i="7"/>
  <c r="AP91" i="7"/>
  <c r="AQ91" i="7"/>
  <c r="AR91" i="7"/>
  <c r="AS91" i="7"/>
  <c r="AT91" i="7"/>
  <c r="AU91" i="7"/>
  <c r="AV91" i="7"/>
  <c r="AW91" i="7"/>
  <c r="AX91" i="7"/>
  <c r="AY91" i="7"/>
  <c r="AZ91" i="7"/>
  <c r="BA91" i="7"/>
  <c r="BB91" i="7"/>
  <c r="BC91" i="7"/>
  <c r="BD91" i="7"/>
  <c r="BE91" i="7"/>
  <c r="BF91" i="7"/>
  <c r="BG91" i="7"/>
  <c r="BH91" i="7"/>
  <c r="BI91" i="7"/>
  <c r="BJ91" i="7"/>
  <c r="BK91" i="7"/>
  <c r="BL91" i="7"/>
  <c r="BM91" i="7"/>
  <c r="BN91" i="7"/>
  <c r="BO91" i="7"/>
  <c r="BP91" i="7"/>
  <c r="BQ91" i="7"/>
  <c r="BR91" i="7"/>
  <c r="BS91" i="7"/>
  <c r="BT91" i="7"/>
  <c r="BU91" i="7"/>
  <c r="BV91" i="7"/>
  <c r="BW91" i="7"/>
  <c r="BX91" i="7"/>
  <c r="BY91" i="7"/>
  <c r="BZ91" i="7"/>
  <c r="CA91" i="7"/>
  <c r="CB91" i="7"/>
  <c r="CC91" i="7"/>
  <c r="CD91" i="7"/>
  <c r="CE91" i="7"/>
  <c r="CF91" i="7"/>
  <c r="CG91" i="7"/>
  <c r="CH91" i="7"/>
  <c r="CI91" i="7"/>
  <c r="CJ91" i="7"/>
  <c r="CK91" i="7"/>
  <c r="CK108" i="7" s="1"/>
  <c r="CL91" i="7"/>
  <c r="CM91" i="7"/>
  <c r="CN91" i="7"/>
  <c r="CN108" i="7" s="1"/>
  <c r="CO91" i="7"/>
  <c r="CP91" i="7"/>
  <c r="CQ91" i="7"/>
  <c r="CR91" i="7"/>
  <c r="CS91" i="7"/>
  <c r="CT91" i="7"/>
  <c r="CU91" i="7"/>
  <c r="CV91" i="7"/>
  <c r="CW91" i="7"/>
  <c r="CX91" i="7"/>
  <c r="CY91" i="7"/>
  <c r="CZ91" i="7"/>
  <c r="DA91" i="7"/>
  <c r="DB91" i="7"/>
  <c r="DC91" i="7"/>
  <c r="DD91" i="7"/>
  <c r="DE91" i="7"/>
  <c r="DF91" i="7"/>
  <c r="DG91" i="7"/>
  <c r="DH91" i="7"/>
  <c r="DI91" i="7"/>
  <c r="DI108" i="7" s="1"/>
  <c r="DJ91" i="7"/>
  <c r="DK91" i="7"/>
  <c r="DL91" i="7"/>
  <c r="DM91" i="7"/>
  <c r="DN91" i="7"/>
  <c r="DO91" i="7"/>
  <c r="DP91" i="7"/>
  <c r="DQ91" i="7"/>
  <c r="DR91" i="7"/>
  <c r="DS91" i="7"/>
  <c r="DT91" i="7"/>
  <c r="DU91" i="7"/>
  <c r="DU108" i="7" s="1"/>
  <c r="DV91" i="7"/>
  <c r="DW91" i="7"/>
  <c r="DX91" i="7"/>
  <c r="DX108" i="7" s="1"/>
  <c r="DY91" i="7"/>
  <c r="DZ91" i="7"/>
  <c r="EA91" i="7"/>
  <c r="EB91" i="7"/>
  <c r="EC91" i="7"/>
  <c r="ED91" i="7"/>
  <c r="EE91" i="7"/>
  <c r="EF91" i="7"/>
  <c r="EG91" i="7"/>
  <c r="EG108" i="7" s="1"/>
  <c r="EH91" i="7"/>
  <c r="EI91" i="7"/>
  <c r="EJ91" i="7"/>
  <c r="BR92" i="7"/>
  <c r="BS92" i="7"/>
  <c r="BT92" i="7"/>
  <c r="BU92" i="7"/>
  <c r="BV92" i="7"/>
  <c r="BW92" i="7"/>
  <c r="BX92" i="7"/>
  <c r="BY92" i="7"/>
  <c r="BZ92" i="7"/>
  <c r="CA92" i="7"/>
  <c r="CB92" i="7"/>
  <c r="CC92" i="7"/>
  <c r="CD92" i="7"/>
  <c r="CE92" i="7"/>
  <c r="CF92" i="7"/>
  <c r="CG92" i="7"/>
  <c r="CH92" i="7"/>
  <c r="CI92" i="7"/>
  <c r="CJ92" i="7"/>
  <c r="CK92" i="7"/>
  <c r="CL92" i="7"/>
  <c r="CM92" i="7"/>
  <c r="CN92" i="7"/>
  <c r="CO92" i="7"/>
  <c r="CP92" i="7"/>
  <c r="CQ92" i="7"/>
  <c r="CR92" i="7"/>
  <c r="CS92" i="7"/>
  <c r="CT92" i="7"/>
  <c r="CU92" i="7"/>
  <c r="CV92" i="7"/>
  <c r="CW92" i="7"/>
  <c r="CX92" i="7"/>
  <c r="CY92" i="7"/>
  <c r="CZ92" i="7"/>
  <c r="DA92" i="7"/>
  <c r="DB92" i="7"/>
  <c r="DC92" i="7"/>
  <c r="DD92" i="7"/>
  <c r="DE92" i="7"/>
  <c r="DF92" i="7"/>
  <c r="DG92" i="7"/>
  <c r="DH92" i="7"/>
  <c r="DI92" i="7"/>
  <c r="DJ92" i="7"/>
  <c r="DK92" i="7"/>
  <c r="DL92" i="7"/>
  <c r="DM92" i="7"/>
  <c r="DN92" i="7"/>
  <c r="DO92" i="7"/>
  <c r="DP92" i="7"/>
  <c r="DQ92" i="7"/>
  <c r="DR92" i="7"/>
  <c r="DS92" i="7"/>
  <c r="DT92" i="7"/>
  <c r="DU92" i="7"/>
  <c r="DV92" i="7"/>
  <c r="DW92" i="7"/>
  <c r="DX92" i="7"/>
  <c r="DY92" i="7"/>
  <c r="DZ92" i="7"/>
  <c r="EA92" i="7"/>
  <c r="EB92" i="7"/>
  <c r="EC92" i="7"/>
  <c r="ED92" i="7"/>
  <c r="EE92" i="7"/>
  <c r="EF92" i="7"/>
  <c r="EG92" i="7"/>
  <c r="EH92" i="7"/>
  <c r="EI92" i="7"/>
  <c r="EJ92" i="7"/>
  <c r="AQ93" i="7"/>
  <c r="BC93" i="7"/>
  <c r="BE93" i="7"/>
  <c r="BF93" i="7"/>
  <c r="BG93" i="7"/>
  <c r="BH93" i="7"/>
  <c r="BI93" i="7"/>
  <c r="BJ93" i="7"/>
  <c r="BK93" i="7"/>
  <c r="BL93" i="7"/>
  <c r="BM93" i="7"/>
  <c r="BN93" i="7"/>
  <c r="BO93" i="7"/>
  <c r="BP93" i="7"/>
  <c r="BQ93" i="7"/>
  <c r="BR93" i="7"/>
  <c r="BS93" i="7"/>
  <c r="BT93" i="7"/>
  <c r="BU93" i="7"/>
  <c r="BV93" i="7"/>
  <c r="BW93" i="7"/>
  <c r="BX93" i="7"/>
  <c r="BX108" i="7" s="1"/>
  <c r="BY93" i="7"/>
  <c r="BZ93" i="7"/>
  <c r="CA93" i="7"/>
  <c r="CB93" i="7"/>
  <c r="CB108" i="7" s="1"/>
  <c r="CC93" i="7"/>
  <c r="CC108" i="7" s="1"/>
  <c r="CD93" i="7"/>
  <c r="CE93" i="7"/>
  <c r="CF93" i="7"/>
  <c r="CG93" i="7"/>
  <c r="CH93" i="7"/>
  <c r="CI93" i="7"/>
  <c r="CJ93" i="7"/>
  <c r="CJ108" i="7" s="1"/>
  <c r="CK93" i="7"/>
  <c r="CL93" i="7"/>
  <c r="CM93" i="7"/>
  <c r="CN93" i="7"/>
  <c r="CO93" i="7"/>
  <c r="CP93" i="7"/>
  <c r="CQ93" i="7"/>
  <c r="CR93" i="7"/>
  <c r="CS93" i="7"/>
  <c r="CS108" i="7" s="1"/>
  <c r="CT93" i="7"/>
  <c r="CU93" i="7"/>
  <c r="CV93" i="7"/>
  <c r="CW93" i="7"/>
  <c r="CX93" i="7"/>
  <c r="CY93" i="7"/>
  <c r="CZ93" i="7"/>
  <c r="DA93" i="7"/>
  <c r="DB93" i="7"/>
  <c r="DC93" i="7"/>
  <c r="DD93" i="7"/>
  <c r="DE93" i="7"/>
  <c r="DF93" i="7"/>
  <c r="DG93" i="7"/>
  <c r="DH93" i="7"/>
  <c r="DI93" i="7"/>
  <c r="DJ93" i="7"/>
  <c r="DK93" i="7"/>
  <c r="DL93" i="7"/>
  <c r="DM93" i="7"/>
  <c r="DM108" i="7" s="1"/>
  <c r="DN93" i="7"/>
  <c r="DO93" i="7"/>
  <c r="DP93" i="7"/>
  <c r="DQ93" i="7"/>
  <c r="DR93" i="7"/>
  <c r="DS93" i="7"/>
  <c r="DT93" i="7"/>
  <c r="DU93" i="7"/>
  <c r="DV93" i="7"/>
  <c r="DW93" i="7"/>
  <c r="DX93" i="7"/>
  <c r="DY93" i="7"/>
  <c r="DY108" i="7" s="1"/>
  <c r="DZ93" i="7"/>
  <c r="EA93" i="7"/>
  <c r="EB93" i="7"/>
  <c r="EC93" i="7"/>
  <c r="EC108" i="7" s="1"/>
  <c r="ED93" i="7"/>
  <c r="EE93" i="7"/>
  <c r="EF93" i="7"/>
  <c r="EG93" i="7"/>
  <c r="EH93" i="7"/>
  <c r="EI93" i="7"/>
  <c r="EJ93" i="7"/>
  <c r="J27" i="7"/>
  <c r="K37" i="7"/>
  <c r="L37" i="7" s="1"/>
  <c r="M37" i="7" s="1"/>
  <c r="N37" i="7" s="1"/>
  <c r="O37" i="7" s="1"/>
  <c r="P37" i="7" s="1"/>
  <c r="Q37" i="7" s="1"/>
  <c r="R37" i="7" s="1"/>
  <c r="S37" i="7" s="1"/>
  <c r="T37" i="7" s="1"/>
  <c r="K39" i="7"/>
  <c r="J43" i="7"/>
  <c r="K43" i="7"/>
  <c r="L43" i="7"/>
  <c r="M43" i="7"/>
  <c r="N43" i="7"/>
  <c r="O43" i="7"/>
  <c r="P43" i="7"/>
  <c r="Q43" i="7"/>
  <c r="R43" i="7"/>
  <c r="S43" i="7"/>
  <c r="T43" i="7"/>
  <c r="H44" i="7"/>
  <c r="H45" i="7" s="1"/>
  <c r="H46" i="7" s="1"/>
  <c r="I43" i="7"/>
  <c r="I33" i="7"/>
  <c r="I34" i="7"/>
  <c r="I35" i="7"/>
  <c r="I36" i="7"/>
  <c r="I40" i="7"/>
  <c r="H41" i="7"/>
  <c r="I41" i="7" s="1"/>
  <c r="H33" i="7"/>
  <c r="H34" i="7"/>
  <c r="H35" i="7"/>
  <c r="H36" i="7"/>
  <c r="H37" i="7"/>
  <c r="I37" i="7" s="1"/>
  <c r="J37" i="7" s="1"/>
  <c r="H38" i="7"/>
  <c r="I38" i="7" s="1"/>
  <c r="H39" i="7"/>
  <c r="I39" i="7" s="1"/>
  <c r="J39" i="7" s="1"/>
  <c r="H40" i="7"/>
  <c r="H32" i="7"/>
  <c r="I32" i="7" s="1"/>
  <c r="I28" i="7"/>
  <c r="I29" i="7"/>
  <c r="I27" i="7"/>
  <c r="H20" i="7"/>
  <c r="BF17" i="7"/>
  <c r="BE17" i="7"/>
  <c r="BD17" i="7"/>
  <c r="BD93" i="7" s="1"/>
  <c r="BC17" i="7"/>
  <c r="BB17" i="7"/>
  <c r="BB93" i="7" s="1"/>
  <c r="BA17" i="7"/>
  <c r="BA93" i="7" s="1"/>
  <c r="AZ17" i="7"/>
  <c r="AZ93" i="7" s="1"/>
  <c r="AY17" i="7"/>
  <c r="AY93" i="7" s="1"/>
  <c r="AX17" i="7"/>
  <c r="AX93" i="7" s="1"/>
  <c r="AW17" i="7"/>
  <c r="AW93" i="7" s="1"/>
  <c r="AV17" i="7"/>
  <c r="AV93" i="7" s="1"/>
  <c r="AU17" i="7"/>
  <c r="AU93" i="7" s="1"/>
  <c r="AT17" i="7"/>
  <c r="AT93" i="7" s="1"/>
  <c r="AS17" i="7"/>
  <c r="AS93" i="7" s="1"/>
  <c r="AR17" i="7"/>
  <c r="AR93" i="7" s="1"/>
  <c r="AQ17" i="7"/>
  <c r="AP17" i="7"/>
  <c r="AP93" i="7" s="1"/>
  <c r="AO17" i="7"/>
  <c r="AO93" i="7" s="1"/>
  <c r="AN17" i="7"/>
  <c r="AN93" i="7" s="1"/>
  <c r="AM17" i="7"/>
  <c r="AM93" i="7" s="1"/>
  <c r="H9" i="7"/>
  <c r="H8" i="7"/>
  <c r="F47" i="15"/>
  <c r="F43" i="15" a="1"/>
  <c r="F43" i="15" s="1"/>
  <c r="E40" i="15"/>
  <c r="E39" i="15"/>
  <c r="E38" i="15"/>
  <c r="E37" i="15"/>
  <c r="E21" i="15"/>
  <c r="E27" i="15" s="1"/>
  <c r="F27" i="15"/>
  <c r="F31" i="15"/>
  <c r="F25" i="15"/>
  <c r="E25" i="15"/>
  <c r="F24" i="15"/>
  <c r="F23" i="15"/>
  <c r="F21" i="15"/>
  <c r="F18" i="15"/>
  <c r="F19" i="15"/>
  <c r="F20" i="15"/>
  <c r="F17" i="15"/>
  <c r="F12" i="15"/>
  <c r="F13" i="15"/>
  <c r="F14" i="15"/>
  <c r="F11" i="15"/>
  <c r="E15" i="15"/>
  <c r="F7" i="15"/>
  <c r="F8" i="15"/>
  <c r="F6" i="15"/>
  <c r="E9" i="15"/>
  <c r="C242" i="7"/>
  <c r="C241" i="7"/>
  <c r="C223" i="7"/>
  <c r="C222" i="7"/>
  <c r="C204" i="7"/>
  <c r="C203" i="7"/>
  <c r="C190" i="7"/>
  <c r="B190" i="7" s="1"/>
  <c r="C188" i="7"/>
  <c r="U129" i="6"/>
  <c r="U128" i="6"/>
  <c r="U127" i="6"/>
  <c r="U126" i="6"/>
  <c r="U125" i="6"/>
  <c r="U124" i="6"/>
  <c r="U123" i="6"/>
  <c r="U122" i="6"/>
  <c r="U121" i="6"/>
  <c r="U120" i="6"/>
  <c r="U119" i="6"/>
  <c r="U118" i="6"/>
  <c r="U117" i="6"/>
  <c r="U116" i="6"/>
  <c r="U115" i="6"/>
  <c r="U114" i="6"/>
  <c r="U113" i="6"/>
  <c r="U112" i="6"/>
  <c r="U111" i="6"/>
  <c r="U110" i="6"/>
  <c r="U109" i="6"/>
  <c r="U108" i="6"/>
  <c r="U107" i="6"/>
  <c r="U106" i="6"/>
  <c r="U105" i="6"/>
  <c r="U104" i="6"/>
  <c r="U103" i="6"/>
  <c r="U102" i="6"/>
  <c r="U101" i="6"/>
  <c r="U100" i="6"/>
  <c r="U99" i="6"/>
  <c r="U98" i="6"/>
  <c r="U97" i="6"/>
  <c r="U96" i="6"/>
  <c r="U95" i="6"/>
  <c r="U94" i="6"/>
  <c r="U93" i="6"/>
  <c r="U92" i="6"/>
  <c r="U91" i="6"/>
  <c r="U90" i="6"/>
  <c r="U89" i="6"/>
  <c r="U88" i="6"/>
  <c r="U87" i="6"/>
  <c r="U86" i="6"/>
  <c r="U85" i="6"/>
  <c r="U84" i="6"/>
  <c r="U83" i="6"/>
  <c r="U82" i="6"/>
  <c r="U81" i="6"/>
  <c r="U80" i="6"/>
  <c r="U79" i="6"/>
  <c r="U78" i="6"/>
  <c r="U77" i="6"/>
  <c r="U76" i="6"/>
  <c r="U75" i="6"/>
  <c r="U74" i="6"/>
  <c r="U73" i="6"/>
  <c r="U72" i="6"/>
  <c r="U71" i="6"/>
  <c r="U70" i="6"/>
  <c r="U69" i="6"/>
  <c r="U68" i="6"/>
  <c r="U67" i="6"/>
  <c r="U66" i="6"/>
  <c r="U65" i="6"/>
  <c r="U64" i="6"/>
  <c r="U63" i="6"/>
  <c r="U62" i="6"/>
  <c r="U61" i="6"/>
  <c r="U60" i="6"/>
  <c r="U59" i="6"/>
  <c r="U58" i="6"/>
  <c r="U57" i="6"/>
  <c r="U56" i="6"/>
  <c r="U55" i="6"/>
  <c r="U54" i="6"/>
  <c r="U53" i="6"/>
  <c r="U52" i="6"/>
  <c r="U51" i="6"/>
  <c r="U50" i="6"/>
  <c r="U49" i="6"/>
  <c r="U48" i="6"/>
  <c r="U47" i="6"/>
  <c r="U46" i="6"/>
  <c r="X10" i="6"/>
  <c r="U10" i="6" s="1"/>
  <c r="L139" i="7" l="1"/>
  <c r="L140" i="7"/>
  <c r="M137" i="7" s="1"/>
  <c r="J111" i="7"/>
  <c r="J35" i="7"/>
  <c r="L39" i="7"/>
  <c r="K27" i="7"/>
  <c r="J28" i="7"/>
  <c r="J40" i="7"/>
  <c r="J36" i="7"/>
  <c r="I69" i="7"/>
  <c r="J32" i="7"/>
  <c r="J33" i="7"/>
  <c r="CL108" i="7"/>
  <c r="J34" i="7"/>
  <c r="CX108" i="7"/>
  <c r="I75" i="7"/>
  <c r="J38" i="7"/>
  <c r="J41" i="7"/>
  <c r="J29" i="7"/>
  <c r="EH108" i="7"/>
  <c r="DV108" i="7"/>
  <c r="DJ108" i="7"/>
  <c r="BZ108" i="7"/>
  <c r="CO108" i="7"/>
  <c r="EI108" i="7"/>
  <c r="DW108" i="7"/>
  <c r="DK108" i="7"/>
  <c r="CM108" i="7"/>
  <c r="BY108" i="7"/>
  <c r="J44" i="7"/>
  <c r="DA108" i="7"/>
  <c r="DL108" i="7"/>
  <c r="CZ108" i="7"/>
  <c r="DQ108" i="7"/>
  <c r="EA108" i="7"/>
  <c r="DO108" i="7"/>
  <c r="DC108" i="7"/>
  <c r="CQ108" i="7"/>
  <c r="CE108" i="7"/>
  <c r="BS108" i="7"/>
  <c r="DZ108" i="7"/>
  <c r="DN108" i="7"/>
  <c r="DB108" i="7"/>
  <c r="CP108" i="7"/>
  <c r="CD108" i="7"/>
  <c r="BR108" i="7"/>
  <c r="K44" i="7"/>
  <c r="H14" i="7"/>
  <c r="H90" i="7" s="1"/>
  <c r="H15" i="7"/>
  <c r="H16" i="7"/>
  <c r="H92" i="7" s="1"/>
  <c r="H23" i="7"/>
  <c r="H24" i="7" s="1"/>
  <c r="I22" i="7" s="1"/>
  <c r="I61" i="7" s="1"/>
  <c r="B241" i="7"/>
  <c r="I44" i="7"/>
  <c r="F15" i="15"/>
  <c r="F9" i="15"/>
  <c r="C187" i="7"/>
  <c r="B203" i="7"/>
  <c r="B222" i="7"/>
  <c r="C146" i="7"/>
  <c r="M139" i="7" l="1"/>
  <c r="M140" i="7" s="1"/>
  <c r="N137" i="7" s="1"/>
  <c r="K111" i="7"/>
  <c r="I71" i="7"/>
  <c r="K29" i="7"/>
  <c r="I70" i="7"/>
  <c r="I63" i="7"/>
  <c r="K33" i="7"/>
  <c r="H17" i="7"/>
  <c r="H93" i="7" s="1"/>
  <c r="H91" i="7"/>
  <c r="K38" i="7"/>
  <c r="H108" i="7"/>
  <c r="K40" i="7"/>
  <c r="K28" i="7"/>
  <c r="K34" i="7"/>
  <c r="I62" i="7"/>
  <c r="L27" i="7"/>
  <c r="M39" i="7"/>
  <c r="I49" i="7"/>
  <c r="K32" i="7"/>
  <c r="K35" i="7"/>
  <c r="K41" i="7"/>
  <c r="I73" i="7"/>
  <c r="I72" i="7"/>
  <c r="K36" i="7"/>
  <c r="L44" i="7"/>
  <c r="N139" i="7" l="1"/>
  <c r="N140" i="7"/>
  <c r="O137" i="7" s="1"/>
  <c r="L111" i="7"/>
  <c r="M27" i="7"/>
  <c r="L35" i="7"/>
  <c r="L32" i="7"/>
  <c r="L28" i="7"/>
  <c r="L33" i="7"/>
  <c r="L38" i="7"/>
  <c r="L41" i="7"/>
  <c r="L34" i="7"/>
  <c r="L29" i="7"/>
  <c r="L36" i="7"/>
  <c r="N39" i="7"/>
  <c r="L40" i="7"/>
  <c r="M44" i="7"/>
  <c r="D71" i="6"/>
  <c r="E49" i="6" s="1"/>
  <c r="J58" i="14"/>
  <c r="J57" i="14"/>
  <c r="J56" i="14"/>
  <c r="J55" i="14"/>
  <c r="D54" i="14"/>
  <c r="D55" i="14"/>
  <c r="D53" i="14"/>
  <c r="O139" i="7" l="1"/>
  <c r="O140" i="7"/>
  <c r="P137" i="7" s="1"/>
  <c r="M111" i="7"/>
  <c r="M36" i="7"/>
  <c r="M29" i="7"/>
  <c r="M32" i="7"/>
  <c r="M34" i="7"/>
  <c r="M41" i="7"/>
  <c r="O39" i="7"/>
  <c r="M28" i="7"/>
  <c r="M38" i="7"/>
  <c r="M33" i="7"/>
  <c r="M35" i="7"/>
  <c r="M40" i="7"/>
  <c r="N27" i="7"/>
  <c r="N44" i="7"/>
  <c r="G31" i="6"/>
  <c r="G32" i="6"/>
  <c r="G33" i="6"/>
  <c r="G30" i="6"/>
  <c r="H150" i="7"/>
  <c r="P139" i="7" l="1"/>
  <c r="P140" i="7"/>
  <c r="Q137" i="7" s="1"/>
  <c r="E29" i="15"/>
  <c r="F29" i="15" s="1"/>
  <c r="H109" i="7"/>
  <c r="N33" i="7"/>
  <c r="N34" i="7"/>
  <c r="N38" i="7"/>
  <c r="N32" i="7"/>
  <c r="N29" i="7"/>
  <c r="P39" i="7"/>
  <c r="N35" i="7"/>
  <c r="N40" i="7"/>
  <c r="N41" i="7"/>
  <c r="N28" i="7"/>
  <c r="O27" i="7"/>
  <c r="N36" i="7"/>
  <c r="O44" i="7"/>
  <c r="G34" i="6"/>
  <c r="Q140" i="7" l="1"/>
  <c r="R137" i="7" s="1"/>
  <c r="Q139" i="7"/>
  <c r="N111" i="7"/>
  <c r="O111" i="7"/>
  <c r="O29" i="7"/>
  <c r="O41" i="7"/>
  <c r="O40" i="7"/>
  <c r="O34" i="7"/>
  <c r="O35" i="7"/>
  <c r="O33" i="7"/>
  <c r="P27" i="7"/>
  <c r="O32" i="7"/>
  <c r="O28" i="7"/>
  <c r="O38" i="7"/>
  <c r="O36" i="7"/>
  <c r="Q39" i="7"/>
  <c r="P44" i="7"/>
  <c r="J33" i="6"/>
  <c r="J32" i="6"/>
  <c r="J31" i="6"/>
  <c r="J30" i="6"/>
  <c r="F43" i="6"/>
  <c r="J39" i="6"/>
  <c r="F54" i="14" s="1"/>
  <c r="J40" i="6"/>
  <c r="F55" i="14" s="1"/>
  <c r="J38" i="6"/>
  <c r="F53" i="14" s="1"/>
  <c r="G38" i="6"/>
  <c r="R139" i="7" l="1"/>
  <c r="R140" i="7" s="1"/>
  <c r="S137" i="7" s="1"/>
  <c r="P111" i="7"/>
  <c r="P35" i="7"/>
  <c r="P33" i="7"/>
  <c r="P28" i="7"/>
  <c r="P32" i="7"/>
  <c r="P41" i="7"/>
  <c r="R39" i="7"/>
  <c r="P36" i="7"/>
  <c r="P38" i="7"/>
  <c r="P34" i="7"/>
  <c r="P40" i="7"/>
  <c r="Q27" i="7"/>
  <c r="P29" i="7"/>
  <c r="Q44" i="7"/>
  <c r="J43" i="6"/>
  <c r="F58" i="14" s="1"/>
  <c r="D58" i="14"/>
  <c r="I38" i="6"/>
  <c r="E53" i="14" s="1"/>
  <c r="C53" i="14"/>
  <c r="F41" i="6"/>
  <c r="D56" i="14" s="1"/>
  <c r="G39" i="6"/>
  <c r="G40" i="6"/>
  <c r="S139" i="7" l="1"/>
  <c r="S140" i="7" s="1"/>
  <c r="T137" i="7" s="1"/>
  <c r="Q40" i="7"/>
  <c r="Q28" i="7"/>
  <c r="Q33" i="7"/>
  <c r="R27" i="7"/>
  <c r="Q41" i="7"/>
  <c r="Q32" i="7"/>
  <c r="Q29" i="7"/>
  <c r="S39" i="7"/>
  <c r="Q34" i="7"/>
  <c r="Q38" i="7"/>
  <c r="Q35" i="7"/>
  <c r="Q36" i="7"/>
  <c r="R44" i="7"/>
  <c r="I39" i="6"/>
  <c r="E54" i="14" s="1"/>
  <c r="C54" i="14"/>
  <c r="I40" i="6"/>
  <c r="E55" i="14" s="1"/>
  <c r="C55" i="14"/>
  <c r="F42" i="6"/>
  <c r="D57" i="14" s="1"/>
  <c r="G41" i="6"/>
  <c r="T140" i="7" l="1"/>
  <c r="U137" i="7" s="1"/>
  <c r="T139" i="7"/>
  <c r="Q111" i="7"/>
  <c r="R32" i="7"/>
  <c r="R35" i="7"/>
  <c r="R38" i="7"/>
  <c r="S27" i="7"/>
  <c r="R34" i="7"/>
  <c r="R33" i="7"/>
  <c r="T39" i="7"/>
  <c r="R36" i="7"/>
  <c r="R41" i="7"/>
  <c r="R28" i="7"/>
  <c r="R29" i="7"/>
  <c r="R40" i="7"/>
  <c r="S44" i="7"/>
  <c r="G42" i="6"/>
  <c r="C57" i="14" s="1"/>
  <c r="C56" i="14"/>
  <c r="H169" i="7"/>
  <c r="H172" i="7"/>
  <c r="H170" i="7"/>
  <c r="H171" i="7"/>
  <c r="U139" i="7" l="1"/>
  <c r="U140" i="7" s="1"/>
  <c r="V137" i="7" s="1"/>
  <c r="S40" i="7"/>
  <c r="S33" i="7"/>
  <c r="S34" i="7"/>
  <c r="S41" i="7"/>
  <c r="S29" i="7"/>
  <c r="S28" i="7"/>
  <c r="T27" i="7"/>
  <c r="S38" i="7"/>
  <c r="S36" i="7"/>
  <c r="S35" i="7"/>
  <c r="S32" i="7"/>
  <c r="T44" i="7"/>
  <c r="E171" i="7"/>
  <c r="D10" i="14" s="1"/>
  <c r="E170" i="7"/>
  <c r="D9" i="14" s="1"/>
  <c r="E172" i="7"/>
  <c r="D11" i="14" s="1"/>
  <c r="V139" i="7" l="1"/>
  <c r="V140" i="7" s="1"/>
  <c r="W137" i="7" s="1"/>
  <c r="R111" i="7"/>
  <c r="T29" i="7"/>
  <c r="T35" i="7"/>
  <c r="T34" i="7"/>
  <c r="T36" i="7"/>
  <c r="T38" i="7"/>
  <c r="T41" i="7"/>
  <c r="T33" i="7"/>
  <c r="T28" i="7"/>
  <c r="T40" i="7"/>
  <c r="T32" i="7"/>
  <c r="AC7" i="6"/>
  <c r="AB7" i="6" s="1"/>
  <c r="AE7" i="6"/>
  <c r="AF7" i="6" s="1"/>
  <c r="AA37" i="6"/>
  <c r="AA38" i="6" s="1"/>
  <c r="AA39" i="6" s="1"/>
  <c r="AA40" i="6" s="1"/>
  <c r="AA35" i="6"/>
  <c r="AA34" i="6" s="1"/>
  <c r="AA33" i="6" s="1"/>
  <c r="AA32" i="6" s="1"/>
  <c r="AC31" i="6"/>
  <c r="AB31" i="6" s="1"/>
  <c r="AE19" i="6"/>
  <c r="AF19" i="6" s="1"/>
  <c r="W139" i="7" l="1"/>
  <c r="W140" i="7"/>
  <c r="X137" i="7" s="1"/>
  <c r="U41" i="7"/>
  <c r="AE31" i="6"/>
  <c r="AF31" i="6" s="1"/>
  <c r="AC19" i="6"/>
  <c r="AB19" i="6" s="1"/>
  <c r="AA11" i="6"/>
  <c r="AA10" i="6" s="1"/>
  <c r="AA9" i="6" s="1"/>
  <c r="AA8" i="6" s="1"/>
  <c r="AA13" i="6"/>
  <c r="AA14" i="6" s="1"/>
  <c r="AA15" i="6" s="1"/>
  <c r="AA16" i="6" s="1"/>
  <c r="AA25" i="6"/>
  <c r="AA26" i="6" s="1"/>
  <c r="AA27" i="6" s="1"/>
  <c r="AA28" i="6" s="1"/>
  <c r="AA23" i="6"/>
  <c r="AA22" i="6" s="1"/>
  <c r="AA21" i="6" s="1"/>
  <c r="AA20" i="6" s="1"/>
  <c r="X139" i="7" l="1"/>
  <c r="X140" i="7" s="1"/>
  <c r="Y137" i="7" s="1"/>
  <c r="S111" i="7"/>
  <c r="V41" i="7"/>
  <c r="J41" i="14"/>
  <c r="J44" i="14"/>
  <c r="J43" i="14"/>
  <c r="J42" i="14"/>
  <c r="J40" i="14"/>
  <c r="Y139" i="7" l="1"/>
  <c r="Y140" i="7"/>
  <c r="Z137" i="7" s="1"/>
  <c r="W41" i="7"/>
  <c r="D42" i="14"/>
  <c r="J36" i="14"/>
  <c r="J35" i="14"/>
  <c r="I51" i="14"/>
  <c r="I50" i="14"/>
  <c r="I49" i="14"/>
  <c r="I48" i="14"/>
  <c r="J26" i="14"/>
  <c r="J24" i="14"/>
  <c r="J23" i="14"/>
  <c r="Z139" i="7" l="1"/>
  <c r="Z140" i="7"/>
  <c r="AA137" i="7" s="1"/>
  <c r="T111" i="7"/>
  <c r="X41" i="7"/>
  <c r="I52" i="14"/>
  <c r="J51" i="14" s="1"/>
  <c r="AA139" i="7" l="1"/>
  <c r="AA140" i="7" s="1"/>
  <c r="AB137" i="7" s="1"/>
  <c r="U111" i="7"/>
  <c r="Y41" i="7"/>
  <c r="J48" i="14"/>
  <c r="J50" i="14"/>
  <c r="J49" i="14"/>
  <c r="AB139" i="7" l="1"/>
  <c r="AB140" i="7" s="1"/>
  <c r="AC137" i="7" s="1"/>
  <c r="V111" i="7"/>
  <c r="Z41" i="7"/>
  <c r="J52" i="14"/>
  <c r="EL5" i="7"/>
  <c r="AC140" i="7" l="1"/>
  <c r="AD137" i="7" s="1"/>
  <c r="AC139" i="7"/>
  <c r="W111" i="7"/>
  <c r="AA41" i="7"/>
  <c r="EM5" i="7"/>
  <c r="H174" i="7"/>
  <c r="E174" i="7" s="1"/>
  <c r="D13" i="14" s="1"/>
  <c r="C34" i="6"/>
  <c r="E8" i="6" s="1"/>
  <c r="AD139" i="7" l="1"/>
  <c r="AD140" i="7" s="1"/>
  <c r="AE137" i="7" s="1"/>
  <c r="X111" i="7"/>
  <c r="AB41" i="7"/>
  <c r="EN5" i="7"/>
  <c r="EO5" i="7" s="1"/>
  <c r="EP5" i="7" s="1"/>
  <c r="EQ5" i="7" s="1"/>
  <c r="ER5" i="7" s="1"/>
  <c r="ES5" i="7" s="1"/>
  <c r="ET5" i="7" s="1"/>
  <c r="EU5" i="7" s="1"/>
  <c r="EV5" i="7" s="1"/>
  <c r="EW5" i="7" s="1"/>
  <c r="H41" i="6"/>
  <c r="E62" i="6"/>
  <c r="E61" i="6"/>
  <c r="E60" i="6"/>
  <c r="J25" i="14"/>
  <c r="D30" i="6"/>
  <c r="F34" i="6"/>
  <c r="J28" i="14" s="1"/>
  <c r="I34" i="6"/>
  <c r="E50" i="6" s="1"/>
  <c r="E54" i="6" s="1"/>
  <c r="J34" i="6"/>
  <c r="D33" i="6"/>
  <c r="D32" i="6"/>
  <c r="D31" i="6"/>
  <c r="AE140" i="7" l="1"/>
  <c r="AF137" i="7" s="1"/>
  <c r="AE139" i="7"/>
  <c r="AC41" i="7"/>
  <c r="F9" i="14"/>
  <c r="F13" i="14"/>
  <c r="F11" i="14"/>
  <c r="F10" i="14"/>
  <c r="J41" i="6"/>
  <c r="I41" i="6"/>
  <c r="E53" i="6"/>
  <c r="J27" i="14"/>
  <c r="D34" i="6"/>
  <c r="AF139" i="7" l="1"/>
  <c r="AF140" i="7" s="1"/>
  <c r="AG137" i="7" s="1"/>
  <c r="Y111" i="7"/>
  <c r="AD41" i="7"/>
  <c r="J42" i="6"/>
  <c r="F56" i="14"/>
  <c r="I42" i="6"/>
  <c r="E57" i="14" s="1"/>
  <c r="E56" i="14"/>
  <c r="E55" i="6"/>
  <c r="E51" i="6" s="1"/>
  <c r="J9" i="6"/>
  <c r="J10" i="6"/>
  <c r="J8" i="6"/>
  <c r="J7" i="6"/>
  <c r="AG139" i="7" l="1"/>
  <c r="AG140" i="7" s="1"/>
  <c r="AH137" i="7" s="1"/>
  <c r="AE41" i="7"/>
  <c r="E56" i="6"/>
  <c r="E58" i="6"/>
  <c r="F57" i="14"/>
  <c r="E61" i="14" s="1"/>
  <c r="H42" i="6"/>
  <c r="E57" i="6"/>
  <c r="M145" i="7"/>
  <c r="N145" i="7"/>
  <c r="O145" i="7"/>
  <c r="P145" i="7"/>
  <c r="Q145" i="7"/>
  <c r="R145" i="7"/>
  <c r="S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AJ145" i="7"/>
  <c r="AK145" i="7"/>
  <c r="AL145" i="7"/>
  <c r="AM145" i="7"/>
  <c r="AN145" i="7"/>
  <c r="AO145" i="7"/>
  <c r="AP145" i="7"/>
  <c r="AQ145" i="7"/>
  <c r="AR145" i="7"/>
  <c r="AS145" i="7"/>
  <c r="AT145" i="7"/>
  <c r="AU145" i="7"/>
  <c r="AV145" i="7"/>
  <c r="AW145" i="7"/>
  <c r="AX145" i="7"/>
  <c r="AY145" i="7"/>
  <c r="AZ145" i="7"/>
  <c r="BA145" i="7"/>
  <c r="BB145" i="7"/>
  <c r="BC145" i="7"/>
  <c r="BD145" i="7"/>
  <c r="BE145" i="7"/>
  <c r="BF145" i="7"/>
  <c r="BG145" i="7"/>
  <c r="BH145" i="7"/>
  <c r="BI145" i="7"/>
  <c r="BJ145" i="7"/>
  <c r="BK145" i="7"/>
  <c r="BL145" i="7"/>
  <c r="BM145" i="7"/>
  <c r="BN145" i="7"/>
  <c r="BO145" i="7"/>
  <c r="BP145" i="7"/>
  <c r="BQ145" i="7"/>
  <c r="BR145" i="7"/>
  <c r="BS145" i="7"/>
  <c r="BT145" i="7"/>
  <c r="BU145" i="7"/>
  <c r="BV145" i="7"/>
  <c r="BW145" i="7"/>
  <c r="BX145" i="7"/>
  <c r="BY145" i="7"/>
  <c r="BZ145" i="7"/>
  <c r="CA145" i="7"/>
  <c r="CB145" i="7"/>
  <c r="CC145" i="7"/>
  <c r="CD145" i="7"/>
  <c r="CE145" i="7"/>
  <c r="CF145" i="7"/>
  <c r="CG145" i="7"/>
  <c r="CH145" i="7"/>
  <c r="CI145" i="7"/>
  <c r="CJ145" i="7"/>
  <c r="CK145" i="7"/>
  <c r="CL145" i="7"/>
  <c r="CM145" i="7"/>
  <c r="CN145" i="7"/>
  <c r="CO145" i="7"/>
  <c r="CP145" i="7"/>
  <c r="CQ145" i="7"/>
  <c r="CR145" i="7"/>
  <c r="CS145" i="7"/>
  <c r="CT145" i="7"/>
  <c r="CU145" i="7"/>
  <c r="CV145" i="7"/>
  <c r="CW145" i="7"/>
  <c r="CX145" i="7"/>
  <c r="CY145" i="7"/>
  <c r="CZ145" i="7"/>
  <c r="DA145" i="7"/>
  <c r="DB145" i="7"/>
  <c r="DC145" i="7"/>
  <c r="DD145" i="7"/>
  <c r="DE145" i="7"/>
  <c r="DF145" i="7"/>
  <c r="DG145" i="7"/>
  <c r="DH145" i="7"/>
  <c r="DI145" i="7"/>
  <c r="DJ145" i="7"/>
  <c r="DK145" i="7"/>
  <c r="DL145" i="7"/>
  <c r="DM145" i="7"/>
  <c r="DN145" i="7"/>
  <c r="DO145" i="7"/>
  <c r="DP145" i="7"/>
  <c r="DQ145" i="7"/>
  <c r="DR145" i="7"/>
  <c r="DS145" i="7"/>
  <c r="DT145" i="7"/>
  <c r="DU145" i="7"/>
  <c r="DV145" i="7"/>
  <c r="DW145" i="7"/>
  <c r="DX145" i="7"/>
  <c r="DY145" i="7"/>
  <c r="DZ145" i="7"/>
  <c r="EA145" i="7"/>
  <c r="EB145" i="7"/>
  <c r="EC145" i="7"/>
  <c r="ED145" i="7"/>
  <c r="EE145" i="7"/>
  <c r="EF145" i="7"/>
  <c r="EG145" i="7"/>
  <c r="EH145" i="7"/>
  <c r="EI145" i="7"/>
  <c r="EJ145" i="7"/>
  <c r="I145" i="7"/>
  <c r="J145" i="7"/>
  <c r="K145" i="7"/>
  <c r="L145" i="7"/>
  <c r="T10" i="6"/>
  <c r="T11" i="6" s="1"/>
  <c r="T12" i="6" s="1"/>
  <c r="T13" i="6" s="1"/>
  <c r="T14" i="6" s="1"/>
  <c r="T15" i="6" s="1"/>
  <c r="T16" i="6" s="1"/>
  <c r="T17" i="6" s="1"/>
  <c r="T18" i="6" s="1"/>
  <c r="AH139" i="7" l="1"/>
  <c r="AH140" i="7" s="1"/>
  <c r="AI137" i="7" s="1"/>
  <c r="Z111" i="7"/>
  <c r="AF41" i="7"/>
  <c r="T19" i="6"/>
  <c r="AI139" i="7" l="1"/>
  <c r="AI140" i="7" s="1"/>
  <c r="AJ137" i="7" s="1"/>
  <c r="AG41" i="7"/>
  <c r="T20" i="6"/>
  <c r="AJ139" i="7" l="1"/>
  <c r="AJ140" i="7"/>
  <c r="AK137" i="7" s="1"/>
  <c r="AA111" i="7"/>
  <c r="AH41" i="7"/>
  <c r="T21" i="6"/>
  <c r="AK139" i="7" l="1"/>
  <c r="AK140" i="7"/>
  <c r="AL137" i="7" s="1"/>
  <c r="AI41" i="7"/>
  <c r="T22" i="6"/>
  <c r="AL139" i="7" l="1"/>
  <c r="AL140" i="7" s="1"/>
  <c r="AM137" i="7" s="1"/>
  <c r="AB111" i="7"/>
  <c r="AJ41" i="7"/>
  <c r="T23" i="6"/>
  <c r="AM139" i="7" l="1"/>
  <c r="AM140" i="7"/>
  <c r="AN137" i="7" s="1"/>
  <c r="AK41" i="7"/>
  <c r="T24" i="6"/>
  <c r="AN139" i="7" l="1"/>
  <c r="AN140" i="7"/>
  <c r="AO137" i="7" s="1"/>
  <c r="AC111" i="7"/>
  <c r="AL41" i="7"/>
  <c r="T25" i="6"/>
  <c r="AO139" i="7" l="1"/>
  <c r="AO140" i="7" s="1"/>
  <c r="AP137" i="7" s="1"/>
  <c r="AM41" i="7"/>
  <c r="T26" i="6"/>
  <c r="AP139" i="7" l="1"/>
  <c r="AP140" i="7" s="1"/>
  <c r="AQ137" i="7" s="1"/>
  <c r="AD111" i="7"/>
  <c r="AN41" i="7"/>
  <c r="T27" i="6"/>
  <c r="AQ139" i="7" l="1"/>
  <c r="AQ140" i="7" s="1"/>
  <c r="AR137" i="7" s="1"/>
  <c r="AO41" i="7"/>
  <c r="T28" i="6"/>
  <c r="AR139" i="7" l="1"/>
  <c r="AR140" i="7" s="1"/>
  <c r="AS137" i="7" s="1"/>
  <c r="AE111" i="7"/>
  <c r="AP41" i="7"/>
  <c r="T29" i="6"/>
  <c r="AS139" i="7" l="1"/>
  <c r="AS140" i="7" s="1"/>
  <c r="AT137" i="7" s="1"/>
  <c r="AQ41" i="7"/>
  <c r="T30" i="6"/>
  <c r="AT139" i="7" l="1"/>
  <c r="AT140" i="7" s="1"/>
  <c r="AU137" i="7" s="1"/>
  <c r="AF111" i="7"/>
  <c r="AR41" i="7"/>
  <c r="T31" i="6"/>
  <c r="AU139" i="7" l="1"/>
  <c r="AU140" i="7" s="1"/>
  <c r="AV137" i="7" s="1"/>
  <c r="AS41" i="7"/>
  <c r="T32" i="6"/>
  <c r="AV139" i="7" l="1"/>
  <c r="AV140" i="7" s="1"/>
  <c r="AW137" i="7" s="1"/>
  <c r="AG111" i="7"/>
  <c r="AT41" i="7"/>
  <c r="T33" i="6"/>
  <c r="AW139" i="7" l="1"/>
  <c r="AW140" i="7"/>
  <c r="AX137" i="7" s="1"/>
  <c r="AU41" i="7"/>
  <c r="T34" i="6"/>
  <c r="AX139" i="7" l="1"/>
  <c r="AX140" i="7"/>
  <c r="AY137" i="7" s="1"/>
  <c r="AH111" i="7"/>
  <c r="AV41" i="7"/>
  <c r="T35" i="6"/>
  <c r="AY139" i="7" l="1"/>
  <c r="AY140" i="7" s="1"/>
  <c r="AZ137" i="7" s="1"/>
  <c r="AI111" i="7"/>
  <c r="AW41" i="7"/>
  <c r="T36" i="6"/>
  <c r="AZ139" i="7" l="1"/>
  <c r="AZ140" i="7"/>
  <c r="BA137" i="7" s="1"/>
  <c r="AJ111" i="7"/>
  <c r="AX41" i="7"/>
  <c r="T37" i="6"/>
  <c r="BA139" i="7" l="1"/>
  <c r="BA140" i="7" s="1"/>
  <c r="BB137" i="7" s="1"/>
  <c r="AK111" i="7"/>
  <c r="AY41" i="7"/>
  <c r="T38" i="6"/>
  <c r="BB139" i="7" l="1"/>
  <c r="BB140" i="7" s="1"/>
  <c r="BC137" i="7" s="1"/>
  <c r="AZ41" i="7"/>
  <c r="T39" i="6"/>
  <c r="BC139" i="7" l="1"/>
  <c r="BC140" i="7" s="1"/>
  <c r="BD137" i="7" s="1"/>
  <c r="AL111" i="7"/>
  <c r="BA41" i="7"/>
  <c r="T40" i="6"/>
  <c r="BD139" i="7" l="1"/>
  <c r="BD140" i="7" s="1"/>
  <c r="BE137" i="7" s="1"/>
  <c r="BB41" i="7"/>
  <c r="T41" i="6"/>
  <c r="BE140" i="7" l="1"/>
  <c r="BF137" i="7" s="1"/>
  <c r="BE139" i="7"/>
  <c r="AM111" i="7"/>
  <c r="BC41" i="7"/>
  <c r="T42" i="6"/>
  <c r="BF139" i="7" l="1"/>
  <c r="BF140" i="7" s="1"/>
  <c r="BG137" i="7" s="1"/>
  <c r="BD41" i="7"/>
  <c r="T43" i="6"/>
  <c r="BG139" i="7" l="1"/>
  <c r="BG140" i="7" s="1"/>
  <c r="BH137" i="7" s="1"/>
  <c r="AN111" i="7"/>
  <c r="BE41" i="7"/>
  <c r="T44" i="6"/>
  <c r="BH139" i="7" l="1"/>
  <c r="BH140" i="7"/>
  <c r="BI137" i="7" s="1"/>
  <c r="BF41" i="7"/>
  <c r="T45" i="6"/>
  <c r="BI139" i="7" l="1"/>
  <c r="BI140" i="7"/>
  <c r="BJ137" i="7" s="1"/>
  <c r="AO111" i="7"/>
  <c r="BG41" i="7"/>
  <c r="T46" i="6"/>
  <c r="BJ139" i="7" l="1"/>
  <c r="BJ140" i="7"/>
  <c r="BK137" i="7" s="1"/>
  <c r="AP111" i="7"/>
  <c r="BH41" i="7"/>
  <c r="T47" i="6"/>
  <c r="BK139" i="7" l="1"/>
  <c r="BK140" i="7"/>
  <c r="BL137" i="7" s="1"/>
  <c r="AQ111" i="7"/>
  <c r="BI41" i="7"/>
  <c r="T48" i="6"/>
  <c r="BL139" i="7" l="1"/>
  <c r="BL140" i="7"/>
  <c r="BM137" i="7" s="1"/>
  <c r="BJ41" i="7"/>
  <c r="T49" i="6"/>
  <c r="BM139" i="7" l="1"/>
  <c r="BM140" i="7" s="1"/>
  <c r="BN137" i="7" s="1"/>
  <c r="AR111" i="7"/>
  <c r="BK41" i="7"/>
  <c r="T50" i="6"/>
  <c r="BN139" i="7" l="1"/>
  <c r="BN140" i="7" s="1"/>
  <c r="BO137" i="7" s="1"/>
  <c r="BL41" i="7"/>
  <c r="T51" i="6"/>
  <c r="BO139" i="7" l="1"/>
  <c r="BO140" i="7" s="1"/>
  <c r="BP137" i="7" s="1"/>
  <c r="AS111" i="7"/>
  <c r="BM41" i="7"/>
  <c r="T52" i="6"/>
  <c r="BP139" i="7" l="1"/>
  <c r="BP140" i="7" s="1"/>
  <c r="BQ137" i="7" s="1"/>
  <c r="AT111" i="7"/>
  <c r="BN41" i="7"/>
  <c r="T53" i="6"/>
  <c r="BQ139" i="7" l="1"/>
  <c r="BQ140" i="7" s="1"/>
  <c r="BR137" i="7" s="1"/>
  <c r="BO41" i="7"/>
  <c r="T54" i="6"/>
  <c r="BR139" i="7" l="1"/>
  <c r="BR140" i="7" s="1"/>
  <c r="BS137" i="7" s="1"/>
  <c r="AU111" i="7"/>
  <c r="BP41" i="7"/>
  <c r="T55" i="6"/>
  <c r="T56" i="6" s="1"/>
  <c r="T57" i="6" s="1"/>
  <c r="T58" i="6" s="1"/>
  <c r="T59" i="6" s="1"/>
  <c r="T60" i="6" s="1"/>
  <c r="T61" i="6" s="1"/>
  <c r="T62" i="6" s="1"/>
  <c r="T63" i="6" s="1"/>
  <c r="T64" i="6" s="1"/>
  <c r="T65" i="6" s="1"/>
  <c r="T66" i="6" s="1"/>
  <c r="T67" i="6" s="1"/>
  <c r="T68" i="6" s="1"/>
  <c r="T69" i="6" s="1"/>
  <c r="T70" i="6" s="1"/>
  <c r="T71" i="6" s="1"/>
  <c r="T72" i="6" s="1"/>
  <c r="T73" i="6" s="1"/>
  <c r="T74" i="6" s="1"/>
  <c r="T75" i="6" s="1"/>
  <c r="T76" i="6" s="1"/>
  <c r="T77" i="6" s="1"/>
  <c r="T78" i="6" s="1"/>
  <c r="T79" i="6" s="1"/>
  <c r="T80" i="6" s="1"/>
  <c r="T81" i="6" s="1"/>
  <c r="T82" i="6" s="1"/>
  <c r="T83" i="6" s="1"/>
  <c r="T84" i="6" s="1"/>
  <c r="T85" i="6" s="1"/>
  <c r="T86" i="6" s="1"/>
  <c r="T87" i="6" s="1"/>
  <c r="T88" i="6" s="1"/>
  <c r="T89" i="6" s="1"/>
  <c r="T90" i="6" s="1"/>
  <c r="T91" i="6" s="1"/>
  <c r="T92" i="6" s="1"/>
  <c r="T93" i="6" s="1"/>
  <c r="T94" i="6" s="1"/>
  <c r="BS139" i="7" l="1"/>
  <c r="BS140" i="7"/>
  <c r="BT137" i="7" s="1"/>
  <c r="BQ41" i="7"/>
  <c r="T95" i="6"/>
  <c r="BT139" i="7" l="1"/>
  <c r="BT140" i="7"/>
  <c r="BU137" i="7" s="1"/>
  <c r="AV111" i="7"/>
  <c r="BR41" i="7"/>
  <c r="T96" i="6"/>
  <c r="BU139" i="7" l="1"/>
  <c r="BU140" i="7"/>
  <c r="BV137" i="7" s="1"/>
  <c r="BS41" i="7"/>
  <c r="T97" i="6"/>
  <c r="BV139" i="7" l="1"/>
  <c r="BV140" i="7"/>
  <c r="BW137" i="7" s="1"/>
  <c r="AW111" i="7"/>
  <c r="BT41" i="7"/>
  <c r="T98" i="6"/>
  <c r="BW139" i="7" l="1"/>
  <c r="BW140" i="7" s="1"/>
  <c r="BX137" i="7" s="1"/>
  <c r="AX111" i="7"/>
  <c r="BU41" i="7"/>
  <c r="T99" i="6"/>
  <c r="BX139" i="7" l="1"/>
  <c r="BX140" i="7"/>
  <c r="BY137" i="7" s="1"/>
  <c r="BV41" i="7"/>
  <c r="T100" i="6"/>
  <c r="BY139" i="7" l="1"/>
  <c r="BY140" i="7" s="1"/>
  <c r="BZ137" i="7" s="1"/>
  <c r="AY111" i="7"/>
  <c r="BW41" i="7"/>
  <c r="T101" i="6"/>
  <c r="BZ139" i="7" l="1"/>
  <c r="BZ140" i="7" s="1"/>
  <c r="CA137" i="7" s="1"/>
  <c r="BX41" i="7"/>
  <c r="T102" i="6"/>
  <c r="CA139" i="7" l="1"/>
  <c r="CA140" i="7" s="1"/>
  <c r="CB137" i="7" s="1"/>
  <c r="AZ111" i="7"/>
  <c r="BY41" i="7"/>
  <c r="T103" i="6"/>
  <c r="CB139" i="7" l="1"/>
  <c r="CB140" i="7" s="1"/>
  <c r="CC137" i="7" s="1"/>
  <c r="BZ41" i="7"/>
  <c r="T104" i="6"/>
  <c r="CC139" i="7" l="1"/>
  <c r="CC140" i="7" s="1"/>
  <c r="CD137" i="7" s="1"/>
  <c r="BA111" i="7"/>
  <c r="CA41" i="7"/>
  <c r="T105" i="6"/>
  <c r="CD139" i="7" l="1"/>
  <c r="CD140" i="7" s="1"/>
  <c r="CE137" i="7" s="1"/>
  <c r="CB41" i="7"/>
  <c r="T106" i="6"/>
  <c r="CE139" i="7" l="1"/>
  <c r="CE140" i="7"/>
  <c r="CF137" i="7" s="1"/>
  <c r="BB111" i="7"/>
  <c r="CC41" i="7"/>
  <c r="T107" i="6"/>
  <c r="CF139" i="7" l="1"/>
  <c r="CF140" i="7" s="1"/>
  <c r="CG137" i="7" s="1"/>
  <c r="CD41" i="7"/>
  <c r="T108" i="6"/>
  <c r="CG139" i="7" l="1"/>
  <c r="CG140" i="7"/>
  <c r="CH137" i="7" s="1"/>
  <c r="BC111" i="7"/>
  <c r="CE41" i="7"/>
  <c r="T109" i="6"/>
  <c r="CH139" i="7" l="1"/>
  <c r="CH140" i="7"/>
  <c r="CI137" i="7" s="1"/>
  <c r="BD111" i="7"/>
  <c r="CF41" i="7"/>
  <c r="T110" i="6"/>
  <c r="CI139" i="7" l="1"/>
  <c r="CI140" i="7"/>
  <c r="CJ137" i="7" s="1"/>
  <c r="BE111" i="7"/>
  <c r="CG41" i="7"/>
  <c r="T111" i="6"/>
  <c r="CJ139" i="7" l="1"/>
  <c r="CJ140" i="7"/>
  <c r="CK137" i="7" s="1"/>
  <c r="BF111" i="7"/>
  <c r="CH41" i="7"/>
  <c r="T112" i="6"/>
  <c r="CK139" i="7" l="1"/>
  <c r="CK140" i="7" s="1"/>
  <c r="CL137" i="7" s="1"/>
  <c r="BG111" i="7"/>
  <c r="CI41" i="7"/>
  <c r="T113" i="6"/>
  <c r="CL139" i="7" l="1"/>
  <c r="CL140" i="7" s="1"/>
  <c r="CM137" i="7" s="1"/>
  <c r="BH111" i="7"/>
  <c r="CJ41" i="7"/>
  <c r="T114" i="6"/>
  <c r="CM139" i="7" l="1"/>
  <c r="CM140" i="7" s="1"/>
  <c r="CN137" i="7" s="1"/>
  <c r="BI111" i="7"/>
  <c r="CK41" i="7"/>
  <c r="T115" i="6"/>
  <c r="CN139" i="7" l="1"/>
  <c r="CN140" i="7" s="1"/>
  <c r="CO137" i="7" s="1"/>
  <c r="CL41" i="7"/>
  <c r="T116" i="6"/>
  <c r="CO139" i="7" l="1"/>
  <c r="CO140" i="7" s="1"/>
  <c r="CP137" i="7" s="1"/>
  <c r="BJ111" i="7"/>
  <c r="CM41" i="7"/>
  <c r="T117" i="6"/>
  <c r="CP139" i="7" l="1"/>
  <c r="CP140" i="7" s="1"/>
  <c r="CQ137" i="7" s="1"/>
  <c r="CN41" i="7"/>
  <c r="T118" i="6"/>
  <c r="CQ139" i="7" l="1"/>
  <c r="CQ140" i="7"/>
  <c r="CR137" i="7" s="1"/>
  <c r="BK111" i="7"/>
  <c r="CO41" i="7"/>
  <c r="T119" i="6"/>
  <c r="CR139" i="7" l="1"/>
  <c r="CR140" i="7"/>
  <c r="CS137" i="7" s="1"/>
  <c r="CP41" i="7"/>
  <c r="T120" i="6"/>
  <c r="CS139" i="7" l="1"/>
  <c r="CS140" i="7"/>
  <c r="CT137" i="7" s="1"/>
  <c r="BL111" i="7"/>
  <c r="CQ41" i="7"/>
  <c r="T121" i="6"/>
  <c r="CT139" i="7" l="1"/>
  <c r="CT140" i="7"/>
  <c r="CU137" i="7" s="1"/>
  <c r="CR41" i="7"/>
  <c r="T122" i="6"/>
  <c r="CU139" i="7" l="1"/>
  <c r="CU140" i="7"/>
  <c r="CV137" i="7" s="1"/>
  <c r="BM111" i="7"/>
  <c r="CS41" i="7"/>
  <c r="T123" i="6"/>
  <c r="CV139" i="7" l="1"/>
  <c r="CV140" i="7"/>
  <c r="CW137" i="7" s="1"/>
  <c r="CT41" i="7"/>
  <c r="T124" i="6"/>
  <c r="CW139" i="7" l="1"/>
  <c r="CW140" i="7" s="1"/>
  <c r="CX137" i="7" s="1"/>
  <c r="BN111" i="7"/>
  <c r="CU41" i="7"/>
  <c r="T125" i="6"/>
  <c r="CX139" i="7" l="1"/>
  <c r="CX140" i="7" s="1"/>
  <c r="CY137" i="7" s="1"/>
  <c r="CV41" i="7"/>
  <c r="T126" i="6"/>
  <c r="CY139" i="7" l="1"/>
  <c r="CY140" i="7" s="1"/>
  <c r="CZ137" i="7" s="1"/>
  <c r="BO111" i="7"/>
  <c r="CW41" i="7"/>
  <c r="T127" i="6"/>
  <c r="CZ139" i="7" l="1"/>
  <c r="CZ140" i="7" s="1"/>
  <c r="DA137" i="7" s="1"/>
  <c r="BP111" i="7"/>
  <c r="CX41" i="7"/>
  <c r="T128" i="6"/>
  <c r="DA139" i="7" l="1"/>
  <c r="DA140" i="7" s="1"/>
  <c r="DB137" i="7" s="1"/>
  <c r="BQ111" i="7"/>
  <c r="CY41" i="7"/>
  <c r="T129" i="6"/>
  <c r="DB139" i="7" l="1"/>
  <c r="DB140" i="7" s="1"/>
  <c r="DC137" i="7" s="1"/>
  <c r="BR111" i="7"/>
  <c r="CZ41" i="7"/>
  <c r="J19" i="6"/>
  <c r="J34" i="14" s="1"/>
  <c r="J14" i="6"/>
  <c r="J13" i="6"/>
  <c r="S9" i="6" s="1"/>
  <c r="S10" i="6" s="1"/>
  <c r="S11" i="6" s="1"/>
  <c r="S12" i="6" s="1"/>
  <c r="S13" i="6" s="1"/>
  <c r="S14" i="6" s="1"/>
  <c r="S15" i="6" s="1"/>
  <c r="S16" i="6" s="1"/>
  <c r="S17" i="6" s="1"/>
  <c r="S18" i="6" s="1"/>
  <c r="S19" i="6" s="1"/>
  <c r="S20" i="6" s="1"/>
  <c r="S21" i="6" s="1"/>
  <c r="S22" i="6" s="1"/>
  <c r="S23" i="6" s="1"/>
  <c r="S24" i="6" s="1"/>
  <c r="S25" i="6" s="1"/>
  <c r="S26" i="6" s="1"/>
  <c r="S27" i="6" s="1"/>
  <c r="S28" i="6" s="1"/>
  <c r="S29" i="6" s="1"/>
  <c r="S30" i="6" s="1"/>
  <c r="S31" i="6" s="1"/>
  <c r="S32" i="6" s="1"/>
  <c r="S33" i="6" s="1"/>
  <c r="S34" i="6" s="1"/>
  <c r="S35" i="6" s="1"/>
  <c r="S36" i="6" s="1"/>
  <c r="S37" i="6" s="1"/>
  <c r="S38" i="6" s="1"/>
  <c r="S39" i="6" s="1"/>
  <c r="S40" i="6" s="1"/>
  <c r="S41" i="6" s="1"/>
  <c r="S42" i="6" s="1"/>
  <c r="S43" i="6" s="1"/>
  <c r="S44" i="6" s="1"/>
  <c r="S45" i="6" s="1"/>
  <c r="S46" i="6" s="1"/>
  <c r="S47" i="6" s="1"/>
  <c r="S48" i="6" s="1"/>
  <c r="S49" i="6" s="1"/>
  <c r="S50" i="6" s="1"/>
  <c r="S51" i="6" s="1"/>
  <c r="S52" i="6" s="1"/>
  <c r="S53" i="6" s="1"/>
  <c r="S54" i="6" s="1"/>
  <c r="S55" i="6" s="1"/>
  <c r="S56" i="6" s="1"/>
  <c r="S57" i="6" s="1"/>
  <c r="S58" i="6" s="1"/>
  <c r="S59" i="6" s="1"/>
  <c r="S60" i="6" s="1"/>
  <c r="S61" i="6" s="1"/>
  <c r="S62" i="6" s="1"/>
  <c r="S63" i="6" s="1"/>
  <c r="S64" i="6" s="1"/>
  <c r="S65" i="6" s="1"/>
  <c r="S66" i="6" s="1"/>
  <c r="S67" i="6" s="1"/>
  <c r="S68" i="6" s="1"/>
  <c r="S69" i="6" s="1"/>
  <c r="S70" i="6" s="1"/>
  <c r="S71" i="6" s="1"/>
  <c r="S72" i="6" s="1"/>
  <c r="S73" i="6" s="1"/>
  <c r="S74" i="6" s="1"/>
  <c r="S75" i="6" s="1"/>
  <c r="S76" i="6" s="1"/>
  <c r="S77" i="6" s="1"/>
  <c r="S78" i="6" s="1"/>
  <c r="S79" i="6" s="1"/>
  <c r="S80" i="6" s="1"/>
  <c r="S81" i="6" s="1"/>
  <c r="S82" i="6" s="1"/>
  <c r="S83" i="6" s="1"/>
  <c r="S84" i="6" s="1"/>
  <c r="S85" i="6" s="1"/>
  <c r="S86" i="6" s="1"/>
  <c r="S87" i="6" s="1"/>
  <c r="S88" i="6" s="1"/>
  <c r="S89" i="6" s="1"/>
  <c r="S90" i="6" s="1"/>
  <c r="S91" i="6" s="1"/>
  <c r="S92" i="6" s="1"/>
  <c r="S93" i="6" s="1"/>
  <c r="S94" i="6" s="1"/>
  <c r="S95" i="6" s="1"/>
  <c r="S96" i="6" s="1"/>
  <c r="S97" i="6" s="1"/>
  <c r="S98" i="6" s="1"/>
  <c r="S99" i="6" s="1"/>
  <c r="S100" i="6" s="1"/>
  <c r="S101" i="6" s="1"/>
  <c r="S102" i="6" s="1"/>
  <c r="S103" i="6" s="1"/>
  <c r="S104" i="6" s="1"/>
  <c r="S105" i="6" s="1"/>
  <c r="S106" i="6" s="1"/>
  <c r="S107" i="6" s="1"/>
  <c r="S108" i="6" s="1"/>
  <c r="S109" i="6" s="1"/>
  <c r="S110" i="6" s="1"/>
  <c r="S111" i="6" s="1"/>
  <c r="S112" i="6" s="1"/>
  <c r="S113" i="6" s="1"/>
  <c r="S114" i="6" s="1"/>
  <c r="S115" i="6" s="1"/>
  <c r="S116" i="6" s="1"/>
  <c r="S117" i="6" s="1"/>
  <c r="S118" i="6" s="1"/>
  <c r="S119" i="6" s="1"/>
  <c r="S120" i="6" s="1"/>
  <c r="S121" i="6" s="1"/>
  <c r="S122" i="6" s="1"/>
  <c r="S123" i="6" s="1"/>
  <c r="S124" i="6" s="1"/>
  <c r="S125" i="6" s="1"/>
  <c r="S126" i="6" s="1"/>
  <c r="S127" i="6" s="1"/>
  <c r="S128" i="6" s="1"/>
  <c r="S129" i="6" s="1"/>
  <c r="DC139" i="7" l="1"/>
  <c r="DC140" i="7"/>
  <c r="DD137" i="7" s="1"/>
  <c r="BS111" i="7"/>
  <c r="DA41" i="7"/>
  <c r="J15" i="6"/>
  <c r="J37" i="14" s="1"/>
  <c r="E14" i="6"/>
  <c r="DD139" i="7" l="1"/>
  <c r="DD140" i="7"/>
  <c r="DE137" i="7" s="1"/>
  <c r="BT111" i="7"/>
  <c r="DB41" i="7"/>
  <c r="C5" i="7"/>
  <c r="H135" i="7" s="1"/>
  <c r="G43" i="6"/>
  <c r="J57" i="6"/>
  <c r="J55" i="6"/>
  <c r="J53" i="6"/>
  <c r="J52" i="6"/>
  <c r="J51" i="6"/>
  <c r="J50" i="6"/>
  <c r="J49" i="6"/>
  <c r="J71" i="6"/>
  <c r="J72" i="6" s="1"/>
  <c r="J73" i="6" s="1"/>
  <c r="J74" i="6" s="1"/>
  <c r="J75" i="6" s="1"/>
  <c r="J76" i="6" s="1"/>
  <c r="J77" i="6" s="1"/>
  <c r="J78" i="6" s="1"/>
  <c r="I71" i="6"/>
  <c r="I72" i="6" s="1"/>
  <c r="I73" i="6" s="1"/>
  <c r="I74" i="6" s="1"/>
  <c r="I75" i="6" s="1"/>
  <c r="I76" i="6" s="1"/>
  <c r="I77" i="6" s="1"/>
  <c r="I78" i="6" s="1"/>
  <c r="J59" i="6"/>
  <c r="I56" i="6"/>
  <c r="DE139" i="7" l="1"/>
  <c r="DE140" i="7"/>
  <c r="DF137" i="7" s="1"/>
  <c r="BU111" i="7"/>
  <c r="DC41" i="7"/>
  <c r="I43" i="6"/>
  <c r="E58" i="14" s="1"/>
  <c r="C58" i="14"/>
  <c r="J29" i="14"/>
  <c r="DF139" i="7" l="1"/>
  <c r="DF140" i="7"/>
  <c r="DG137" i="7" s="1"/>
  <c r="DD41" i="7"/>
  <c r="C6" i="7"/>
  <c r="C4" i="7"/>
  <c r="H6" i="7" s="1"/>
  <c r="H94" i="7" s="1"/>
  <c r="G71" i="6"/>
  <c r="G72" i="6" s="1"/>
  <c r="G73" i="6" s="1"/>
  <c r="G74" i="6" s="1"/>
  <c r="G75" i="6" s="1"/>
  <c r="G76" i="6" s="1"/>
  <c r="G77" i="6" s="1"/>
  <c r="G78" i="6" s="1"/>
  <c r="E71" i="6"/>
  <c r="E72" i="6" s="1"/>
  <c r="E73" i="6" s="1"/>
  <c r="E74" i="6" s="1"/>
  <c r="E75" i="6" s="1"/>
  <c r="E76" i="6" s="1"/>
  <c r="E77" i="6" s="1"/>
  <c r="E78" i="6" s="1"/>
  <c r="D72" i="6"/>
  <c r="D73" i="6" s="1"/>
  <c r="D74" i="6" s="1"/>
  <c r="D75" i="6" s="1"/>
  <c r="D76" i="6" s="1"/>
  <c r="D77" i="6" s="1"/>
  <c r="D78" i="6" s="1"/>
  <c r="DG139" i="7" l="1"/>
  <c r="DG140" i="7"/>
  <c r="DH137" i="7" s="1"/>
  <c r="BV111" i="7"/>
  <c r="I76" i="7"/>
  <c r="DE41" i="7"/>
  <c r="I20" i="7"/>
  <c r="I58" i="7"/>
  <c r="I59" i="7"/>
  <c r="EL6" i="7"/>
  <c r="H153" i="7"/>
  <c r="I5" i="7"/>
  <c r="I77" i="7" s="1"/>
  <c r="AF4" i="7"/>
  <c r="AE4" i="7"/>
  <c r="AD4" i="7"/>
  <c r="AC4" i="7"/>
  <c r="AB4" i="7"/>
  <c r="AA4" i="7"/>
  <c r="Z4" i="7"/>
  <c r="Y4" i="7"/>
  <c r="X4" i="7"/>
  <c r="W4" i="7"/>
  <c r="V4" i="7"/>
  <c r="V43" i="7" s="1"/>
  <c r="U4" i="7"/>
  <c r="I6" i="7"/>
  <c r="I144" i="7" s="1"/>
  <c r="I146" i="7" s="1"/>
  <c r="B69" i="6"/>
  <c r="DH139" i="7" l="1"/>
  <c r="DH140" i="7"/>
  <c r="DI137" i="7" s="1"/>
  <c r="AI4" i="7"/>
  <c r="AI43" i="7" s="1"/>
  <c r="W43" i="7"/>
  <c r="AM4" i="7"/>
  <c r="AM43" i="7" s="1"/>
  <c r="AA43" i="7"/>
  <c r="AN4" i="7"/>
  <c r="AN43" i="7" s="1"/>
  <c r="AB43" i="7"/>
  <c r="AO4" i="7"/>
  <c r="AO43" i="7" s="1"/>
  <c r="AC43" i="7"/>
  <c r="AP4" i="7"/>
  <c r="AP43" i="7" s="1"/>
  <c r="AD43" i="7"/>
  <c r="DF41" i="7"/>
  <c r="AJ4" i="7"/>
  <c r="AJ43" i="7" s="1"/>
  <c r="X43" i="7"/>
  <c r="AK4" i="7"/>
  <c r="AK43" i="7" s="1"/>
  <c r="Y43" i="7"/>
  <c r="AL4" i="7"/>
  <c r="AL43" i="7" s="1"/>
  <c r="Z43" i="7"/>
  <c r="AQ4" i="7"/>
  <c r="AQ43" i="7" s="1"/>
  <c r="AE43" i="7"/>
  <c r="AR4" i="7"/>
  <c r="AR43" i="7" s="1"/>
  <c r="AF43" i="7"/>
  <c r="U43" i="7"/>
  <c r="U44" i="7" s="1"/>
  <c r="U37" i="7"/>
  <c r="V37" i="7" s="1"/>
  <c r="W37" i="7" s="1"/>
  <c r="X37" i="7" s="1"/>
  <c r="Y37" i="7" s="1"/>
  <c r="Z37" i="7" s="1"/>
  <c r="AA37" i="7" s="1"/>
  <c r="AB37" i="7" s="1"/>
  <c r="AC37" i="7" s="1"/>
  <c r="AD37" i="7" s="1"/>
  <c r="AE37" i="7" s="1"/>
  <c r="AF37" i="7" s="1"/>
  <c r="AG37" i="7" s="1"/>
  <c r="AH37" i="7" s="1"/>
  <c r="AI37" i="7" s="1"/>
  <c r="AJ37" i="7" s="1"/>
  <c r="AK37" i="7" s="1"/>
  <c r="AL37" i="7" s="1"/>
  <c r="AM37" i="7" s="1"/>
  <c r="AN37" i="7" s="1"/>
  <c r="AO37" i="7" s="1"/>
  <c r="AP37" i="7" s="1"/>
  <c r="AQ37" i="7" s="1"/>
  <c r="AR37" i="7" s="1"/>
  <c r="U39" i="7"/>
  <c r="U27" i="7"/>
  <c r="U38" i="7"/>
  <c r="U32" i="7"/>
  <c r="U35" i="7"/>
  <c r="U34" i="7"/>
  <c r="U40" i="7"/>
  <c r="U36" i="7"/>
  <c r="U33" i="7"/>
  <c r="U28" i="7"/>
  <c r="U29" i="7"/>
  <c r="I8" i="7"/>
  <c r="I16" i="7" s="1"/>
  <c r="I92" i="7" s="1"/>
  <c r="I45" i="7"/>
  <c r="I86" i="7"/>
  <c r="AH4" i="7"/>
  <c r="AH43" i="7" s="1"/>
  <c r="I150" i="7"/>
  <c r="I109" i="7" s="1"/>
  <c r="J5" i="7"/>
  <c r="H156" i="7"/>
  <c r="EM6" i="7"/>
  <c r="AV4" i="7"/>
  <c r="AV43" i="7" s="1"/>
  <c r="AX4" i="7"/>
  <c r="AX43" i="7" s="1"/>
  <c r="AZ4" i="7"/>
  <c r="AZ43" i="7" s="1"/>
  <c r="AW4" i="7"/>
  <c r="AW43" i="7" s="1"/>
  <c r="AY4" i="7"/>
  <c r="AY43" i="7" s="1"/>
  <c r="AG4" i="7"/>
  <c r="AG43" i="7" s="1"/>
  <c r="AU4" i="7"/>
  <c r="AU43" i="7" s="1"/>
  <c r="AT4" i="7"/>
  <c r="AT43" i="7" s="1"/>
  <c r="H95" i="7"/>
  <c r="B70" i="6"/>
  <c r="B71" i="6" s="1"/>
  <c r="B72" i="6" s="1"/>
  <c r="B73" i="6" s="1"/>
  <c r="J6" i="7"/>
  <c r="DI139" i="7" l="1"/>
  <c r="DI140" i="7" s="1"/>
  <c r="DJ137" i="7" s="1"/>
  <c r="BW111" i="7"/>
  <c r="V29" i="7"/>
  <c r="DG41" i="7"/>
  <c r="V28" i="7"/>
  <c r="V33" i="7"/>
  <c r="BD4" i="7"/>
  <c r="BD43" i="7" s="1"/>
  <c r="I9" i="7"/>
  <c r="V32" i="7"/>
  <c r="J8" i="7"/>
  <c r="J45" i="7"/>
  <c r="J76" i="7"/>
  <c r="J86" i="7"/>
  <c r="J77" i="7"/>
  <c r="I11" i="7"/>
  <c r="I10" i="7"/>
  <c r="V36" i="7"/>
  <c r="I23" i="7"/>
  <c r="I24" i="7" s="1"/>
  <c r="J22" i="7" s="1"/>
  <c r="V38" i="7"/>
  <c r="BA4" i="7"/>
  <c r="BA43" i="7" s="1"/>
  <c r="V27" i="7"/>
  <c r="V44" i="7"/>
  <c r="I14" i="7"/>
  <c r="I90" i="7" s="1"/>
  <c r="I15" i="7"/>
  <c r="V40" i="7"/>
  <c r="BC4" i="7"/>
  <c r="BC43" i="7" s="1"/>
  <c r="V34" i="7"/>
  <c r="BB4" i="7"/>
  <c r="BB43" i="7" s="1"/>
  <c r="V35" i="7"/>
  <c r="I50" i="7"/>
  <c r="I51" i="7" s="1"/>
  <c r="I46" i="7"/>
  <c r="V39" i="7"/>
  <c r="J14" i="7"/>
  <c r="J90" i="7" s="1"/>
  <c r="J9" i="7"/>
  <c r="J23" i="7"/>
  <c r="J15" i="7"/>
  <c r="J16" i="7"/>
  <c r="J92" i="7" s="1"/>
  <c r="J10" i="7"/>
  <c r="J11" i="7"/>
  <c r="I56" i="7"/>
  <c r="J144" i="7"/>
  <c r="J146" i="7" s="1"/>
  <c r="J150" i="7"/>
  <c r="J109" i="7" s="1"/>
  <c r="K5" i="7"/>
  <c r="I174" i="7"/>
  <c r="EN6" i="7"/>
  <c r="E169" i="7"/>
  <c r="D8" i="14" s="1"/>
  <c r="H96" i="7"/>
  <c r="H98" i="7" s="1"/>
  <c r="H127" i="7" s="1"/>
  <c r="H131" i="7" s="1"/>
  <c r="H110" i="7" s="1"/>
  <c r="H112" i="7" s="1"/>
  <c r="BM4" i="7"/>
  <c r="BM43" i="7" s="1"/>
  <c r="AS4" i="7"/>
  <c r="AS43" i="7" s="1"/>
  <c r="BJ4" i="7"/>
  <c r="BJ43" i="7" s="1"/>
  <c r="BK4" i="7"/>
  <c r="BK43" i="7" s="1"/>
  <c r="BF4" i="7"/>
  <c r="BF43" i="7" s="1"/>
  <c r="BI4" i="7"/>
  <c r="BI43" i="7" s="1"/>
  <c r="BH4" i="7"/>
  <c r="BH43" i="7" s="1"/>
  <c r="BN4" i="7"/>
  <c r="BN43" i="7" s="1"/>
  <c r="BG4" i="7"/>
  <c r="BG43" i="7" s="1"/>
  <c r="BO4" i="7"/>
  <c r="BO43" i="7" s="1"/>
  <c r="BL4" i="7"/>
  <c r="BL43" i="7" s="1"/>
  <c r="B74" i="6"/>
  <c r="E59" i="6"/>
  <c r="K6" i="7"/>
  <c r="DJ139" i="7" l="1"/>
  <c r="DJ140" i="7" s="1"/>
  <c r="DK137" i="7" s="1"/>
  <c r="K8" i="7"/>
  <c r="K9" i="7" s="1"/>
  <c r="K45" i="7"/>
  <c r="K77" i="7"/>
  <c r="K86" i="7"/>
  <c r="K76" i="7"/>
  <c r="W38" i="7"/>
  <c r="I17" i="7"/>
  <c r="I93" i="7" s="1"/>
  <c r="I91" i="7"/>
  <c r="I108" i="7"/>
  <c r="W36" i="7"/>
  <c r="W44" i="7"/>
  <c r="W35" i="7"/>
  <c r="W28" i="7"/>
  <c r="J17" i="7"/>
  <c r="J93" i="7" s="1"/>
  <c r="J91" i="7"/>
  <c r="J108" i="7" s="1"/>
  <c r="AS37" i="7"/>
  <c r="AT37" i="7" s="1"/>
  <c r="AU37" i="7" s="1"/>
  <c r="AV37" i="7" s="1"/>
  <c r="AW37" i="7" s="1"/>
  <c r="AX37" i="7" s="1"/>
  <c r="AY37" i="7" s="1"/>
  <c r="AZ37" i="7" s="1"/>
  <c r="BA37" i="7" s="1"/>
  <c r="BB37" i="7" s="1"/>
  <c r="BC37" i="7" s="1"/>
  <c r="BD37" i="7" s="1"/>
  <c r="BE37" i="7" s="1"/>
  <c r="BF37" i="7" s="1"/>
  <c r="BG37" i="7" s="1"/>
  <c r="BH37" i="7" s="1"/>
  <c r="BI37" i="7" s="1"/>
  <c r="BJ37" i="7" s="1"/>
  <c r="BK37" i="7" s="1"/>
  <c r="BL37" i="7" s="1"/>
  <c r="BM37" i="7" s="1"/>
  <c r="BN37" i="7" s="1"/>
  <c r="BO37" i="7" s="1"/>
  <c r="BP37" i="7" s="1"/>
  <c r="W32" i="7"/>
  <c r="J20" i="7"/>
  <c r="J61" i="7"/>
  <c r="J73" i="7"/>
  <c r="J70" i="7"/>
  <c r="J72" i="7"/>
  <c r="J63" i="7"/>
  <c r="J71" i="7"/>
  <c r="J62" i="7"/>
  <c r="J69" i="7"/>
  <c r="J49" i="7"/>
  <c r="J75" i="7"/>
  <c r="W39" i="7"/>
  <c r="BP4" i="7"/>
  <c r="BP43" i="7" s="1"/>
  <c r="W33" i="7"/>
  <c r="J24" i="7"/>
  <c r="K22" i="7" s="1"/>
  <c r="DH41" i="7"/>
  <c r="W34" i="7"/>
  <c r="W27" i="7"/>
  <c r="J50" i="7"/>
  <c r="J51" i="7" s="1"/>
  <c r="J46" i="7"/>
  <c r="W40" i="7"/>
  <c r="W29" i="7"/>
  <c r="K23" i="7"/>
  <c r="K24" i="7" s="1"/>
  <c r="L22" i="7" s="1"/>
  <c r="F8" i="14"/>
  <c r="K150" i="7"/>
  <c r="K109" i="7" s="1"/>
  <c r="B75" i="6"/>
  <c r="B76" i="6" s="1"/>
  <c r="B77" i="6" s="1"/>
  <c r="B78" i="6" s="1"/>
  <c r="L5" i="7"/>
  <c r="I87" i="7"/>
  <c r="J174" i="7"/>
  <c r="EO6" i="7"/>
  <c r="K144" i="7"/>
  <c r="K146" i="7" s="1"/>
  <c r="BS4" i="7"/>
  <c r="BS43" i="7" s="1"/>
  <c r="BX4" i="7"/>
  <c r="BX43" i="7" s="1"/>
  <c r="BZ4" i="7"/>
  <c r="BZ43" i="7" s="1"/>
  <c r="BR4" i="7"/>
  <c r="BR43" i="7" s="1"/>
  <c r="BV4" i="7"/>
  <c r="BV43" i="7" s="1"/>
  <c r="BE4" i="7"/>
  <c r="BE43" i="7" s="1"/>
  <c r="BW4" i="7"/>
  <c r="BW43" i="7" s="1"/>
  <c r="BT4" i="7"/>
  <c r="BT43" i="7" s="1"/>
  <c r="CA4" i="7"/>
  <c r="CA43" i="7" s="1"/>
  <c r="BU4" i="7"/>
  <c r="BU43" i="7" s="1"/>
  <c r="BY4" i="7"/>
  <c r="BY43" i="7" s="1"/>
  <c r="CB4" i="7"/>
  <c r="CB43" i="7" s="1"/>
  <c r="E63" i="6"/>
  <c r="J54" i="6"/>
  <c r="I64" i="7"/>
  <c r="L6" i="7"/>
  <c r="DK139" i="7" l="1"/>
  <c r="DK140" i="7" s="1"/>
  <c r="DL137" i="7" s="1"/>
  <c r="BX111" i="7"/>
  <c r="L20" i="7"/>
  <c r="L61" i="7"/>
  <c r="L49" i="7"/>
  <c r="L62" i="7"/>
  <c r="L73" i="7"/>
  <c r="L63" i="7"/>
  <c r="L75" i="7"/>
  <c r="L69" i="7"/>
  <c r="L70" i="7"/>
  <c r="L71" i="7"/>
  <c r="L72" i="7"/>
  <c r="X39" i="7"/>
  <c r="K16" i="7"/>
  <c r="K92" i="7" s="1"/>
  <c r="X32" i="7"/>
  <c r="X36" i="7"/>
  <c r="K15" i="7"/>
  <c r="X27" i="7"/>
  <c r="X34" i="7"/>
  <c r="L8" i="7"/>
  <c r="L11" i="7" s="1"/>
  <c r="L45" i="7"/>
  <c r="L77" i="7"/>
  <c r="L76" i="7"/>
  <c r="L86" i="7"/>
  <c r="DI41" i="7"/>
  <c r="X28" i="7"/>
  <c r="X29" i="7"/>
  <c r="K11" i="7"/>
  <c r="X40" i="7"/>
  <c r="K14" i="7"/>
  <c r="K90" i="7" s="1"/>
  <c r="K20" i="7"/>
  <c r="K61" i="7"/>
  <c r="K49" i="7"/>
  <c r="K51" i="7" s="1"/>
  <c r="K75" i="7"/>
  <c r="K62" i="7"/>
  <c r="K63" i="7"/>
  <c r="K73" i="7"/>
  <c r="K72" i="7"/>
  <c r="K69" i="7"/>
  <c r="K71" i="7"/>
  <c r="K70" i="7"/>
  <c r="X38" i="7"/>
  <c r="X35" i="7"/>
  <c r="K10" i="7"/>
  <c r="X33" i="7"/>
  <c r="X44" i="7"/>
  <c r="K50" i="7"/>
  <c r="K46" i="7"/>
  <c r="L10" i="7"/>
  <c r="J59" i="7"/>
  <c r="J58" i="7"/>
  <c r="I170" i="7"/>
  <c r="J170" i="7"/>
  <c r="J172" i="7"/>
  <c r="I172" i="7"/>
  <c r="I169" i="7"/>
  <c r="J169" i="7"/>
  <c r="I171" i="7"/>
  <c r="J171" i="7"/>
  <c r="L150" i="7"/>
  <c r="L109" i="7" s="1"/>
  <c r="M5" i="7"/>
  <c r="J87" i="7"/>
  <c r="EP6" i="7"/>
  <c r="K174" i="7"/>
  <c r="CG4" i="7"/>
  <c r="CG43" i="7" s="1"/>
  <c r="CI4" i="7"/>
  <c r="CI43" i="7" s="1"/>
  <c r="CL4" i="7"/>
  <c r="CL43" i="7" s="1"/>
  <c r="BQ4" i="7"/>
  <c r="BQ43" i="7" s="1"/>
  <c r="CJ4" i="7"/>
  <c r="CJ43" i="7" s="1"/>
  <c r="CN4" i="7"/>
  <c r="CN43" i="7" s="1"/>
  <c r="CM4" i="7"/>
  <c r="CM43" i="7" s="1"/>
  <c r="CH4" i="7"/>
  <c r="CH43" i="7" s="1"/>
  <c r="CF4" i="7"/>
  <c r="CF43" i="7" s="1"/>
  <c r="CE4" i="7"/>
  <c r="CE43" i="7" s="1"/>
  <c r="CK4" i="7"/>
  <c r="CK43" i="7" s="1"/>
  <c r="CD4" i="7"/>
  <c r="CD43" i="7" s="1"/>
  <c r="K87" i="7"/>
  <c r="L144" i="7"/>
  <c r="L146" i="7" s="1"/>
  <c r="I54" i="6"/>
  <c r="J58" i="6"/>
  <c r="J60" i="6" s="1"/>
  <c r="I57" i="7"/>
  <c r="I52" i="7"/>
  <c r="I54" i="7"/>
  <c r="I53" i="7"/>
  <c r="M6" i="7"/>
  <c r="DL139" i="7" l="1"/>
  <c r="DL140" i="7" s="1"/>
  <c r="DM137" i="7" s="1"/>
  <c r="Y33" i="7"/>
  <c r="L9" i="7"/>
  <c r="K17" i="7"/>
  <c r="K93" i="7" s="1"/>
  <c r="K91" i="7"/>
  <c r="Y35" i="7"/>
  <c r="DJ41" i="7"/>
  <c r="Y36" i="7"/>
  <c r="Y38" i="7"/>
  <c r="BQ37" i="7"/>
  <c r="BR37" i="7" s="1"/>
  <c r="BS37" i="7" s="1"/>
  <c r="BT37" i="7" s="1"/>
  <c r="BU37" i="7" s="1"/>
  <c r="BV37" i="7" s="1"/>
  <c r="BW37" i="7" s="1"/>
  <c r="BX37" i="7" s="1"/>
  <c r="BY37" i="7" s="1"/>
  <c r="BZ37" i="7" s="1"/>
  <c r="CA37" i="7" s="1"/>
  <c r="CB37" i="7" s="1"/>
  <c r="CC37" i="7" s="1"/>
  <c r="CD37" i="7" s="1"/>
  <c r="CE37" i="7" s="1"/>
  <c r="CF37" i="7" s="1"/>
  <c r="CG37" i="7" s="1"/>
  <c r="CH37" i="7" s="1"/>
  <c r="CI37" i="7" s="1"/>
  <c r="CJ37" i="7" s="1"/>
  <c r="CK37" i="7" s="1"/>
  <c r="CL37" i="7" s="1"/>
  <c r="CM37" i="7" s="1"/>
  <c r="CN37" i="7" s="1"/>
  <c r="L23" i="7"/>
  <c r="L24" i="7" s="1"/>
  <c r="M22" i="7" s="1"/>
  <c r="Y29" i="7"/>
  <c r="L16" i="7"/>
  <c r="L92" i="7" s="1"/>
  <c r="Y28" i="7"/>
  <c r="Y40" i="7"/>
  <c r="L14" i="7"/>
  <c r="L90" i="7" s="1"/>
  <c r="Y34" i="7"/>
  <c r="L15" i="7"/>
  <c r="Y27" i="7"/>
  <c r="K108" i="7"/>
  <c r="Y32" i="7"/>
  <c r="L51" i="7"/>
  <c r="M8" i="7"/>
  <c r="M15" i="7" s="1"/>
  <c r="M45" i="7"/>
  <c r="M77" i="7"/>
  <c r="M86" i="7"/>
  <c r="M76" i="7"/>
  <c r="Y44" i="7"/>
  <c r="L50" i="7"/>
  <c r="L46" i="7"/>
  <c r="Y39" i="7"/>
  <c r="J64" i="7"/>
  <c r="K58" i="7"/>
  <c r="K59" i="7"/>
  <c r="J56" i="7"/>
  <c r="J57" i="7" s="1"/>
  <c r="K172" i="7"/>
  <c r="K171" i="7"/>
  <c r="M150" i="7"/>
  <c r="M109" i="7" s="1"/>
  <c r="I58" i="6"/>
  <c r="I60" i="6" s="1"/>
  <c r="N5" i="7"/>
  <c r="EQ6" i="7"/>
  <c r="L174" i="7"/>
  <c r="CZ4" i="7"/>
  <c r="CZ43" i="7" s="1"/>
  <c r="CQ4" i="7"/>
  <c r="CQ43" i="7" s="1"/>
  <c r="CP4" i="7"/>
  <c r="CP43" i="7" s="1"/>
  <c r="CU4" i="7"/>
  <c r="CU43" i="7" s="1"/>
  <c r="CR4" i="7"/>
  <c r="CR43" i="7" s="1"/>
  <c r="CX4" i="7"/>
  <c r="CX43" i="7" s="1"/>
  <c r="CT4" i="7"/>
  <c r="CT43" i="7" s="1"/>
  <c r="CV4" i="7"/>
  <c r="CV43" i="7" s="1"/>
  <c r="CW4" i="7"/>
  <c r="CW43" i="7" s="1"/>
  <c r="CC4" i="7"/>
  <c r="CC43" i="7" s="1"/>
  <c r="CS4" i="7"/>
  <c r="CS43" i="7" s="1"/>
  <c r="CY4" i="7"/>
  <c r="CY43" i="7" s="1"/>
  <c r="M144" i="7"/>
  <c r="M146" i="7" s="1"/>
  <c r="L87" i="7"/>
  <c r="I55" i="7"/>
  <c r="I74" i="7" s="1"/>
  <c r="N6" i="7"/>
  <c r="DM139" i="7" l="1"/>
  <c r="DM140" i="7" s="1"/>
  <c r="DN137" i="7" s="1"/>
  <c r="BY111" i="7"/>
  <c r="M17" i="7"/>
  <c r="M93" i="7" s="1"/>
  <c r="M91" i="7"/>
  <c r="Z36" i="7"/>
  <c r="DK41" i="7"/>
  <c r="Z28" i="7"/>
  <c r="M10" i="7"/>
  <c r="M14" i="7"/>
  <c r="M90" i="7" s="1"/>
  <c r="Z27" i="7"/>
  <c r="M9" i="7"/>
  <c r="L17" i="7"/>
  <c r="L93" i="7" s="1"/>
  <c r="L172" i="7" s="1"/>
  <c r="L91" i="7"/>
  <c r="M23" i="7"/>
  <c r="M24" i="7" s="1"/>
  <c r="N22" i="7" s="1"/>
  <c r="M50" i="7"/>
  <c r="M46" i="7"/>
  <c r="Z39" i="7"/>
  <c r="Z32" i="7"/>
  <c r="Z35" i="7"/>
  <c r="Z44" i="7"/>
  <c r="Z29" i="7"/>
  <c r="N8" i="7"/>
  <c r="N14" i="7" s="1"/>
  <c r="N90" i="7" s="1"/>
  <c r="N45" i="7"/>
  <c r="N76" i="7"/>
  <c r="N77" i="7"/>
  <c r="N86" i="7"/>
  <c r="M20" i="7"/>
  <c r="M49" i="7"/>
  <c r="M51" i="7" s="1"/>
  <c r="M61" i="7"/>
  <c r="M70" i="7"/>
  <c r="M72" i="7"/>
  <c r="M73" i="7"/>
  <c r="M62" i="7"/>
  <c r="M63" i="7"/>
  <c r="M71" i="7"/>
  <c r="M75" i="7"/>
  <c r="M69" i="7"/>
  <c r="M16" i="7"/>
  <c r="M92" i="7" s="1"/>
  <c r="Z34" i="7"/>
  <c r="Z33" i="7"/>
  <c r="Z40" i="7"/>
  <c r="M11" i="7"/>
  <c r="L108" i="7"/>
  <c r="Z38" i="7"/>
  <c r="N11" i="7"/>
  <c r="J52" i="7"/>
  <c r="K56" i="7"/>
  <c r="K57" i="7" s="1"/>
  <c r="J53" i="7"/>
  <c r="K64" i="7"/>
  <c r="J54" i="7"/>
  <c r="L56" i="7"/>
  <c r="L58" i="7"/>
  <c r="L59" i="7"/>
  <c r="L169" i="7"/>
  <c r="K169" i="7"/>
  <c r="L170" i="7"/>
  <c r="K170" i="7"/>
  <c r="N150" i="7"/>
  <c r="N109" i="7" s="1"/>
  <c r="M58" i="7"/>
  <c r="M170" i="7"/>
  <c r="O5" i="7"/>
  <c r="ER6" i="7"/>
  <c r="M174" i="7"/>
  <c r="DJ4" i="7"/>
  <c r="DJ43" i="7" s="1"/>
  <c r="DD4" i="7"/>
  <c r="DD43" i="7" s="1"/>
  <c r="DL4" i="7"/>
  <c r="DL43" i="7" s="1"/>
  <c r="DI4" i="7"/>
  <c r="DI43" i="7" s="1"/>
  <c r="DH4" i="7"/>
  <c r="DH43" i="7" s="1"/>
  <c r="DG4" i="7"/>
  <c r="DG43" i="7" s="1"/>
  <c r="DK4" i="7"/>
  <c r="DK43" i="7" s="1"/>
  <c r="DF4" i="7"/>
  <c r="DF43" i="7" s="1"/>
  <c r="DB4" i="7"/>
  <c r="DB43" i="7" s="1"/>
  <c r="CO4" i="7"/>
  <c r="CO43" i="7" s="1"/>
  <c r="DE4" i="7"/>
  <c r="DE43" i="7" s="1"/>
  <c r="DC4" i="7"/>
  <c r="DC43" i="7" s="1"/>
  <c r="M87" i="7"/>
  <c r="N144" i="7"/>
  <c r="N146" i="7" s="1"/>
  <c r="I66" i="7"/>
  <c r="K52" i="7"/>
  <c r="O6" i="7"/>
  <c r="DN139" i="7" l="1"/>
  <c r="DN140" i="7" s="1"/>
  <c r="DO137" i="7" s="1"/>
  <c r="M108" i="7"/>
  <c r="AA38" i="7"/>
  <c r="CO37" i="7"/>
  <c r="CP37" i="7" s="1"/>
  <c r="CQ37" i="7" s="1"/>
  <c r="CR37" i="7" s="1"/>
  <c r="CS37" i="7" s="1"/>
  <c r="CT37" i="7" s="1"/>
  <c r="CU37" i="7" s="1"/>
  <c r="CV37" i="7" s="1"/>
  <c r="CW37" i="7" s="1"/>
  <c r="CX37" i="7" s="1"/>
  <c r="CY37" i="7" s="1"/>
  <c r="CZ37" i="7" s="1"/>
  <c r="N10" i="7"/>
  <c r="AA29" i="7"/>
  <c r="N15" i="7"/>
  <c r="DL41" i="7"/>
  <c r="N16" i="7"/>
  <c r="N92" i="7" s="1"/>
  <c r="AA40" i="7"/>
  <c r="AA44" i="7"/>
  <c r="N20" i="7"/>
  <c r="N61" i="7"/>
  <c r="N49" i="7"/>
  <c r="N51" i="7" s="1"/>
  <c r="N69" i="7"/>
  <c r="N63" i="7"/>
  <c r="N62" i="7"/>
  <c r="N75" i="7"/>
  <c r="N72" i="7"/>
  <c r="N70" i="7"/>
  <c r="N73" i="7"/>
  <c r="N71" i="7"/>
  <c r="AA36" i="7"/>
  <c r="O8" i="7"/>
  <c r="O16" i="7" s="1"/>
  <c r="O92" i="7" s="1"/>
  <c r="O45" i="7"/>
  <c r="O76" i="7"/>
  <c r="O86" i="7"/>
  <c r="O77" i="7"/>
  <c r="AA27" i="7"/>
  <c r="AA32" i="7"/>
  <c r="N50" i="7"/>
  <c r="N46" i="7"/>
  <c r="AA28" i="7"/>
  <c r="N9" i="7"/>
  <c r="N23" i="7"/>
  <c r="N24" i="7" s="1"/>
  <c r="O22" i="7" s="1"/>
  <c r="AA33" i="7"/>
  <c r="AA35" i="7"/>
  <c r="AA39" i="7"/>
  <c r="AA34" i="7"/>
  <c r="O23" i="7"/>
  <c r="O24" i="7" s="1"/>
  <c r="P22" i="7" s="1"/>
  <c r="O14" i="7"/>
  <c r="O90" i="7" s="1"/>
  <c r="O9" i="7"/>
  <c r="M56" i="7"/>
  <c r="K54" i="7"/>
  <c r="K53" i="7"/>
  <c r="J55" i="7"/>
  <c r="J74" i="7" s="1"/>
  <c r="J78" i="7" s="1"/>
  <c r="M59" i="7"/>
  <c r="L64" i="7"/>
  <c r="L171" i="7"/>
  <c r="M171" i="7"/>
  <c r="M169" i="7"/>
  <c r="M172" i="7"/>
  <c r="O150" i="7"/>
  <c r="O109" i="7" s="1"/>
  <c r="P5" i="7"/>
  <c r="ES6" i="7"/>
  <c r="I78" i="7"/>
  <c r="I80" i="7" s="1"/>
  <c r="I135" i="7" s="1"/>
  <c r="N174" i="7"/>
  <c r="DS4" i="7"/>
  <c r="DS43" i="7" s="1"/>
  <c r="DX4" i="7"/>
  <c r="DX43" i="7" s="1"/>
  <c r="DN4" i="7"/>
  <c r="DN43" i="7" s="1"/>
  <c r="DA4" i="7"/>
  <c r="DA43" i="7" s="1"/>
  <c r="DO4" i="7"/>
  <c r="DO43" i="7" s="1"/>
  <c r="DP4" i="7"/>
  <c r="DP43" i="7" s="1"/>
  <c r="DR4" i="7"/>
  <c r="DR43" i="7" s="1"/>
  <c r="DT4" i="7"/>
  <c r="DT43" i="7" s="1"/>
  <c r="DV4" i="7"/>
  <c r="DV43" i="7" s="1"/>
  <c r="DQ4" i="7"/>
  <c r="DQ43" i="7" s="1"/>
  <c r="DW4" i="7"/>
  <c r="DW43" i="7" s="1"/>
  <c r="DU4" i="7"/>
  <c r="DU43" i="7" s="1"/>
  <c r="N87" i="7"/>
  <c r="O144" i="7"/>
  <c r="O146" i="7" s="1"/>
  <c r="L57" i="7"/>
  <c r="L53" i="7"/>
  <c r="L54" i="7"/>
  <c r="L52" i="7"/>
  <c r="P6" i="7"/>
  <c r="DO139" i="7" l="1"/>
  <c r="DO140" i="7"/>
  <c r="DP137" i="7" s="1"/>
  <c r="BZ111" i="7"/>
  <c r="AB33" i="7"/>
  <c r="O20" i="7"/>
  <c r="O61" i="7"/>
  <c r="O49" i="7"/>
  <c r="O72" i="7"/>
  <c r="O63" i="7"/>
  <c r="O73" i="7"/>
  <c r="O70" i="7"/>
  <c r="O71" i="7"/>
  <c r="O69" i="7"/>
  <c r="O62" i="7"/>
  <c r="O75" i="7"/>
  <c r="DM41" i="7"/>
  <c r="N17" i="7"/>
  <c r="N93" i="7" s="1"/>
  <c r="N91" i="7"/>
  <c r="N108" i="7" s="1"/>
  <c r="AB36" i="7"/>
  <c r="O11" i="7"/>
  <c r="AB39" i="7"/>
  <c r="P20" i="7"/>
  <c r="P49" i="7"/>
  <c r="P61" i="7"/>
  <c r="P63" i="7"/>
  <c r="P72" i="7"/>
  <c r="P69" i="7"/>
  <c r="P62" i="7"/>
  <c r="P70" i="7"/>
  <c r="P71" i="7"/>
  <c r="P75" i="7"/>
  <c r="P73" i="7"/>
  <c r="O50" i="7"/>
  <c r="O46" i="7"/>
  <c r="AB28" i="7"/>
  <c r="AB29" i="7"/>
  <c r="AB34" i="7"/>
  <c r="AB44" i="7"/>
  <c r="O10" i="7"/>
  <c r="DA37" i="7"/>
  <c r="DB37" i="7" s="1"/>
  <c r="DC37" i="7" s="1"/>
  <c r="DD37" i="7" s="1"/>
  <c r="DE37" i="7" s="1"/>
  <c r="DF37" i="7" s="1"/>
  <c r="DG37" i="7" s="1"/>
  <c r="DH37" i="7" s="1"/>
  <c r="DI37" i="7" s="1"/>
  <c r="DJ37" i="7" s="1"/>
  <c r="DK37" i="7" s="1"/>
  <c r="DL37" i="7" s="1"/>
  <c r="DM37" i="7" s="1"/>
  <c r="DN37" i="7" s="1"/>
  <c r="DO37" i="7" s="1"/>
  <c r="DP37" i="7" s="1"/>
  <c r="DQ37" i="7" s="1"/>
  <c r="DR37" i="7" s="1"/>
  <c r="DS37" i="7" s="1"/>
  <c r="DT37" i="7" s="1"/>
  <c r="DU37" i="7" s="1"/>
  <c r="DV37" i="7" s="1"/>
  <c r="DW37" i="7" s="1"/>
  <c r="DX37" i="7" s="1"/>
  <c r="P8" i="7"/>
  <c r="P23" i="7" s="1"/>
  <c r="P24" i="7" s="1"/>
  <c r="Q22" i="7" s="1"/>
  <c r="P45" i="7"/>
  <c r="P77" i="7"/>
  <c r="P76" i="7"/>
  <c r="P86" i="7"/>
  <c r="AB32" i="7"/>
  <c r="AB38" i="7"/>
  <c r="O15" i="7"/>
  <c r="AB35" i="7"/>
  <c r="AB27" i="7"/>
  <c r="AB40" i="7"/>
  <c r="P11" i="7"/>
  <c r="N59" i="7"/>
  <c r="J66" i="7"/>
  <c r="J80" i="7" s="1"/>
  <c r="J135" i="7" s="1"/>
  <c r="K55" i="7"/>
  <c r="K74" i="7" s="1"/>
  <c r="K78" i="7" s="1"/>
  <c r="N56" i="7"/>
  <c r="N58" i="7"/>
  <c r="N64" i="7"/>
  <c r="M64" i="7"/>
  <c r="N169" i="7"/>
  <c r="N171" i="7"/>
  <c r="N170" i="7"/>
  <c r="P150" i="7"/>
  <c r="P109" i="7" s="1"/>
  <c r="I82" i="7"/>
  <c r="Q5" i="7"/>
  <c r="ET6" i="7"/>
  <c r="O174" i="7"/>
  <c r="EJ4" i="7"/>
  <c r="EJ43" i="7" s="1"/>
  <c r="EB4" i="7"/>
  <c r="EB43" i="7" s="1"/>
  <c r="EH4" i="7"/>
  <c r="EH43" i="7" s="1"/>
  <c r="EA4" i="7"/>
  <c r="EA43" i="7" s="1"/>
  <c r="EE4" i="7"/>
  <c r="EE43" i="7" s="1"/>
  <c r="EG4" i="7"/>
  <c r="EG43" i="7" s="1"/>
  <c r="DZ4" i="7"/>
  <c r="DZ43" i="7" s="1"/>
  <c r="EC4" i="7"/>
  <c r="EC43" i="7" s="1"/>
  <c r="EI4" i="7"/>
  <c r="EI43" i="7" s="1"/>
  <c r="EF4" i="7"/>
  <c r="EF43" i="7" s="1"/>
  <c r="DM4" i="7"/>
  <c r="DM43" i="7" s="1"/>
  <c r="ED4" i="7"/>
  <c r="ED43" i="7" s="1"/>
  <c r="O87" i="7"/>
  <c r="P144" i="7"/>
  <c r="P146" i="7" s="1"/>
  <c r="L55" i="7"/>
  <c r="L74" i="7" s="1"/>
  <c r="L78" i="7" s="1"/>
  <c r="M57" i="7"/>
  <c r="M54" i="7"/>
  <c r="M53" i="7"/>
  <c r="M52" i="7"/>
  <c r="Q6" i="7"/>
  <c r="DP139" i="7" l="1"/>
  <c r="DP140" i="7"/>
  <c r="DQ137" i="7" s="1"/>
  <c r="Q20" i="7"/>
  <c r="Q49" i="7"/>
  <c r="Q61" i="7"/>
  <c r="Q62" i="7"/>
  <c r="Q70" i="7"/>
  <c r="Q69" i="7"/>
  <c r="Q72" i="7"/>
  <c r="Q75" i="7"/>
  <c r="Q73" i="7"/>
  <c r="Q71" i="7"/>
  <c r="Q63" i="7"/>
  <c r="DY37" i="7"/>
  <c r="DZ37" i="7" s="1"/>
  <c r="EA37" i="7" s="1"/>
  <c r="EB37" i="7" s="1"/>
  <c r="EC37" i="7" s="1"/>
  <c r="ED37" i="7" s="1"/>
  <c r="EE37" i="7" s="1"/>
  <c r="EF37" i="7" s="1"/>
  <c r="EG37" i="7" s="1"/>
  <c r="EH37" i="7" s="1"/>
  <c r="EI37" i="7" s="1"/>
  <c r="EJ37" i="7" s="1"/>
  <c r="AC35" i="7"/>
  <c r="O17" i="7"/>
  <c r="O93" i="7" s="1"/>
  <c r="O91" i="7"/>
  <c r="O108" i="7" s="1"/>
  <c r="AC44" i="7"/>
  <c r="P14" i="7"/>
  <c r="P90" i="7" s="1"/>
  <c r="AC34" i="7"/>
  <c r="AC36" i="7"/>
  <c r="O51" i="7"/>
  <c r="AC40" i="7"/>
  <c r="DN41" i="7"/>
  <c r="AC27" i="7"/>
  <c r="AC33" i="7"/>
  <c r="P10" i="7"/>
  <c r="P16" i="7"/>
  <c r="P92" i="7" s="1"/>
  <c r="P15" i="7"/>
  <c r="AC39" i="7"/>
  <c r="P9" i="7"/>
  <c r="AC38" i="7"/>
  <c r="AC32" i="7"/>
  <c r="AC29" i="7"/>
  <c r="Q8" i="7"/>
  <c r="Q9" i="7" s="1"/>
  <c r="Q45" i="7"/>
  <c r="Q77" i="7"/>
  <c r="Q76" i="7"/>
  <c r="Q86" i="7"/>
  <c r="P50" i="7"/>
  <c r="P46" i="7"/>
  <c r="AC28" i="7"/>
  <c r="P51" i="7"/>
  <c r="Q16" i="7"/>
  <c r="Q92" i="7" s="1"/>
  <c r="K66" i="7"/>
  <c r="K80" i="7" s="1"/>
  <c r="K135" i="7" s="1"/>
  <c r="O172" i="7"/>
  <c r="O170" i="7"/>
  <c r="N172" i="7"/>
  <c r="O171" i="7"/>
  <c r="O169" i="7"/>
  <c r="Q150" i="7"/>
  <c r="Q109" i="7" s="1"/>
  <c r="J82" i="7"/>
  <c r="O58" i="7"/>
  <c r="O59" i="7"/>
  <c r="R5" i="7"/>
  <c r="P174" i="7"/>
  <c r="EU6" i="7"/>
  <c r="DY4" i="7"/>
  <c r="EQ43" i="7" s="1"/>
  <c r="P87" i="7"/>
  <c r="Q144" i="7"/>
  <c r="Q146" i="7" s="1"/>
  <c r="L66" i="7"/>
  <c r="N57" i="7"/>
  <c r="N52" i="7"/>
  <c r="N53" i="7"/>
  <c r="N54" i="7"/>
  <c r="M55" i="7"/>
  <c r="M74" i="7" s="1"/>
  <c r="M78" i="7" s="1"/>
  <c r="R6" i="7"/>
  <c r="DQ139" i="7" l="1"/>
  <c r="DQ140" i="7"/>
  <c r="DR137" i="7" s="1"/>
  <c r="CA111" i="7"/>
  <c r="EN43" i="7"/>
  <c r="AD33" i="7"/>
  <c r="EL62" i="7"/>
  <c r="AD32" i="7"/>
  <c r="Q11" i="7"/>
  <c r="AD44" i="7"/>
  <c r="Q10" i="7"/>
  <c r="DO41" i="7"/>
  <c r="AD40" i="7"/>
  <c r="AD39" i="7"/>
  <c r="AD29" i="7"/>
  <c r="AD34" i="7"/>
  <c r="R8" i="7"/>
  <c r="R16" i="7" s="1"/>
  <c r="R92" i="7" s="1"/>
  <c r="R45" i="7"/>
  <c r="R76" i="7"/>
  <c r="R86" i="7"/>
  <c r="R77" i="7"/>
  <c r="AD28" i="7"/>
  <c r="AD27" i="7"/>
  <c r="AD38" i="7"/>
  <c r="Q23" i="7"/>
  <c r="Q24" i="7" s="1"/>
  <c r="R22" i="7" s="1"/>
  <c r="Q14" i="7"/>
  <c r="Q90" i="7" s="1"/>
  <c r="Q15" i="7"/>
  <c r="Q50" i="7"/>
  <c r="Q46" i="7"/>
  <c r="P17" i="7"/>
  <c r="P93" i="7" s="1"/>
  <c r="P172" i="7" s="1"/>
  <c r="P91" i="7"/>
  <c r="P108" i="7" s="1"/>
  <c r="Q51" i="7"/>
  <c r="EL92" i="7"/>
  <c r="DY43" i="7"/>
  <c r="EW43" i="7" s="1"/>
  <c r="AD36" i="7"/>
  <c r="AD35" i="7"/>
  <c r="EL17" i="7"/>
  <c r="EL49" i="7"/>
  <c r="EL91" i="7"/>
  <c r="EL14" i="7"/>
  <c r="EU43" i="7"/>
  <c r="ER43" i="7"/>
  <c r="ES43" i="7"/>
  <c r="ET43" i="7"/>
  <c r="EL23" i="7"/>
  <c r="EL24" i="7" s="1"/>
  <c r="EM22" i="7" s="1"/>
  <c r="EL16" i="7"/>
  <c r="EL50" i="7"/>
  <c r="EM43" i="7"/>
  <c r="EO43" i="7"/>
  <c r="EL43" i="7"/>
  <c r="EP43" i="7"/>
  <c r="EL15" i="7"/>
  <c r="EV43" i="7"/>
  <c r="P169" i="7"/>
  <c r="P170" i="7"/>
  <c r="P171" i="7"/>
  <c r="R150" i="7"/>
  <c r="R109" i="7" s="1"/>
  <c r="K82" i="7"/>
  <c r="O64" i="7"/>
  <c r="O56" i="7"/>
  <c r="O57" i="7" s="1"/>
  <c r="P58" i="7"/>
  <c r="P59" i="7"/>
  <c r="EL73" i="7"/>
  <c r="EL148" i="7"/>
  <c r="EL53" i="7"/>
  <c r="EL71" i="7"/>
  <c r="EL95" i="7"/>
  <c r="EL77" i="7"/>
  <c r="EL153" i="7"/>
  <c r="EL69" i="7"/>
  <c r="EL54" i="7"/>
  <c r="S5" i="7"/>
  <c r="EL86" i="7"/>
  <c r="EL93" i="7"/>
  <c r="EL70" i="7"/>
  <c r="EL75" i="7"/>
  <c r="EL63" i="7"/>
  <c r="EL90" i="7"/>
  <c r="EL52" i="7"/>
  <c r="EL74" i="7"/>
  <c r="EL94" i="7"/>
  <c r="EL72" i="7"/>
  <c r="EL61" i="7"/>
  <c r="EL76" i="7"/>
  <c r="EL151" i="7"/>
  <c r="Q174" i="7"/>
  <c r="EV6" i="7"/>
  <c r="Q87" i="7"/>
  <c r="R144" i="7"/>
  <c r="R146" i="7" s="1"/>
  <c r="M66" i="7"/>
  <c r="L80" i="7"/>
  <c r="L135" i="7" s="1"/>
  <c r="N55" i="7"/>
  <c r="N74" i="7" s="1"/>
  <c r="N78" i="7" s="1"/>
  <c r="S6" i="7"/>
  <c r="DR139" i="7" l="1"/>
  <c r="DR140" i="7"/>
  <c r="DS137" i="7" s="1"/>
  <c r="CB111" i="7"/>
  <c r="AE35" i="7"/>
  <c r="R20" i="7"/>
  <c r="R49" i="7"/>
  <c r="R61" i="7"/>
  <c r="R63" i="7"/>
  <c r="R69" i="7"/>
  <c r="R62" i="7"/>
  <c r="R72" i="7"/>
  <c r="R70" i="7"/>
  <c r="R71" i="7"/>
  <c r="R75" i="7"/>
  <c r="R73" i="7"/>
  <c r="R11" i="7"/>
  <c r="AE44" i="7"/>
  <c r="R10" i="7"/>
  <c r="AE36" i="7"/>
  <c r="AE34" i="7"/>
  <c r="AE27" i="7"/>
  <c r="R9" i="7"/>
  <c r="AE28" i="7"/>
  <c r="AE32" i="7"/>
  <c r="AE40" i="7"/>
  <c r="R23" i="7"/>
  <c r="R24" i="7" s="1"/>
  <c r="S22" i="7" s="1"/>
  <c r="AE29" i="7"/>
  <c r="R15" i="7"/>
  <c r="Q17" i="7"/>
  <c r="Q93" i="7" s="1"/>
  <c r="Q91" i="7"/>
  <c r="Q170" i="7" s="1"/>
  <c r="AE33" i="7"/>
  <c r="AE38" i="7"/>
  <c r="R14" i="7"/>
  <c r="R90" i="7" s="1"/>
  <c r="AE39" i="7"/>
  <c r="S8" i="7"/>
  <c r="S9" i="7" s="1"/>
  <c r="S45" i="7"/>
  <c r="S86" i="7"/>
  <c r="S76" i="7"/>
  <c r="S77" i="7"/>
  <c r="Q108" i="7"/>
  <c r="R50" i="7"/>
  <c r="R46" i="7"/>
  <c r="DP41" i="7"/>
  <c r="S15" i="7"/>
  <c r="S14" i="7"/>
  <c r="S90" i="7" s="1"/>
  <c r="EL51" i="7"/>
  <c r="EL55" i="7" s="1"/>
  <c r="Q169" i="7"/>
  <c r="Q171" i="7"/>
  <c r="Q172" i="7"/>
  <c r="Q58" i="7"/>
  <c r="P56" i="7"/>
  <c r="P57" i="7" s="1"/>
  <c r="Q59" i="7"/>
  <c r="O52" i="7"/>
  <c r="O53" i="7"/>
  <c r="O54" i="7"/>
  <c r="S150" i="7"/>
  <c r="S109" i="7" s="1"/>
  <c r="L82" i="7"/>
  <c r="P64" i="7"/>
  <c r="EL78" i="7"/>
  <c r="EL87" i="7"/>
  <c r="EL64" i="7"/>
  <c r="EL96" i="7"/>
  <c r="R171" i="7"/>
  <c r="T5" i="7"/>
  <c r="EW6" i="7"/>
  <c r="R174" i="7"/>
  <c r="S144" i="7"/>
  <c r="S146" i="7" s="1"/>
  <c r="R87" i="7"/>
  <c r="N66" i="7"/>
  <c r="M80" i="7"/>
  <c r="M135" i="7" s="1"/>
  <c r="T6" i="7"/>
  <c r="DS139" i="7" l="1"/>
  <c r="DS140" i="7"/>
  <c r="DT137" i="7" s="1"/>
  <c r="CC111" i="7"/>
  <c r="S17" i="7"/>
  <c r="S93" i="7" s="1"/>
  <c r="S108" i="7" s="1"/>
  <c r="S91" i="7"/>
  <c r="AF34" i="7"/>
  <c r="AF39" i="7"/>
  <c r="AF40" i="7"/>
  <c r="AF32" i="7"/>
  <c r="S10" i="7"/>
  <c r="AF33" i="7"/>
  <c r="AF28" i="7"/>
  <c r="R51" i="7"/>
  <c r="AF27" i="7"/>
  <c r="AF36" i="7"/>
  <c r="DQ41" i="7"/>
  <c r="AF44" i="7"/>
  <c r="AF38" i="7"/>
  <c r="R17" i="7"/>
  <c r="R93" i="7" s="1"/>
  <c r="R172" i="7" s="1"/>
  <c r="R91" i="7"/>
  <c r="S50" i="7"/>
  <c r="S46" i="7"/>
  <c r="AF29" i="7"/>
  <c r="S20" i="7"/>
  <c r="S61" i="7"/>
  <c r="S49" i="7"/>
  <c r="S63" i="7"/>
  <c r="S62" i="7"/>
  <c r="S69" i="7"/>
  <c r="S73" i="7"/>
  <c r="S75" i="7"/>
  <c r="S72" i="7"/>
  <c r="S70" i="7"/>
  <c r="S71" i="7"/>
  <c r="R108" i="7"/>
  <c r="S11" i="7"/>
  <c r="S16" i="7"/>
  <c r="S92" i="7" s="1"/>
  <c r="T8" i="7"/>
  <c r="T45" i="7"/>
  <c r="T76" i="7"/>
  <c r="T86" i="7"/>
  <c r="T77" i="7"/>
  <c r="S23" i="7"/>
  <c r="S24" i="7" s="1"/>
  <c r="T22" i="7" s="1"/>
  <c r="R170" i="7"/>
  <c r="AF35" i="7"/>
  <c r="T16" i="7"/>
  <c r="T92" i="7" s="1"/>
  <c r="T15" i="7"/>
  <c r="T14" i="7"/>
  <c r="T90" i="7" s="1"/>
  <c r="T9" i="7"/>
  <c r="T23" i="7"/>
  <c r="T10" i="7"/>
  <c r="T11" i="7"/>
  <c r="R169" i="7"/>
  <c r="R58" i="7"/>
  <c r="R59" i="7"/>
  <c r="P54" i="7"/>
  <c r="P53" i="7"/>
  <c r="P52" i="7"/>
  <c r="Q56" i="7"/>
  <c r="Q57" i="7" s="1"/>
  <c r="Q64" i="7"/>
  <c r="O55" i="7"/>
  <c r="O74" i="7" s="1"/>
  <c r="O78" i="7" s="1"/>
  <c r="T150" i="7"/>
  <c r="T109" i="7" s="1"/>
  <c r="EM86" i="7"/>
  <c r="M82" i="7"/>
  <c r="EM76" i="7"/>
  <c r="EM77" i="7"/>
  <c r="S170" i="7"/>
  <c r="S171" i="7"/>
  <c r="U5" i="7"/>
  <c r="EL66" i="7"/>
  <c r="EL80" i="7" s="1"/>
  <c r="S174" i="7"/>
  <c r="T144" i="7"/>
  <c r="T146" i="7" s="1"/>
  <c r="S87" i="7"/>
  <c r="N80" i="7"/>
  <c r="N135" i="7" s="1"/>
  <c r="U6" i="7"/>
  <c r="DT139" i="7" l="1"/>
  <c r="DT140" i="7"/>
  <c r="DU137" i="7" s="1"/>
  <c r="CD111" i="7"/>
  <c r="AG29" i="7"/>
  <c r="AG35" i="7"/>
  <c r="DR41" i="7"/>
  <c r="AG32" i="7"/>
  <c r="T24" i="7"/>
  <c r="U22" i="7" s="1"/>
  <c r="AG36" i="7"/>
  <c r="AG40" i="7"/>
  <c r="AG39" i="7"/>
  <c r="T50" i="7"/>
  <c r="T46" i="7"/>
  <c r="U8" i="7"/>
  <c r="U23" i="7" s="1"/>
  <c r="U24" i="7" s="1"/>
  <c r="V22" i="7" s="1"/>
  <c r="U86" i="7"/>
  <c r="U45" i="7"/>
  <c r="U76" i="7"/>
  <c r="U77" i="7"/>
  <c r="AG38" i="7"/>
  <c r="AG34" i="7"/>
  <c r="AG44" i="7"/>
  <c r="T20" i="7"/>
  <c r="T61" i="7"/>
  <c r="T49" i="7"/>
  <c r="T51" i="7" s="1"/>
  <c r="T75" i="7"/>
  <c r="T63" i="7"/>
  <c r="T62" i="7"/>
  <c r="T71" i="7"/>
  <c r="T69" i="7"/>
  <c r="T73" i="7"/>
  <c r="T70" i="7"/>
  <c r="T72" i="7"/>
  <c r="AG27" i="7"/>
  <c r="T17" i="7"/>
  <c r="T93" i="7" s="1"/>
  <c r="T172" i="7" s="1"/>
  <c r="T91" i="7"/>
  <c r="T108" i="7" s="1"/>
  <c r="S172" i="7"/>
  <c r="S51" i="7"/>
  <c r="AG28" i="7"/>
  <c r="AG33" i="7"/>
  <c r="U16" i="7"/>
  <c r="U92" i="7" s="1"/>
  <c r="U15" i="7"/>
  <c r="U14" i="7"/>
  <c r="U90" i="7" s="1"/>
  <c r="U9" i="7"/>
  <c r="EL156" i="7"/>
  <c r="EL98" i="7"/>
  <c r="Q53" i="7"/>
  <c r="Q52" i="7"/>
  <c r="R56" i="7"/>
  <c r="R57" i="7" s="1"/>
  <c r="P55" i="7"/>
  <c r="P74" i="7" s="1"/>
  <c r="P78" i="7" s="1"/>
  <c r="R64" i="7"/>
  <c r="O66" i="7"/>
  <c r="O80" i="7" s="1"/>
  <c r="O135" i="7" s="1"/>
  <c r="S169" i="7"/>
  <c r="S58" i="7"/>
  <c r="S59" i="7"/>
  <c r="Q54" i="7"/>
  <c r="U150" i="7"/>
  <c r="U109" i="7" s="1"/>
  <c r="N82" i="7"/>
  <c r="T171" i="7"/>
  <c r="V5" i="7"/>
  <c r="T174" i="7"/>
  <c r="U144" i="7"/>
  <c r="U146" i="7" s="1"/>
  <c r="T87" i="7"/>
  <c r="V6" i="7"/>
  <c r="DU139" i="7" l="1"/>
  <c r="DU140" i="7" s="1"/>
  <c r="DV137" i="7" s="1"/>
  <c r="CE111" i="7"/>
  <c r="V20" i="7"/>
  <c r="V49" i="7"/>
  <c r="V70" i="7"/>
  <c r="V72" i="7"/>
  <c r="V63" i="7"/>
  <c r="V62" i="7"/>
  <c r="V73" i="7"/>
  <c r="V75" i="7"/>
  <c r="V71" i="7"/>
  <c r="V61" i="7"/>
  <c r="V69" i="7"/>
  <c r="U17" i="7"/>
  <c r="U93" i="7" s="1"/>
  <c r="U108" i="7" s="1"/>
  <c r="U91" i="7"/>
  <c r="AH32" i="7"/>
  <c r="U11" i="7"/>
  <c r="AH35" i="7"/>
  <c r="AH40" i="7"/>
  <c r="U50" i="7"/>
  <c r="U46" i="7"/>
  <c r="U20" i="7"/>
  <c r="U73" i="7"/>
  <c r="U69" i="7"/>
  <c r="U63" i="7"/>
  <c r="U61" i="7"/>
  <c r="U71" i="7"/>
  <c r="U62" i="7"/>
  <c r="U72" i="7"/>
  <c r="U70" i="7"/>
  <c r="U75" i="7"/>
  <c r="U49" i="7"/>
  <c r="U51" i="7" s="1"/>
  <c r="AH27" i="7"/>
  <c r="AH44" i="7"/>
  <c r="T170" i="7"/>
  <c r="AH33" i="7"/>
  <c r="DS41" i="7"/>
  <c r="AH39" i="7"/>
  <c r="AH34" i="7"/>
  <c r="U10" i="7"/>
  <c r="AH28" i="7"/>
  <c r="AH29" i="7"/>
  <c r="AH36" i="7"/>
  <c r="V8" i="7"/>
  <c r="V11" i="7" s="1"/>
  <c r="V86" i="7"/>
  <c r="V45" i="7"/>
  <c r="V76" i="7"/>
  <c r="V77" i="7"/>
  <c r="AH38" i="7"/>
  <c r="V14" i="7"/>
  <c r="V90" i="7" s="1"/>
  <c r="V15" i="7"/>
  <c r="V10" i="7"/>
  <c r="R52" i="7"/>
  <c r="EM73" i="7"/>
  <c r="R53" i="7"/>
  <c r="T59" i="7"/>
  <c r="R54" i="7"/>
  <c r="T58" i="7"/>
  <c r="P66" i="7"/>
  <c r="P80" i="7" s="1"/>
  <c r="P135" i="7" s="1"/>
  <c r="EM70" i="7"/>
  <c r="Q55" i="7"/>
  <c r="Q74" i="7" s="1"/>
  <c r="Q78" i="7" s="1"/>
  <c r="S56" i="7"/>
  <c r="S57" i="7" s="1"/>
  <c r="EM72" i="7"/>
  <c r="S64" i="7"/>
  <c r="EM75" i="7"/>
  <c r="EM71" i="7"/>
  <c r="T169" i="7"/>
  <c r="V150" i="7"/>
  <c r="V109" i="7" s="1"/>
  <c r="O82" i="7"/>
  <c r="EM61" i="7"/>
  <c r="U58" i="7"/>
  <c r="U59" i="7"/>
  <c r="W5" i="7"/>
  <c r="U174" i="7"/>
  <c r="V144" i="7"/>
  <c r="V146" i="7" s="1"/>
  <c r="U87" i="7"/>
  <c r="W6" i="7"/>
  <c r="DV139" i="7" l="1"/>
  <c r="DV140" i="7" s="1"/>
  <c r="DW137" i="7" s="1"/>
  <c r="CF111" i="7"/>
  <c r="V50" i="7"/>
  <c r="V51" i="7" s="1"/>
  <c r="V46" i="7"/>
  <c r="W8" i="7"/>
  <c r="W14" i="7" s="1"/>
  <c r="W90" i="7" s="1"/>
  <c r="W86" i="7"/>
  <c r="W77" i="7"/>
  <c r="W76" i="7"/>
  <c r="W45" i="7"/>
  <c r="V16" i="7"/>
  <c r="V92" i="7" s="1"/>
  <c r="V108" i="7" s="1"/>
  <c r="DT41" i="7"/>
  <c r="V23" i="7"/>
  <c r="V24" i="7" s="1"/>
  <c r="W22" i="7" s="1"/>
  <c r="AI36" i="7"/>
  <c r="AI33" i="7"/>
  <c r="AI40" i="7"/>
  <c r="V9" i="7"/>
  <c r="W9" i="7" s="1"/>
  <c r="AI29" i="7"/>
  <c r="AI35" i="7"/>
  <c r="AI28" i="7"/>
  <c r="V17" i="7"/>
  <c r="V93" i="7" s="1"/>
  <c r="V91" i="7"/>
  <c r="AI39" i="7"/>
  <c r="AI38" i="7"/>
  <c r="AI44" i="7"/>
  <c r="AI32" i="7"/>
  <c r="AI27" i="7"/>
  <c r="AI34" i="7"/>
  <c r="W23" i="7"/>
  <c r="W24" i="7" s="1"/>
  <c r="X22" i="7" s="1"/>
  <c r="W15" i="7"/>
  <c r="W10" i="7"/>
  <c r="W11" i="7"/>
  <c r="S52" i="7"/>
  <c r="U64" i="7"/>
  <c r="Q66" i="7"/>
  <c r="Q80" i="7" s="1"/>
  <c r="Q135" i="7" s="1"/>
  <c r="T56" i="7"/>
  <c r="S54" i="7"/>
  <c r="S53" i="7"/>
  <c r="R55" i="7"/>
  <c r="R74" i="7" s="1"/>
  <c r="R78" i="7" s="1"/>
  <c r="T64" i="7"/>
  <c r="U172" i="7"/>
  <c r="W150" i="7"/>
  <c r="W109" i="7" s="1"/>
  <c r="P82" i="7"/>
  <c r="U56" i="7"/>
  <c r="X5" i="7"/>
  <c r="V174" i="7"/>
  <c r="W144" i="7"/>
  <c r="W146" i="7" s="1"/>
  <c r="V87" i="7"/>
  <c r="X6" i="7"/>
  <c r="DW139" i="7" l="1"/>
  <c r="DW140" i="7" s="1"/>
  <c r="DX137" i="7" s="1"/>
  <c r="CG111" i="7"/>
  <c r="W17" i="7"/>
  <c r="W93" i="7" s="1"/>
  <c r="W91" i="7"/>
  <c r="W108" i="7" s="1"/>
  <c r="X20" i="7"/>
  <c r="X62" i="7"/>
  <c r="X75" i="7"/>
  <c r="X49" i="7"/>
  <c r="X63" i="7"/>
  <c r="X72" i="7"/>
  <c r="X73" i="7"/>
  <c r="X70" i="7"/>
  <c r="X71" i="7"/>
  <c r="X61" i="7"/>
  <c r="X69" i="7"/>
  <c r="W20" i="7"/>
  <c r="W71" i="7"/>
  <c r="W49" i="7"/>
  <c r="W51" i="7" s="1"/>
  <c r="W62" i="7"/>
  <c r="W63" i="7"/>
  <c r="W70" i="7"/>
  <c r="W69" i="7"/>
  <c r="W75" i="7"/>
  <c r="W73" i="7"/>
  <c r="W72" i="7"/>
  <c r="W61" i="7"/>
  <c r="AJ35" i="7"/>
  <c r="W50" i="7"/>
  <c r="W46" i="7"/>
  <c r="AJ27" i="7"/>
  <c r="AJ40" i="7"/>
  <c r="AJ36" i="7"/>
  <c r="AJ28" i="7"/>
  <c r="AJ44" i="7"/>
  <c r="X8" i="7"/>
  <c r="X15" i="7" s="1"/>
  <c r="X86" i="7"/>
  <c r="X76" i="7"/>
  <c r="X77" i="7"/>
  <c r="X45" i="7"/>
  <c r="DU41" i="7"/>
  <c r="AJ29" i="7"/>
  <c r="AJ34" i="7"/>
  <c r="AJ38" i="7"/>
  <c r="AJ39" i="7"/>
  <c r="W16" i="7"/>
  <c r="W92" i="7" s="1"/>
  <c r="W171" i="7" s="1"/>
  <c r="AJ32" i="7"/>
  <c r="AJ33" i="7"/>
  <c r="X16" i="7"/>
  <c r="X92" i="7" s="1"/>
  <c r="X14" i="7"/>
  <c r="X90" i="7" s="1"/>
  <c r="X10" i="7"/>
  <c r="X11" i="7"/>
  <c r="X9" i="7"/>
  <c r="R66" i="7"/>
  <c r="R80" i="7" s="1"/>
  <c r="R135" i="7" s="1"/>
  <c r="T53" i="7"/>
  <c r="S55" i="7"/>
  <c r="S74" i="7" s="1"/>
  <c r="S78" i="7" s="1"/>
  <c r="V58" i="7"/>
  <c r="V171" i="7"/>
  <c r="V170" i="7"/>
  <c r="U169" i="7"/>
  <c r="V169" i="7"/>
  <c r="V59" i="7"/>
  <c r="V172" i="7"/>
  <c r="U170" i="7"/>
  <c r="U171" i="7"/>
  <c r="X150" i="7"/>
  <c r="X109" i="7" s="1"/>
  <c r="Q82" i="7"/>
  <c r="W170" i="7"/>
  <c r="W172" i="7"/>
  <c r="Y5" i="7"/>
  <c r="W174" i="7"/>
  <c r="T54" i="7"/>
  <c r="T52" i="7"/>
  <c r="T57" i="7"/>
  <c r="X144" i="7"/>
  <c r="X146" i="7" s="1"/>
  <c r="W87" i="7"/>
  <c r="U57" i="7"/>
  <c r="U53" i="7"/>
  <c r="U54" i="7"/>
  <c r="U52" i="7"/>
  <c r="Y6" i="7"/>
  <c r="DX139" i="7" l="1"/>
  <c r="DX140" i="7" s="1"/>
  <c r="DY137" i="7" s="1"/>
  <c r="X17" i="7"/>
  <c r="X93" i="7" s="1"/>
  <c r="X172" i="7" s="1"/>
  <c r="X91" i="7"/>
  <c r="DV41" i="7"/>
  <c r="AK32" i="7"/>
  <c r="X46" i="7"/>
  <c r="X50" i="7"/>
  <c r="AK40" i="7"/>
  <c r="X51" i="7"/>
  <c r="AK27" i="7"/>
  <c r="AK38" i="7"/>
  <c r="Y8" i="7"/>
  <c r="Y86" i="7"/>
  <c r="Y45" i="7"/>
  <c r="Y77" i="7"/>
  <c r="Y76" i="7"/>
  <c r="AK34" i="7"/>
  <c r="AK36" i="7"/>
  <c r="AK39" i="7"/>
  <c r="AK44" i="7"/>
  <c r="AK35" i="7"/>
  <c r="X23" i="7"/>
  <c r="X24" i="7" s="1"/>
  <c r="Y22" i="7" s="1"/>
  <c r="AK33" i="7"/>
  <c r="AK29" i="7"/>
  <c r="AK28" i="7"/>
  <c r="Y11" i="7"/>
  <c r="Y9" i="7"/>
  <c r="Y16" i="7"/>
  <c r="Y92" i="7" s="1"/>
  <c r="Y15" i="7"/>
  <c r="Y10" i="7"/>
  <c r="V64" i="7"/>
  <c r="S66" i="7"/>
  <c r="S80" i="7" s="1"/>
  <c r="S135" i="7" s="1"/>
  <c r="V56" i="7"/>
  <c r="V57" i="7" s="1"/>
  <c r="W58" i="7"/>
  <c r="W59" i="7"/>
  <c r="W56" i="7"/>
  <c r="W169" i="7"/>
  <c r="Y150" i="7"/>
  <c r="Y109" i="7" s="1"/>
  <c r="R82" i="7"/>
  <c r="X171" i="7"/>
  <c r="Z5" i="7"/>
  <c r="T55" i="7"/>
  <c r="T74" i="7" s="1"/>
  <c r="T78" i="7" s="1"/>
  <c r="X174" i="7"/>
  <c r="Y144" i="7"/>
  <c r="Y146" i="7" s="1"/>
  <c r="X87" i="7"/>
  <c r="V52" i="7"/>
  <c r="U55" i="7"/>
  <c r="U74" i="7" s="1"/>
  <c r="U78" i="7" s="1"/>
  <c r="Z6" i="7"/>
  <c r="DY139" i="7" l="1"/>
  <c r="DY140" i="7" s="1"/>
  <c r="DZ137" i="7" s="1"/>
  <c r="CH111" i="7"/>
  <c r="AL33" i="7"/>
  <c r="AL36" i="7"/>
  <c r="Z9" i="7"/>
  <c r="AL34" i="7"/>
  <c r="AL40" i="7"/>
  <c r="AL35" i="7"/>
  <c r="AL28" i="7"/>
  <c r="AL44" i="7"/>
  <c r="AL32" i="7"/>
  <c r="Y17" i="7"/>
  <c r="Y93" i="7" s="1"/>
  <c r="Y91" i="7"/>
  <c r="AL27" i="7"/>
  <c r="Y20" i="7"/>
  <c r="Y23" i="7" s="1"/>
  <c r="Y24" i="7" s="1"/>
  <c r="Z22" i="7" s="1"/>
  <c r="Y49" i="7"/>
  <c r="Y69" i="7"/>
  <c r="Y72" i="7"/>
  <c r="Y73" i="7"/>
  <c r="Y70" i="7"/>
  <c r="Y62" i="7"/>
  <c r="Y75" i="7"/>
  <c r="Y61" i="7"/>
  <c r="Y71" i="7"/>
  <c r="Y63" i="7"/>
  <c r="Z11" i="7"/>
  <c r="X108" i="7"/>
  <c r="Y50" i="7"/>
  <c r="Y46" i="7"/>
  <c r="Z8" i="7"/>
  <c r="Z86" i="7"/>
  <c r="Z77" i="7"/>
  <c r="Z76" i="7"/>
  <c r="Z45" i="7"/>
  <c r="Z10" i="7"/>
  <c r="AL38" i="7"/>
  <c r="DW41" i="7"/>
  <c r="Y14" i="7"/>
  <c r="Y90" i="7" s="1"/>
  <c r="AL29" i="7"/>
  <c r="AL39" i="7"/>
  <c r="Z15" i="7"/>
  <c r="Z16" i="7"/>
  <c r="Z92" i="7" s="1"/>
  <c r="V54" i="7"/>
  <c r="V53" i="7"/>
  <c r="W64" i="7"/>
  <c r="X59" i="7"/>
  <c r="X58" i="7"/>
  <c r="X169" i="7"/>
  <c r="X170" i="7"/>
  <c r="Z150" i="7"/>
  <c r="Z109" i="7" s="1"/>
  <c r="S82" i="7"/>
  <c r="Y170" i="7"/>
  <c r="Y171" i="7"/>
  <c r="AA5" i="7"/>
  <c r="T66" i="7"/>
  <c r="Y174" i="7"/>
  <c r="Z144" i="7"/>
  <c r="Z146" i="7" s="1"/>
  <c r="Y87" i="7"/>
  <c r="U66" i="7"/>
  <c r="W57" i="7"/>
  <c r="W53" i="7"/>
  <c r="W52" i="7"/>
  <c r="W54" i="7"/>
  <c r="AA6" i="7"/>
  <c r="DZ139" i="7" l="1"/>
  <c r="DZ140" i="7" s="1"/>
  <c r="EA137" i="7" s="1"/>
  <c r="Z20" i="7"/>
  <c r="Z61" i="7"/>
  <c r="Z71" i="7"/>
  <c r="Z62" i="7"/>
  <c r="Z70" i="7"/>
  <c r="Z72" i="7"/>
  <c r="Z49" i="7"/>
  <c r="Z51" i="7" s="1"/>
  <c r="Z73" i="7"/>
  <c r="Z63" i="7"/>
  <c r="Z75" i="7"/>
  <c r="Z69" i="7"/>
  <c r="AM35" i="7"/>
  <c r="Z50" i="7"/>
  <c r="Z46" i="7"/>
  <c r="AM32" i="7"/>
  <c r="AM39" i="7"/>
  <c r="AM28" i="7"/>
  <c r="DX41" i="7"/>
  <c r="AM27" i="7"/>
  <c r="AM38" i="7"/>
  <c r="Z17" i="7"/>
  <c r="Z93" i="7" s="1"/>
  <c r="Z91" i="7"/>
  <c r="AM40" i="7"/>
  <c r="AM34" i="7"/>
  <c r="Z23" i="7"/>
  <c r="Z24" i="7" s="1"/>
  <c r="AA22" i="7" s="1"/>
  <c r="AM44" i="7"/>
  <c r="AM36" i="7"/>
  <c r="AM29" i="7"/>
  <c r="AA8" i="7"/>
  <c r="AA86" i="7"/>
  <c r="AA45" i="7"/>
  <c r="AA76" i="7"/>
  <c r="AA77" i="7"/>
  <c r="Z14" i="7"/>
  <c r="Z90" i="7" s="1"/>
  <c r="Y108" i="7"/>
  <c r="Y51" i="7"/>
  <c r="AM33" i="7"/>
  <c r="V55" i="7"/>
  <c r="AA14" i="7"/>
  <c r="AA90" i="7" s="1"/>
  <c r="AA15" i="7"/>
  <c r="X64" i="7"/>
  <c r="Y58" i="7"/>
  <c r="Y59" i="7"/>
  <c r="X56" i="7"/>
  <c r="X57" i="7" s="1"/>
  <c r="Y169" i="7"/>
  <c r="Y172" i="7"/>
  <c r="AA150" i="7"/>
  <c r="AA109" i="7" s="1"/>
  <c r="Z170" i="7"/>
  <c r="AB5" i="7"/>
  <c r="T80" i="7"/>
  <c r="T135" i="7" s="1"/>
  <c r="Z174" i="7"/>
  <c r="U80" i="7"/>
  <c r="U135" i="7" s="1"/>
  <c r="AA144" i="7"/>
  <c r="AA146" i="7" s="1"/>
  <c r="Z87" i="7"/>
  <c r="W55" i="7"/>
  <c r="W74" i="7" s="1"/>
  <c r="W78" i="7" s="1"/>
  <c r="AB6" i="7"/>
  <c r="EA139" i="7" l="1"/>
  <c r="EA140" i="7"/>
  <c r="EB137" i="7" s="1"/>
  <c r="CI111" i="7"/>
  <c r="AN27" i="7"/>
  <c r="DY41" i="7"/>
  <c r="AN29" i="7"/>
  <c r="AN33" i="7"/>
  <c r="AN36" i="7"/>
  <c r="AN32" i="7"/>
  <c r="AA17" i="7"/>
  <c r="AA93" i="7" s="1"/>
  <c r="AA91" i="7"/>
  <c r="AN35" i="7"/>
  <c r="AA20" i="7"/>
  <c r="AA23" i="7" s="1"/>
  <c r="AA24" i="7" s="1"/>
  <c r="AB22" i="7" s="1"/>
  <c r="AA70" i="7"/>
  <c r="AA61" i="7"/>
  <c r="AA63" i="7"/>
  <c r="AA69" i="7"/>
  <c r="AA72" i="7"/>
  <c r="AA62" i="7"/>
  <c r="AA71" i="7"/>
  <c r="AA73" i="7"/>
  <c r="AA49" i="7"/>
  <c r="AA75" i="7"/>
  <c r="V66" i="7"/>
  <c r="V74" i="7"/>
  <c r="V78" i="7" s="1"/>
  <c r="AA10" i="7"/>
  <c r="AA9" i="7"/>
  <c r="AA11" i="7"/>
  <c r="AN28" i="7"/>
  <c r="AN40" i="7"/>
  <c r="AN44" i="7"/>
  <c r="AB8" i="7"/>
  <c r="AB86" i="7"/>
  <c r="AB76" i="7"/>
  <c r="AB45" i="7"/>
  <c r="AB77" i="7"/>
  <c r="AA108" i="7"/>
  <c r="AA46" i="7"/>
  <c r="AA50" i="7"/>
  <c r="AN34" i="7"/>
  <c r="AN39" i="7"/>
  <c r="AN38" i="7"/>
  <c r="AA16" i="7"/>
  <c r="AA92" i="7" s="1"/>
  <c r="AA171" i="7" s="1"/>
  <c r="Z108" i="7"/>
  <c r="AB14" i="7"/>
  <c r="AB90" i="7" s="1"/>
  <c r="X52" i="7"/>
  <c r="Z172" i="7"/>
  <c r="Y64" i="7"/>
  <c r="Z59" i="7"/>
  <c r="Y56" i="7"/>
  <c r="Y57" i="7" s="1"/>
  <c r="X54" i="7"/>
  <c r="Z58" i="7"/>
  <c r="X53" i="7"/>
  <c r="Z169" i="7"/>
  <c r="AB150" i="7"/>
  <c r="AB109" i="7" s="1"/>
  <c r="T82" i="7"/>
  <c r="U82" i="7"/>
  <c r="AA172" i="7"/>
  <c r="AA170" i="7"/>
  <c r="AC5" i="7"/>
  <c r="AA174" i="7"/>
  <c r="AB144" i="7"/>
  <c r="AB146" i="7" s="1"/>
  <c r="AA87" i="7"/>
  <c r="I81" i="7"/>
  <c r="I94" i="7" s="1"/>
  <c r="W66" i="7"/>
  <c r="V80" i="7"/>
  <c r="V135" i="7" s="1"/>
  <c r="Y54" i="7"/>
  <c r="AC6" i="7"/>
  <c r="EB139" i="7" l="1"/>
  <c r="EB140" i="7"/>
  <c r="EC137" i="7" s="1"/>
  <c r="AB20" i="7"/>
  <c r="AB23" i="7" s="1"/>
  <c r="AB24" i="7" s="1"/>
  <c r="AC22" i="7" s="1"/>
  <c r="AB72" i="7"/>
  <c r="AB73" i="7"/>
  <c r="AB49" i="7"/>
  <c r="AB61" i="7"/>
  <c r="AB69" i="7"/>
  <c r="AB62" i="7"/>
  <c r="AB71" i="7"/>
  <c r="AB70" i="7"/>
  <c r="AB63" i="7"/>
  <c r="AB75" i="7"/>
  <c r="AO40" i="7"/>
  <c r="AO32" i="7"/>
  <c r="AO36" i="7"/>
  <c r="AB50" i="7"/>
  <c r="AB46" i="7"/>
  <c r="AO38" i="7"/>
  <c r="AO29" i="7"/>
  <c r="AB9" i="7"/>
  <c r="AB10" i="7"/>
  <c r="AB11" i="7"/>
  <c r="AC11" i="7" s="1"/>
  <c r="AO44" i="7"/>
  <c r="AA51" i="7"/>
  <c r="AO28" i="7"/>
  <c r="AO33" i="7"/>
  <c r="AC8" i="7"/>
  <c r="AC86" i="7"/>
  <c r="AC77" i="7"/>
  <c r="AC76" i="7"/>
  <c r="AC45" i="7"/>
  <c r="AO35" i="7"/>
  <c r="DZ41" i="7"/>
  <c r="AO39" i="7"/>
  <c r="AB15" i="7"/>
  <c r="AB16" i="7"/>
  <c r="AB92" i="7" s="1"/>
  <c r="AO34" i="7"/>
  <c r="AO27" i="7"/>
  <c r="AC16" i="7"/>
  <c r="AC92" i="7" s="1"/>
  <c r="AC15" i="7"/>
  <c r="AC14" i="7"/>
  <c r="AC90" i="7" s="1"/>
  <c r="AC10" i="7"/>
  <c r="AC9" i="7"/>
  <c r="Y52" i="7"/>
  <c r="Y53" i="7"/>
  <c r="AA58" i="7"/>
  <c r="AA59" i="7"/>
  <c r="Z56" i="7"/>
  <c r="Z57" i="7" s="1"/>
  <c r="Z64" i="7"/>
  <c r="X55" i="7"/>
  <c r="X74" i="7" s="1"/>
  <c r="X78" i="7" s="1"/>
  <c r="AA169" i="7"/>
  <c r="Z171" i="7"/>
  <c r="AC150" i="7"/>
  <c r="AC109" i="7" s="1"/>
  <c r="V82" i="7"/>
  <c r="AD5" i="7"/>
  <c r="AB171" i="7"/>
  <c r="W80" i="7"/>
  <c r="W135" i="7" s="1"/>
  <c r="AB174" i="7"/>
  <c r="AC144" i="7"/>
  <c r="AC146" i="7" s="1"/>
  <c r="J81" i="7"/>
  <c r="J94" i="7" s="1"/>
  <c r="I95" i="7"/>
  <c r="AB87" i="7"/>
  <c r="AD6" i="7"/>
  <c r="EC139" i="7" l="1"/>
  <c r="EC140" i="7"/>
  <c r="ED137" i="7" s="1"/>
  <c r="CJ111" i="7"/>
  <c r="AB17" i="7"/>
  <c r="AB93" i="7" s="1"/>
  <c r="AB172" i="7" s="1"/>
  <c r="AB91" i="7"/>
  <c r="AP40" i="7"/>
  <c r="AP33" i="7"/>
  <c r="AP39" i="7"/>
  <c r="AP29" i="7"/>
  <c r="AC17" i="7"/>
  <c r="AC93" i="7" s="1"/>
  <c r="AC108" i="7" s="1"/>
  <c r="AC91" i="7"/>
  <c r="EA41" i="7"/>
  <c r="AP28" i="7"/>
  <c r="AP38" i="7"/>
  <c r="AP35" i="7"/>
  <c r="AC50" i="7"/>
  <c r="AC46" i="7"/>
  <c r="AP44" i="7"/>
  <c r="AP27" i="7"/>
  <c r="AP36" i="7"/>
  <c r="AB51" i="7"/>
  <c r="AB56" i="7" s="1"/>
  <c r="AD8" i="7"/>
  <c r="AD15" i="7" s="1"/>
  <c r="AD86" i="7"/>
  <c r="AD77" i="7"/>
  <c r="AD45" i="7"/>
  <c r="AD76" i="7"/>
  <c r="AP34" i="7"/>
  <c r="AP32" i="7"/>
  <c r="AC20" i="7"/>
  <c r="AC23" i="7" s="1"/>
  <c r="AC24" i="7" s="1"/>
  <c r="AD22" i="7" s="1"/>
  <c r="AC72" i="7"/>
  <c r="AC61" i="7"/>
  <c r="AC75" i="7"/>
  <c r="AC69" i="7"/>
  <c r="AC49" i="7"/>
  <c r="AC51" i="7" s="1"/>
  <c r="AC63" i="7"/>
  <c r="AC71" i="7"/>
  <c r="AC70" i="7"/>
  <c r="AC62" i="7"/>
  <c r="AC73" i="7"/>
  <c r="AD10" i="7"/>
  <c r="AD16" i="7"/>
  <c r="AD92" i="7" s="1"/>
  <c r="AD14" i="7"/>
  <c r="AD90" i="7" s="1"/>
  <c r="AA64" i="7"/>
  <c r="Y55" i="7"/>
  <c r="Y74" i="7" s="1"/>
  <c r="Y78" i="7" s="1"/>
  <c r="Z54" i="7"/>
  <c r="AA56" i="7"/>
  <c r="AA57" i="7" s="1"/>
  <c r="AB59" i="7"/>
  <c r="AB58" i="7"/>
  <c r="Z52" i="7"/>
  <c r="Z53" i="7"/>
  <c r="X66" i="7"/>
  <c r="X80" i="7" s="1"/>
  <c r="X135" i="7" s="1"/>
  <c r="AB169" i="7"/>
  <c r="AD150" i="7"/>
  <c r="AD109" i="7" s="1"/>
  <c r="W82" i="7"/>
  <c r="AC170" i="7"/>
  <c r="AC171" i="7"/>
  <c r="AE5" i="7"/>
  <c r="I96" i="7"/>
  <c r="I98" i="7" s="1"/>
  <c r="AC174" i="7"/>
  <c r="AD144" i="7"/>
  <c r="AD146" i="7" s="1"/>
  <c r="AC87" i="7"/>
  <c r="J95" i="7"/>
  <c r="J96" i="7" s="1"/>
  <c r="J98" i="7" s="1"/>
  <c r="K81" i="7"/>
  <c r="K94" i="7" s="1"/>
  <c r="AA52" i="7"/>
  <c r="AE6" i="7"/>
  <c r="ED139" i="7" l="1"/>
  <c r="ED140" i="7"/>
  <c r="EE137" i="7" s="1"/>
  <c r="AD17" i="7"/>
  <c r="AD93" i="7" s="1"/>
  <c r="AD91" i="7"/>
  <c r="AD108" i="7"/>
  <c r="AD9" i="7"/>
  <c r="AD11" i="7"/>
  <c r="AE11" i="7" s="1"/>
  <c r="AQ39" i="7"/>
  <c r="AD20" i="7"/>
  <c r="AD23" i="7" s="1"/>
  <c r="AD24" i="7" s="1"/>
  <c r="AE22" i="7" s="1"/>
  <c r="AD61" i="7"/>
  <c r="AD62" i="7"/>
  <c r="AD70" i="7"/>
  <c r="AD75" i="7"/>
  <c r="AD72" i="7"/>
  <c r="AD49" i="7"/>
  <c r="AD73" i="7"/>
  <c r="AD71" i="7"/>
  <c r="AD69" i="7"/>
  <c r="AD63" i="7"/>
  <c r="AQ32" i="7"/>
  <c r="AQ33" i="7"/>
  <c r="AC172" i="7"/>
  <c r="AQ44" i="7"/>
  <c r="AQ40" i="7"/>
  <c r="EB41" i="7"/>
  <c r="AQ29" i="7"/>
  <c r="AQ35" i="7"/>
  <c r="AQ36" i="7"/>
  <c r="AE8" i="7"/>
  <c r="AE15" i="7" s="1"/>
  <c r="AE86" i="7"/>
  <c r="AE45" i="7"/>
  <c r="AE76" i="7"/>
  <c r="AE77" i="7"/>
  <c r="AQ38" i="7"/>
  <c r="AQ27" i="7"/>
  <c r="AQ28" i="7"/>
  <c r="AQ34" i="7"/>
  <c r="AB170" i="7"/>
  <c r="AB108" i="7"/>
  <c r="AD50" i="7"/>
  <c r="AD46" i="7"/>
  <c r="AE10" i="7"/>
  <c r="AE9" i="7"/>
  <c r="AE14" i="7"/>
  <c r="AE90" i="7" s="1"/>
  <c r="Z55" i="7"/>
  <c r="AA53" i="7"/>
  <c r="Y66" i="7"/>
  <c r="Y80" i="7" s="1"/>
  <c r="Y135" i="7" s="1"/>
  <c r="AC56" i="7"/>
  <c r="AA54" i="7"/>
  <c r="AB64" i="7"/>
  <c r="AC59" i="7"/>
  <c r="AC58" i="7"/>
  <c r="AC169" i="7"/>
  <c r="AE150" i="7"/>
  <c r="AE109" i="7" s="1"/>
  <c r="X82" i="7"/>
  <c r="AF5" i="7"/>
  <c r="AD170" i="7"/>
  <c r="AD172" i="7"/>
  <c r="AD171" i="7"/>
  <c r="AD174" i="7"/>
  <c r="AD87" i="7"/>
  <c r="AE144" i="7"/>
  <c r="AE146" i="7" s="1"/>
  <c r="L81" i="7"/>
  <c r="L94" i="7" s="1"/>
  <c r="K95" i="7"/>
  <c r="AB57" i="7"/>
  <c r="AB52" i="7"/>
  <c r="AB54" i="7"/>
  <c r="AB53" i="7"/>
  <c r="AF6" i="7"/>
  <c r="EE139" i="7" l="1"/>
  <c r="EE140" i="7"/>
  <c r="EF137" i="7" s="1"/>
  <c r="CK111" i="7"/>
  <c r="AE17" i="7"/>
  <c r="AE93" i="7" s="1"/>
  <c r="AE91" i="7"/>
  <c r="AE108" i="7"/>
  <c r="AR28" i="7"/>
  <c r="AR35" i="7"/>
  <c r="AR27" i="7"/>
  <c r="AR33" i="7"/>
  <c r="AR29" i="7"/>
  <c r="AE20" i="7"/>
  <c r="AE23" i="7" s="1"/>
  <c r="AE24" i="7" s="1"/>
  <c r="AF22" i="7" s="1"/>
  <c r="AE70" i="7"/>
  <c r="AE71" i="7"/>
  <c r="AE63" i="7"/>
  <c r="AE62" i="7"/>
  <c r="AE75" i="7"/>
  <c r="AE61" i="7"/>
  <c r="AE73" i="7"/>
  <c r="AE69" i="7"/>
  <c r="AE49" i="7"/>
  <c r="AE51" i="7" s="1"/>
  <c r="AE72" i="7"/>
  <c r="AR38" i="7"/>
  <c r="AR32" i="7"/>
  <c r="EC41" i="7"/>
  <c r="AR39" i="7"/>
  <c r="AE50" i="7"/>
  <c r="AE46" i="7"/>
  <c r="AR40" i="7"/>
  <c r="AF8" i="7"/>
  <c r="AF14" i="7" s="1"/>
  <c r="AF90" i="7" s="1"/>
  <c r="AF86" i="7"/>
  <c r="AF77" i="7"/>
  <c r="AF76" i="7"/>
  <c r="AF45" i="7"/>
  <c r="Z66" i="7"/>
  <c r="Z74" i="7"/>
  <c r="Z78" i="7" s="1"/>
  <c r="AR44" i="7"/>
  <c r="AD51" i="7"/>
  <c r="AE16" i="7"/>
  <c r="AE92" i="7" s="1"/>
  <c r="AR34" i="7"/>
  <c r="AR36" i="7"/>
  <c r="AA55" i="7"/>
  <c r="AA74" i="7" s="1"/>
  <c r="AA78" i="7" s="1"/>
  <c r="AF9" i="7"/>
  <c r="AF15" i="7"/>
  <c r="AF16" i="7"/>
  <c r="AF92" i="7" s="1"/>
  <c r="AF11" i="7"/>
  <c r="AF10" i="7"/>
  <c r="AC64" i="7"/>
  <c r="AD58" i="7"/>
  <c r="AD59" i="7"/>
  <c r="AD169" i="7"/>
  <c r="AF150" i="7"/>
  <c r="AF109" i="7" s="1"/>
  <c r="Y82" i="7"/>
  <c r="AE170" i="7"/>
  <c r="AE172" i="7"/>
  <c r="AE171" i="7"/>
  <c r="AG5" i="7"/>
  <c r="AE174" i="7"/>
  <c r="K96" i="7"/>
  <c r="K98" i="7" s="1"/>
  <c r="AF144" i="7"/>
  <c r="AF146" i="7" s="1"/>
  <c r="M81" i="7"/>
  <c r="M94" i="7" s="1"/>
  <c r="L95" i="7"/>
  <c r="L96" i="7" s="1"/>
  <c r="L98" i="7" s="1"/>
  <c r="AG6" i="7"/>
  <c r="AE87" i="7"/>
  <c r="AA66" i="7"/>
  <c r="Z80" i="7"/>
  <c r="Z135" i="7" s="1"/>
  <c r="AB55" i="7"/>
  <c r="AB74" i="7" s="1"/>
  <c r="AB78" i="7" s="1"/>
  <c r="AC57" i="7"/>
  <c r="AC54" i="7"/>
  <c r="AC53" i="7"/>
  <c r="AC52" i="7"/>
  <c r="EF139" i="7" l="1"/>
  <c r="EF140" i="7"/>
  <c r="EG137" i="7" s="1"/>
  <c r="AS40" i="7"/>
  <c r="AS29" i="7"/>
  <c r="AS44" i="7"/>
  <c r="AS33" i="7"/>
  <c r="AS27" i="7"/>
  <c r="AS39" i="7"/>
  <c r="AF50" i="7"/>
  <c r="AF46" i="7"/>
  <c r="AS35" i="7"/>
  <c r="AG10" i="7"/>
  <c r="AS36" i="7"/>
  <c r="ED41" i="7"/>
  <c r="AG11" i="7"/>
  <c r="AS28" i="7"/>
  <c r="AG8" i="7"/>
  <c r="AG86" i="7"/>
  <c r="AG77" i="7"/>
  <c r="AG76" i="7"/>
  <c r="AG45" i="7"/>
  <c r="AS34" i="7"/>
  <c r="AS32" i="7"/>
  <c r="AF17" i="7"/>
  <c r="AF93" i="7" s="1"/>
  <c r="AF91" i="7"/>
  <c r="AF108" i="7" s="1"/>
  <c r="AF20" i="7"/>
  <c r="AF23" i="7" s="1"/>
  <c r="AF24" i="7" s="1"/>
  <c r="AG22" i="7" s="1"/>
  <c r="AF63" i="7"/>
  <c r="AF73" i="7"/>
  <c r="AF75" i="7"/>
  <c r="AF62" i="7"/>
  <c r="AF70" i="7"/>
  <c r="AF49" i="7"/>
  <c r="AF51" i="7" s="1"/>
  <c r="AF69" i="7"/>
  <c r="AF61" i="7"/>
  <c r="AF72" i="7"/>
  <c r="AF71" i="7"/>
  <c r="AS38" i="7"/>
  <c r="AG15" i="7"/>
  <c r="AG9" i="7"/>
  <c r="AG14" i="7"/>
  <c r="AG90" i="7" s="1"/>
  <c r="AG16" i="7"/>
  <c r="AG92" i="7" s="1"/>
  <c r="AD64" i="7"/>
  <c r="AE58" i="7"/>
  <c r="AE59" i="7"/>
  <c r="AD56" i="7"/>
  <c r="AD57" i="7" s="1"/>
  <c r="AE169" i="7"/>
  <c r="AG150" i="7"/>
  <c r="AG109" i="7" s="1"/>
  <c r="Z82" i="7"/>
  <c r="AE64" i="7"/>
  <c r="AF59" i="7"/>
  <c r="AF58" i="7"/>
  <c r="AE56" i="7"/>
  <c r="AF170" i="7"/>
  <c r="AF172" i="7"/>
  <c r="AF171" i="7"/>
  <c r="AH5" i="7"/>
  <c r="AA80" i="7"/>
  <c r="AA135" i="7" s="1"/>
  <c r="AF174" i="7"/>
  <c r="AG144" i="7"/>
  <c r="AG146" i="7" s="1"/>
  <c r="AF87" i="7"/>
  <c r="N81" i="7"/>
  <c r="N94" i="7" s="1"/>
  <c r="M95" i="7"/>
  <c r="M96" i="7" s="1"/>
  <c r="M98" i="7" s="1"/>
  <c r="AH6" i="7"/>
  <c r="AB66" i="7"/>
  <c r="AC55" i="7"/>
  <c r="AC74" i="7" s="1"/>
  <c r="AC78" i="7" s="1"/>
  <c r="EG139" i="7" l="1"/>
  <c r="EG140" i="7" s="1"/>
  <c r="EH137" i="7" s="1"/>
  <c r="CL111" i="7"/>
  <c r="AT33" i="7"/>
  <c r="AT34" i="7"/>
  <c r="AT36" i="7"/>
  <c r="AG50" i="7"/>
  <c r="AG46" i="7"/>
  <c r="AG17" i="7"/>
  <c r="AG93" i="7" s="1"/>
  <c r="AG91" i="7"/>
  <c r="AT35" i="7"/>
  <c r="AT44" i="7"/>
  <c r="AG20" i="7"/>
  <c r="AG23" i="7" s="1"/>
  <c r="AG24" i="7" s="1"/>
  <c r="AH22" i="7" s="1"/>
  <c r="AG61" i="7"/>
  <c r="AG49" i="7"/>
  <c r="AG51" i="7" s="1"/>
  <c r="AG71" i="7"/>
  <c r="AG69" i="7"/>
  <c r="AG73" i="7"/>
  <c r="AG75" i="7"/>
  <c r="AG62" i="7"/>
  <c r="AG72" i="7"/>
  <c r="AG70" i="7"/>
  <c r="AG63" i="7"/>
  <c r="AT29" i="7"/>
  <c r="AT32" i="7"/>
  <c r="EE41" i="7"/>
  <c r="AG108" i="7"/>
  <c r="AT38" i="7"/>
  <c r="AT28" i="7"/>
  <c r="AT39" i="7"/>
  <c r="AH8" i="7"/>
  <c r="AH10" i="7" s="1"/>
  <c r="AH86" i="7"/>
  <c r="AH77" i="7"/>
  <c r="AH76" i="7"/>
  <c r="AH45" i="7"/>
  <c r="AT40" i="7"/>
  <c r="AT27" i="7"/>
  <c r="AH14" i="7"/>
  <c r="AH90" i="7" s="1"/>
  <c r="AH15" i="7"/>
  <c r="AH9" i="7"/>
  <c r="AH11" i="7"/>
  <c r="AD52" i="7"/>
  <c r="AD54" i="7"/>
  <c r="AD53" i="7"/>
  <c r="AF169" i="7"/>
  <c r="AH150" i="7"/>
  <c r="AH109" i="7" s="1"/>
  <c r="AA82" i="7"/>
  <c r="AF64" i="7"/>
  <c r="AF56" i="7"/>
  <c r="AI5" i="7"/>
  <c r="AG174" i="7"/>
  <c r="AH144" i="7"/>
  <c r="AH146" i="7" s="1"/>
  <c r="O81" i="7"/>
  <c r="N95" i="7"/>
  <c r="N96" i="7" s="1"/>
  <c r="N98" i="7" s="1"/>
  <c r="AG87" i="7"/>
  <c r="AI6" i="7"/>
  <c r="AC66" i="7"/>
  <c r="AB80" i="7"/>
  <c r="AB135" i="7" s="1"/>
  <c r="AE57" i="7"/>
  <c r="AE54" i="7"/>
  <c r="AE52" i="7"/>
  <c r="AE53" i="7"/>
  <c r="EH139" i="7" l="1"/>
  <c r="EH140" i="7" s="1"/>
  <c r="EI137" i="7" s="1"/>
  <c r="AH20" i="7"/>
  <c r="AH23" i="7" s="1"/>
  <c r="AH24" i="7" s="1"/>
  <c r="AI22" i="7" s="1"/>
  <c r="AH73" i="7"/>
  <c r="AH70" i="7"/>
  <c r="AH69" i="7"/>
  <c r="AH61" i="7"/>
  <c r="AH71" i="7"/>
  <c r="AH63" i="7"/>
  <c r="AH49" i="7"/>
  <c r="AH75" i="7"/>
  <c r="AH72" i="7"/>
  <c r="AH62" i="7"/>
  <c r="AU40" i="7"/>
  <c r="AU35" i="7"/>
  <c r="AH50" i="7"/>
  <c r="AH46" i="7"/>
  <c r="EF41" i="7"/>
  <c r="AH17" i="7"/>
  <c r="AH93" i="7" s="1"/>
  <c r="AH91" i="7"/>
  <c r="AU32" i="7"/>
  <c r="AH16" i="7"/>
  <c r="AH92" i="7" s="1"/>
  <c r="AU29" i="7"/>
  <c r="AU36" i="7"/>
  <c r="AU39" i="7"/>
  <c r="AU44" i="7"/>
  <c r="AU34" i="7"/>
  <c r="AU28" i="7"/>
  <c r="AU33" i="7"/>
  <c r="AI8" i="7"/>
  <c r="AI10" i="7" s="1"/>
  <c r="AI86" i="7"/>
  <c r="AI45" i="7"/>
  <c r="AI77" i="7"/>
  <c r="AI76" i="7"/>
  <c r="AH108" i="7"/>
  <c r="AU27" i="7"/>
  <c r="AU38" i="7"/>
  <c r="AI14" i="7"/>
  <c r="AI90" i="7" s="1"/>
  <c r="AI16" i="7"/>
  <c r="AI92" i="7" s="1"/>
  <c r="AI15" i="7"/>
  <c r="AI9" i="7"/>
  <c r="AG56" i="7"/>
  <c r="AD55" i="7"/>
  <c r="AD74" i="7" s="1"/>
  <c r="AD78" i="7" s="1"/>
  <c r="AG59" i="7"/>
  <c r="O94" i="7"/>
  <c r="O95" i="7" s="1"/>
  <c r="O96" i="7" s="1"/>
  <c r="O98" i="7" s="1"/>
  <c r="AG58" i="7"/>
  <c r="AG172" i="7"/>
  <c r="AI150" i="7"/>
  <c r="AI109" i="7" s="1"/>
  <c r="AB82" i="7"/>
  <c r="AJ5" i="7"/>
  <c r="AH171" i="7"/>
  <c r="AF57" i="7"/>
  <c r="AH174" i="7"/>
  <c r="AI144" i="7"/>
  <c r="AI146" i="7" s="1"/>
  <c r="AH87" i="7"/>
  <c r="P81" i="7"/>
  <c r="P94" i="7" s="1"/>
  <c r="AJ6" i="7"/>
  <c r="AC80" i="7"/>
  <c r="AC135" i="7" s="1"/>
  <c r="AE55" i="7"/>
  <c r="AE74" i="7" s="1"/>
  <c r="AE78" i="7" s="1"/>
  <c r="EI139" i="7" l="1"/>
  <c r="EI140" i="7" s="1"/>
  <c r="EJ137" i="7" s="1"/>
  <c r="CM111" i="7"/>
  <c r="AI50" i="7"/>
  <c r="AI46" i="7"/>
  <c r="AJ8" i="7"/>
  <c r="AJ15" i="7" s="1"/>
  <c r="AJ86" i="7"/>
  <c r="AJ76" i="7"/>
  <c r="AJ45" i="7"/>
  <c r="AJ77" i="7"/>
  <c r="AV33" i="7"/>
  <c r="AH51" i="7"/>
  <c r="AI11" i="7"/>
  <c r="AV38" i="7"/>
  <c r="AV28" i="7"/>
  <c r="AV29" i="7"/>
  <c r="AV32" i="7"/>
  <c r="AV36" i="7"/>
  <c r="AV35" i="7"/>
  <c r="AV44" i="7"/>
  <c r="AV40" i="7"/>
  <c r="AI17" i="7"/>
  <c r="AI93" i="7" s="1"/>
  <c r="AI91" i="7"/>
  <c r="AI108" i="7" s="1"/>
  <c r="EG41" i="7"/>
  <c r="AV39" i="7"/>
  <c r="AV27" i="7"/>
  <c r="AV34" i="7"/>
  <c r="AI20" i="7"/>
  <c r="AI23" i="7" s="1"/>
  <c r="AI24" i="7" s="1"/>
  <c r="AJ22" i="7" s="1"/>
  <c r="AI61" i="7"/>
  <c r="AI69" i="7"/>
  <c r="AI62" i="7"/>
  <c r="AI70" i="7"/>
  <c r="AI49" i="7"/>
  <c r="AI51" i="7" s="1"/>
  <c r="AI63" i="7"/>
  <c r="AI75" i="7"/>
  <c r="AI72" i="7"/>
  <c r="AI71" i="7"/>
  <c r="AI73" i="7"/>
  <c r="AD66" i="7"/>
  <c r="AD80" i="7" s="1"/>
  <c r="AD135" i="7" s="1"/>
  <c r="AG64" i="7"/>
  <c r="AH172" i="7"/>
  <c r="AH170" i="7"/>
  <c r="AG169" i="7"/>
  <c r="AH169" i="7"/>
  <c r="AG171" i="7"/>
  <c r="AG170" i="7"/>
  <c r="AJ150" i="7"/>
  <c r="AJ109" i="7" s="1"/>
  <c r="AC82" i="7"/>
  <c r="AI172" i="7"/>
  <c r="AI171" i="7"/>
  <c r="AI170" i="7"/>
  <c r="AK5" i="7"/>
  <c r="AF54" i="7"/>
  <c r="AF52" i="7"/>
  <c r="AF53" i="7"/>
  <c r="AI174" i="7"/>
  <c r="AJ144" i="7"/>
  <c r="AJ146" i="7" s="1"/>
  <c r="Q81" i="7"/>
  <c r="Q94" i="7" s="1"/>
  <c r="P95" i="7"/>
  <c r="P96" i="7" s="1"/>
  <c r="P98" i="7" s="1"/>
  <c r="AI87" i="7"/>
  <c r="AG52" i="7"/>
  <c r="AG57" i="7"/>
  <c r="AG54" i="7"/>
  <c r="AG53" i="7"/>
  <c r="AK6" i="7"/>
  <c r="AE66" i="7"/>
  <c r="EJ139" i="7" l="1"/>
  <c r="EJ140" i="7" s="1"/>
  <c r="AJ17" i="7"/>
  <c r="AJ93" i="7" s="1"/>
  <c r="AJ91" i="7"/>
  <c r="AJ10" i="7"/>
  <c r="AW35" i="7"/>
  <c r="AV72" i="7"/>
  <c r="AW38" i="7"/>
  <c r="AV75" i="7"/>
  <c r="EH41" i="7"/>
  <c r="AJ9" i="7"/>
  <c r="AW33" i="7"/>
  <c r="AV70" i="7"/>
  <c r="AW40" i="7"/>
  <c r="AJ46" i="7"/>
  <c r="AJ50" i="7"/>
  <c r="AW44" i="7"/>
  <c r="AJ11" i="7"/>
  <c r="AW27" i="7"/>
  <c r="AW28" i="7"/>
  <c r="AW39" i="7"/>
  <c r="AJ16" i="7"/>
  <c r="AJ92" i="7" s="1"/>
  <c r="AJ14" i="7"/>
  <c r="AJ90" i="7" s="1"/>
  <c r="AJ108" i="7" s="1"/>
  <c r="AW36" i="7"/>
  <c r="AV73" i="7"/>
  <c r="AW32" i="7"/>
  <c r="AV69" i="7"/>
  <c r="AJ20" i="7"/>
  <c r="AJ23" i="7" s="1"/>
  <c r="AJ24" i="7" s="1"/>
  <c r="AK22" i="7" s="1"/>
  <c r="AJ61" i="7"/>
  <c r="AJ63" i="7"/>
  <c r="AJ69" i="7"/>
  <c r="AJ72" i="7"/>
  <c r="AJ71" i="7"/>
  <c r="AJ70" i="7"/>
  <c r="AJ75" i="7"/>
  <c r="AJ49" i="7"/>
  <c r="AJ51" i="7" s="1"/>
  <c r="AJ62" i="7"/>
  <c r="AJ73" i="7"/>
  <c r="AK8" i="7"/>
  <c r="AK15" i="7" s="1"/>
  <c r="AK86" i="7"/>
  <c r="AK76" i="7"/>
  <c r="AK45" i="7"/>
  <c r="AK77" i="7"/>
  <c r="AW34" i="7"/>
  <c r="AV71" i="7"/>
  <c r="AW29" i="7"/>
  <c r="AK11" i="7"/>
  <c r="AH64" i="7"/>
  <c r="AH56" i="7"/>
  <c r="AH57" i="7" s="1"/>
  <c r="AI169" i="7"/>
  <c r="AK150" i="7"/>
  <c r="AK109" i="7" s="1"/>
  <c r="AD82" i="7"/>
  <c r="AJ172" i="7"/>
  <c r="AJ171" i="7"/>
  <c r="AL5" i="7"/>
  <c r="AJ174" i="7"/>
  <c r="AF55" i="7"/>
  <c r="AF74" i="7" s="1"/>
  <c r="AF78" i="7" s="1"/>
  <c r="AK144" i="7"/>
  <c r="AK146" i="7" s="1"/>
  <c r="R81" i="7"/>
  <c r="Q95" i="7"/>
  <c r="Q96" i="7" s="1"/>
  <c r="Q98" i="7" s="1"/>
  <c r="AJ87" i="7"/>
  <c r="AL6" i="7"/>
  <c r="AG55" i="7"/>
  <c r="AG74" i="7" s="1"/>
  <c r="AG78" i="7" s="1"/>
  <c r="AE80" i="7"/>
  <c r="AE135" i="7" s="1"/>
  <c r="CN111" i="7" l="1"/>
  <c r="AK17" i="7"/>
  <c r="AK93" i="7" s="1"/>
  <c r="AK91" i="7"/>
  <c r="AK20" i="7"/>
  <c r="AK23" i="7" s="1"/>
  <c r="AK24" i="7" s="1"/>
  <c r="AL22" i="7" s="1"/>
  <c r="AK62" i="7"/>
  <c r="AK70" i="7"/>
  <c r="AK49" i="7"/>
  <c r="AK69" i="7"/>
  <c r="AK75" i="7"/>
  <c r="AK61" i="7"/>
  <c r="AK63" i="7"/>
  <c r="AK71" i="7"/>
  <c r="AK73" i="7"/>
  <c r="AK72" i="7"/>
  <c r="AX27" i="7"/>
  <c r="AX36" i="7"/>
  <c r="AW73" i="7"/>
  <c r="AK16" i="7"/>
  <c r="AK92" i="7" s="1"/>
  <c r="AK171" i="7" s="1"/>
  <c r="AX34" i="7"/>
  <c r="AW71" i="7"/>
  <c r="AX39" i="7"/>
  <c r="AX35" i="7"/>
  <c r="AW72" i="7"/>
  <c r="EI41" i="7"/>
  <c r="AX29" i="7"/>
  <c r="AX38" i="7"/>
  <c r="AW75" i="7"/>
  <c r="AK14" i="7"/>
  <c r="AK90" i="7" s="1"/>
  <c r="AK108" i="7" s="1"/>
  <c r="AK9" i="7"/>
  <c r="AX33" i="7"/>
  <c r="AW70" i="7"/>
  <c r="AX32" i="7"/>
  <c r="AW69" i="7"/>
  <c r="AX44" i="7"/>
  <c r="AK10" i="7"/>
  <c r="AK46" i="7"/>
  <c r="AK50" i="7"/>
  <c r="AL8" i="7"/>
  <c r="AL9" i="7" s="1"/>
  <c r="AL86" i="7"/>
  <c r="AL45" i="7"/>
  <c r="AL76" i="7"/>
  <c r="AL77" i="7"/>
  <c r="AX28" i="7"/>
  <c r="AX40" i="7"/>
  <c r="AL14" i="7"/>
  <c r="AL90" i="7" s="1"/>
  <c r="AL15" i="7"/>
  <c r="AL16" i="7"/>
  <c r="AL92" i="7" s="1"/>
  <c r="AI56" i="7"/>
  <c r="AI57" i="7" s="1"/>
  <c r="R94" i="7"/>
  <c r="R95" i="7" s="1"/>
  <c r="R96" i="7" s="1"/>
  <c r="R98" i="7" s="1"/>
  <c r="AJ56" i="7"/>
  <c r="AJ57" i="7" s="1"/>
  <c r="AH54" i="7"/>
  <c r="AH52" i="7"/>
  <c r="AH58" i="7" s="1"/>
  <c r="AH53" i="7"/>
  <c r="AI64" i="7"/>
  <c r="AJ169" i="7"/>
  <c r="AJ170" i="7"/>
  <c r="AL150" i="7"/>
  <c r="AL109" i="7" s="1"/>
  <c r="AE82" i="7"/>
  <c r="AK172" i="7"/>
  <c r="AK170" i="7"/>
  <c r="AM5" i="7"/>
  <c r="AF66" i="7"/>
  <c r="AK174" i="7"/>
  <c r="AL144" i="7"/>
  <c r="AL146" i="7" s="1"/>
  <c r="AI53" i="7"/>
  <c r="AI54" i="7"/>
  <c r="AK87" i="7"/>
  <c r="S81" i="7"/>
  <c r="S94" i="7" s="1"/>
  <c r="AI52" i="7"/>
  <c r="AI58" i="7" s="1"/>
  <c r="AM6" i="7"/>
  <c r="AG66" i="7"/>
  <c r="AL17" i="7" l="1"/>
  <c r="AL93" i="7" s="1"/>
  <c r="AL91" i="7"/>
  <c r="AY44" i="7"/>
  <c r="AK51" i="7"/>
  <c r="AY40" i="7"/>
  <c r="AY29" i="7"/>
  <c r="AL11" i="7"/>
  <c r="AY36" i="7"/>
  <c r="AX73" i="7"/>
  <c r="AL50" i="7"/>
  <c r="AL46" i="7"/>
  <c r="AY34" i="7"/>
  <c r="AX71" i="7"/>
  <c r="AM8" i="7"/>
  <c r="AM9" i="7" s="1"/>
  <c r="AM86" i="7"/>
  <c r="AM77" i="7"/>
  <c r="AM45" i="7"/>
  <c r="AM76" i="7"/>
  <c r="AL23" i="7"/>
  <c r="AL24" i="7" s="1"/>
  <c r="AM22" i="7" s="1"/>
  <c r="AY27" i="7"/>
  <c r="AY33" i="7"/>
  <c r="AX70" i="7"/>
  <c r="AY39" i="7"/>
  <c r="AL108" i="7"/>
  <c r="AY38" i="7"/>
  <c r="AX75" i="7"/>
  <c r="AY28" i="7"/>
  <c r="EJ41" i="7"/>
  <c r="AL20" i="7"/>
  <c r="AL72" i="7"/>
  <c r="AL61" i="7"/>
  <c r="AL73" i="7"/>
  <c r="AL70" i="7"/>
  <c r="AL75" i="7"/>
  <c r="AL71" i="7"/>
  <c r="AL69" i="7"/>
  <c r="AL63" i="7"/>
  <c r="AL62" i="7"/>
  <c r="AL49" i="7"/>
  <c r="AL51" i="7" s="1"/>
  <c r="AL10" i="7"/>
  <c r="AY32" i="7"/>
  <c r="AX69" i="7"/>
  <c r="AY35" i="7"/>
  <c r="AX72" i="7"/>
  <c r="AM14" i="7"/>
  <c r="AM90" i="7" s="1"/>
  <c r="AM16" i="7"/>
  <c r="AM92" i="7" s="1"/>
  <c r="AM10" i="7"/>
  <c r="AJ64" i="7"/>
  <c r="AH55" i="7"/>
  <c r="AH74" i="7" s="1"/>
  <c r="AH78" i="7" s="1"/>
  <c r="AK169" i="7"/>
  <c r="AM150" i="7"/>
  <c r="AM109" i="7" s="1"/>
  <c r="AN5" i="7"/>
  <c r="AL170" i="7"/>
  <c r="AL171" i="7"/>
  <c r="AL172" i="7"/>
  <c r="AF80" i="7"/>
  <c r="AF135" i="7" s="1"/>
  <c r="AL174" i="7"/>
  <c r="AG80" i="7"/>
  <c r="AG135" i="7" s="1"/>
  <c r="AM144" i="7"/>
  <c r="AM146" i="7" s="1"/>
  <c r="AJ53" i="7"/>
  <c r="S95" i="7"/>
  <c r="S96" i="7" s="1"/>
  <c r="S98" i="7" s="1"/>
  <c r="AJ54" i="7"/>
  <c r="AI55" i="7"/>
  <c r="AI74" i="7" s="1"/>
  <c r="AI78" i="7" s="1"/>
  <c r="AJ52" i="7"/>
  <c r="AJ58" i="7" s="1"/>
  <c r="AL87" i="7"/>
  <c r="AN6" i="7"/>
  <c r="CO111" i="7" l="1"/>
  <c r="AM46" i="7"/>
  <c r="AM50" i="7"/>
  <c r="AM108" i="7"/>
  <c r="AN8" i="7"/>
  <c r="AN86" i="7"/>
  <c r="AN77" i="7"/>
  <c r="AN45" i="7"/>
  <c r="AN76" i="7"/>
  <c r="AZ40" i="7"/>
  <c r="AZ39" i="7"/>
  <c r="AZ32" i="7"/>
  <c r="AY69" i="7"/>
  <c r="AZ33" i="7"/>
  <c r="AY70" i="7"/>
  <c r="AZ38" i="7"/>
  <c r="AY75" i="7"/>
  <c r="AZ29" i="7"/>
  <c r="AZ35" i="7"/>
  <c r="AY72" i="7"/>
  <c r="AZ34" i="7"/>
  <c r="AY71" i="7"/>
  <c r="AM11" i="7"/>
  <c r="AZ44" i="7"/>
  <c r="AZ27" i="7"/>
  <c r="AZ36" i="7"/>
  <c r="AY73" i="7"/>
  <c r="AM20" i="7"/>
  <c r="AM23" i="7" s="1"/>
  <c r="AM24" i="7" s="1"/>
  <c r="AN22" i="7" s="1"/>
  <c r="AM69" i="7"/>
  <c r="AM61" i="7"/>
  <c r="AM49" i="7"/>
  <c r="AM71" i="7"/>
  <c r="AM72" i="7"/>
  <c r="AM75" i="7"/>
  <c r="AM70" i="7"/>
  <c r="AM63" i="7"/>
  <c r="AM73" i="7"/>
  <c r="AM62" i="7"/>
  <c r="AZ28" i="7"/>
  <c r="AN11" i="7"/>
  <c r="AN14" i="7"/>
  <c r="AN90" i="7" s="1"/>
  <c r="AN16" i="7"/>
  <c r="AN92" i="7" s="1"/>
  <c r="AN9" i="7"/>
  <c r="AN10" i="7"/>
  <c r="AK64" i="7"/>
  <c r="AH59" i="7"/>
  <c r="AH66" i="7"/>
  <c r="AK56" i="7"/>
  <c r="AK57" i="7" s="1"/>
  <c r="AL169" i="7"/>
  <c r="AN150" i="7"/>
  <c r="AN109" i="7" s="1"/>
  <c r="AF82" i="7"/>
  <c r="AG82" i="7"/>
  <c r="AI59" i="7"/>
  <c r="AL64" i="7"/>
  <c r="AL56" i="7"/>
  <c r="T81" i="7"/>
  <c r="AM170" i="7"/>
  <c r="AM171" i="7"/>
  <c r="AM172" i="7"/>
  <c r="AO5" i="7"/>
  <c r="AM174" i="7"/>
  <c r="AN144" i="7"/>
  <c r="AN146" i="7" s="1"/>
  <c r="AI66" i="7"/>
  <c r="AJ55" i="7"/>
  <c r="AJ74" i="7" s="1"/>
  <c r="AJ78" i="7" s="1"/>
  <c r="U81" i="7"/>
  <c r="U94" i="7" s="1"/>
  <c r="AM87" i="7"/>
  <c r="AO6" i="7"/>
  <c r="CP111" i="7" l="1"/>
  <c r="BA28" i="7"/>
  <c r="BA34" i="7"/>
  <c r="AZ71" i="7"/>
  <c r="BA39" i="7"/>
  <c r="BA36" i="7"/>
  <c r="AZ73" i="7"/>
  <c r="BA40" i="7"/>
  <c r="BA27" i="7"/>
  <c r="BA44" i="7"/>
  <c r="AO8" i="7"/>
  <c r="AO86" i="7"/>
  <c r="AO45" i="7"/>
  <c r="AO76" i="7"/>
  <c r="AO77" i="7"/>
  <c r="BA35" i="7"/>
  <c r="AZ72" i="7"/>
  <c r="BA29" i="7"/>
  <c r="AN46" i="7"/>
  <c r="AN50" i="7"/>
  <c r="BA38" i="7"/>
  <c r="AZ75" i="7"/>
  <c r="AN108" i="7"/>
  <c r="AM51" i="7"/>
  <c r="AM56" i="7" s="1"/>
  <c r="BA33" i="7"/>
  <c r="AZ70" i="7"/>
  <c r="AN20" i="7"/>
  <c r="AN23" i="7" s="1"/>
  <c r="AN24" i="7" s="1"/>
  <c r="AO22" i="7" s="1"/>
  <c r="AN69" i="7"/>
  <c r="AN49" i="7"/>
  <c r="AN51" i="7" s="1"/>
  <c r="AN71" i="7"/>
  <c r="AN73" i="7"/>
  <c r="AN61" i="7"/>
  <c r="AN72" i="7"/>
  <c r="AN75" i="7"/>
  <c r="AN62" i="7"/>
  <c r="AN63" i="7"/>
  <c r="AN70" i="7"/>
  <c r="BA32" i="7"/>
  <c r="AZ69" i="7"/>
  <c r="AO16" i="7"/>
  <c r="AO92" i="7" s="1"/>
  <c r="AO9" i="7"/>
  <c r="AO14" i="7"/>
  <c r="AO90" i="7" s="1"/>
  <c r="AO108" i="7" s="1"/>
  <c r="AO10" i="7"/>
  <c r="AO11" i="7"/>
  <c r="AK52" i="7"/>
  <c r="AK58" i="7" s="1"/>
  <c r="AH80" i="7"/>
  <c r="AH135" i="7" s="1"/>
  <c r="AK54" i="7"/>
  <c r="AK53" i="7"/>
  <c r="T94" i="7"/>
  <c r="T95" i="7" s="1"/>
  <c r="T96" i="7" s="1"/>
  <c r="T98" i="7" s="1"/>
  <c r="AM169" i="7"/>
  <c r="AO150" i="7"/>
  <c r="AO109" i="7" s="1"/>
  <c r="AJ59" i="7"/>
  <c r="AL53" i="7"/>
  <c r="AM64" i="7"/>
  <c r="AN171" i="7"/>
  <c r="AN172" i="7"/>
  <c r="AP5" i="7"/>
  <c r="AL52" i="7"/>
  <c r="AL58" i="7" s="1"/>
  <c r="AL54" i="7"/>
  <c r="AL57" i="7"/>
  <c r="AN174" i="7"/>
  <c r="AI80" i="7"/>
  <c r="AI135" i="7" s="1"/>
  <c r="AJ66" i="7"/>
  <c r="AO144" i="7"/>
  <c r="AO146" i="7" s="1"/>
  <c r="U95" i="7"/>
  <c r="AN87" i="7"/>
  <c r="AP6" i="7"/>
  <c r="CQ111" i="7" l="1"/>
  <c r="AO20" i="7"/>
  <c r="AO23" i="7" s="1"/>
  <c r="AO24" i="7" s="1"/>
  <c r="AP22" i="7" s="1"/>
  <c r="AO49" i="7"/>
  <c r="AO62" i="7"/>
  <c r="AO72" i="7"/>
  <c r="AO63" i="7"/>
  <c r="AO71" i="7"/>
  <c r="AO70" i="7"/>
  <c r="AO61" i="7"/>
  <c r="AO69" i="7"/>
  <c r="AO75" i="7"/>
  <c r="AO73" i="7"/>
  <c r="BB32" i="7"/>
  <c r="BA69" i="7"/>
  <c r="BB27" i="7"/>
  <c r="BB33" i="7"/>
  <c r="BA70" i="7"/>
  <c r="AO50" i="7"/>
  <c r="AO46" i="7"/>
  <c r="BB39" i="7"/>
  <c r="BB29" i="7"/>
  <c r="BB40" i="7"/>
  <c r="BB38" i="7"/>
  <c r="BA75" i="7"/>
  <c r="BB44" i="7"/>
  <c r="BB35" i="7"/>
  <c r="BA72" i="7"/>
  <c r="AP8" i="7"/>
  <c r="AP14" i="7" s="1"/>
  <c r="AP90" i="7" s="1"/>
  <c r="AP108" i="7" s="1"/>
  <c r="AP86" i="7"/>
  <c r="AP45" i="7"/>
  <c r="AP77" i="7"/>
  <c r="AP76" i="7"/>
  <c r="BB36" i="7"/>
  <c r="BA73" i="7"/>
  <c r="BB34" i="7"/>
  <c r="BA71" i="7"/>
  <c r="BB28" i="7"/>
  <c r="AP16" i="7"/>
  <c r="AP92" i="7" s="1"/>
  <c r="AP9" i="7"/>
  <c r="V81" i="7"/>
  <c r="V94" i="7" s="1"/>
  <c r="V95" i="7" s="1"/>
  <c r="V96" i="7" s="1"/>
  <c r="V98" i="7" s="1"/>
  <c r="AK55" i="7"/>
  <c r="AH82" i="7"/>
  <c r="AN169" i="7"/>
  <c r="AN170" i="7"/>
  <c r="AP150" i="7"/>
  <c r="AP109" i="7" s="1"/>
  <c r="AI82" i="7"/>
  <c r="AN64" i="7"/>
  <c r="AN56" i="7"/>
  <c r="AQ5" i="7"/>
  <c r="AO171" i="7"/>
  <c r="AO172" i="7"/>
  <c r="AO170" i="7"/>
  <c r="AL55" i="7"/>
  <c r="AL74" i="7" s="1"/>
  <c r="AL78" i="7" s="1"/>
  <c r="U96" i="7"/>
  <c r="U98" i="7" s="1"/>
  <c r="AO174" i="7"/>
  <c r="W81" i="7"/>
  <c r="AJ80" i="7"/>
  <c r="AJ135" i="7" s="1"/>
  <c r="AP144" i="7"/>
  <c r="AP146" i="7" s="1"/>
  <c r="AO87" i="7"/>
  <c r="AQ6" i="7"/>
  <c r="AM52" i="7"/>
  <c r="AM58" i="7" s="1"/>
  <c r="AM57" i="7"/>
  <c r="AM53" i="7"/>
  <c r="AM54" i="7"/>
  <c r="CR111" i="7" l="1"/>
  <c r="BC32" i="7"/>
  <c r="BB69" i="7"/>
  <c r="BC44" i="7"/>
  <c r="BC34" i="7"/>
  <c r="BB71" i="7"/>
  <c r="AP23" i="7"/>
  <c r="AP24" i="7" s="1"/>
  <c r="AQ22" i="7" s="1"/>
  <c r="BC33" i="7"/>
  <c r="BB70" i="7"/>
  <c r="BC29" i="7"/>
  <c r="BC28" i="7"/>
  <c r="BC35" i="7"/>
  <c r="BB72" i="7"/>
  <c r="BC36" i="7"/>
  <c r="BB73" i="7"/>
  <c r="AP10" i="7"/>
  <c r="BC27" i="7"/>
  <c r="AO51" i="7"/>
  <c r="AO56" i="7" s="1"/>
  <c r="AP50" i="7"/>
  <c r="AP46" i="7"/>
  <c r="BC39" i="7"/>
  <c r="AK59" i="7"/>
  <c r="AK74" i="7"/>
  <c r="AK78" i="7" s="1"/>
  <c r="AP11" i="7"/>
  <c r="BC38" i="7"/>
  <c r="BB75" i="7"/>
  <c r="AQ8" i="7"/>
  <c r="AQ16" i="7" s="1"/>
  <c r="AQ92" i="7" s="1"/>
  <c r="AQ86" i="7"/>
  <c r="AQ77" i="7"/>
  <c r="AQ76" i="7"/>
  <c r="AQ45" i="7"/>
  <c r="BC40" i="7"/>
  <c r="AP20" i="7"/>
  <c r="AP49" i="7"/>
  <c r="AP51" i="7" s="1"/>
  <c r="AP62" i="7"/>
  <c r="AP73" i="7"/>
  <c r="AP71" i="7"/>
  <c r="AP69" i="7"/>
  <c r="AP75" i="7"/>
  <c r="AP63" i="7"/>
  <c r="AP70" i="7"/>
  <c r="AP61" i="7"/>
  <c r="AP72" i="7"/>
  <c r="AQ11" i="7"/>
  <c r="AK66" i="7"/>
  <c r="AK80" i="7" s="1"/>
  <c r="AK135" i="7" s="1"/>
  <c r="W94" i="7"/>
  <c r="W95" i="7" s="1"/>
  <c r="W96" i="7" s="1"/>
  <c r="W98" i="7" s="1"/>
  <c r="AO169" i="7"/>
  <c r="AQ150" i="7"/>
  <c r="AQ109" i="7" s="1"/>
  <c r="AJ82" i="7"/>
  <c r="AL59" i="7"/>
  <c r="AO64" i="7"/>
  <c r="AP171" i="7"/>
  <c r="AP172" i="7"/>
  <c r="AP170" i="7"/>
  <c r="AR5" i="7"/>
  <c r="AL66" i="7"/>
  <c r="AP174" i="7"/>
  <c r="X81" i="7"/>
  <c r="AQ144" i="7"/>
  <c r="AQ146" i="7" s="1"/>
  <c r="AP87" i="7"/>
  <c r="AR6" i="7"/>
  <c r="AN57" i="7"/>
  <c r="AN52" i="7"/>
  <c r="AN58" i="7" s="1"/>
  <c r="AN53" i="7"/>
  <c r="AN54" i="7"/>
  <c r="AM55" i="7"/>
  <c r="AM74" i="7" s="1"/>
  <c r="AM78" i="7" s="1"/>
  <c r="BD33" i="7" l="1"/>
  <c r="BC70" i="7"/>
  <c r="AQ10" i="7"/>
  <c r="AQ14" i="7"/>
  <c r="AQ90" i="7" s="1"/>
  <c r="AQ108" i="7" s="1"/>
  <c r="AQ9" i="7"/>
  <c r="BD34" i="7"/>
  <c r="BC71" i="7"/>
  <c r="BD35" i="7"/>
  <c r="BC72" i="7"/>
  <c r="BC49" i="7"/>
  <c r="BD44" i="7"/>
  <c r="AR8" i="7"/>
  <c r="AR16" i="7" s="1"/>
  <c r="AR92" i="7" s="1"/>
  <c r="AR86" i="7"/>
  <c r="AR77" i="7"/>
  <c r="AR76" i="7"/>
  <c r="AR45" i="7"/>
  <c r="AQ20" i="7"/>
  <c r="AQ23" i="7" s="1"/>
  <c r="AQ24" i="7" s="1"/>
  <c r="AR22" i="7" s="1"/>
  <c r="AQ63" i="7"/>
  <c r="AQ75" i="7"/>
  <c r="AQ69" i="7"/>
  <c r="AQ71" i="7"/>
  <c r="AQ62" i="7"/>
  <c r="AQ73" i="7"/>
  <c r="AQ72" i="7"/>
  <c r="AQ61" i="7"/>
  <c r="AQ49" i="7"/>
  <c r="AQ70" i="7"/>
  <c r="BD36" i="7"/>
  <c r="BC73" i="7"/>
  <c r="BD40" i="7"/>
  <c r="BD29" i="7"/>
  <c r="BC63" i="7"/>
  <c r="BD27" i="7"/>
  <c r="BC61" i="7"/>
  <c r="BD38" i="7"/>
  <c r="BC75" i="7"/>
  <c r="BD39" i="7"/>
  <c r="AQ50" i="7"/>
  <c r="AQ46" i="7"/>
  <c r="BD28" i="7"/>
  <c r="BC62" i="7"/>
  <c r="BD32" i="7"/>
  <c r="BC69" i="7"/>
  <c r="AR14" i="7"/>
  <c r="AR90" i="7" s="1"/>
  <c r="AR9" i="7"/>
  <c r="AR10" i="7"/>
  <c r="AR11" i="7"/>
  <c r="X94" i="7"/>
  <c r="X95" i="7" s="1"/>
  <c r="X96" i="7" s="1"/>
  <c r="X98" i="7" s="1"/>
  <c r="AP169" i="7"/>
  <c r="AR150" i="7"/>
  <c r="AR109" i="7" s="1"/>
  <c r="AK82" i="7"/>
  <c r="AM59" i="7"/>
  <c r="AO53" i="7"/>
  <c r="AP64" i="7"/>
  <c r="AP56" i="7"/>
  <c r="AQ171" i="7"/>
  <c r="AQ170" i="7"/>
  <c r="AS5" i="7"/>
  <c r="AL80" i="7"/>
  <c r="AL135" i="7" s="1"/>
  <c r="AO54" i="7"/>
  <c r="AQ174" i="7"/>
  <c r="AO52" i="7"/>
  <c r="Y81" i="7"/>
  <c r="AQ87" i="7"/>
  <c r="AR144" i="7"/>
  <c r="AR146" i="7" s="1"/>
  <c r="AO57" i="7"/>
  <c r="AN55" i="7"/>
  <c r="AN74" i="7" s="1"/>
  <c r="AN78" i="7" s="1"/>
  <c r="AM66" i="7"/>
  <c r="AS6" i="7"/>
  <c r="CS111" i="7" l="1"/>
  <c r="BE29" i="7"/>
  <c r="BD63" i="7"/>
  <c r="BE35" i="7"/>
  <c r="BD72" i="7"/>
  <c r="BE36" i="7"/>
  <c r="BD73" i="7"/>
  <c r="AQ51" i="7"/>
  <c r="AQ56" i="7" s="1"/>
  <c r="BE38" i="7"/>
  <c r="BD75" i="7"/>
  <c r="BE40" i="7"/>
  <c r="AR20" i="7"/>
  <c r="AR23" i="7" s="1"/>
  <c r="AR24" i="7" s="1"/>
  <c r="AS22" i="7" s="1"/>
  <c r="AR69" i="7"/>
  <c r="AR61" i="7"/>
  <c r="AR72" i="7"/>
  <c r="AR73" i="7"/>
  <c r="AR71" i="7"/>
  <c r="AR70" i="7"/>
  <c r="AR62" i="7"/>
  <c r="AR75" i="7"/>
  <c r="AR63" i="7"/>
  <c r="AR49" i="7"/>
  <c r="AR51" i="7" s="1"/>
  <c r="BE34" i="7"/>
  <c r="BD71" i="7"/>
  <c r="BE28" i="7"/>
  <c r="BD62" i="7"/>
  <c r="AS8" i="7"/>
  <c r="AS14" i="7" s="1"/>
  <c r="AS90" i="7" s="1"/>
  <c r="AS86" i="7"/>
  <c r="AS77" i="7"/>
  <c r="AS45" i="7"/>
  <c r="AS76" i="7"/>
  <c r="AR50" i="7"/>
  <c r="AR46" i="7"/>
  <c r="BE39" i="7"/>
  <c r="AR108" i="7"/>
  <c r="BE32" i="7"/>
  <c r="BD69" i="7"/>
  <c r="BE27" i="7"/>
  <c r="BD61" i="7"/>
  <c r="BD49" i="7"/>
  <c r="BE44" i="7"/>
  <c r="BE33" i="7"/>
  <c r="BD70" i="7"/>
  <c r="AS10" i="7"/>
  <c r="AS11" i="7"/>
  <c r="Y94" i="7"/>
  <c r="Y95" i="7" s="1"/>
  <c r="Y96" i="7" s="1"/>
  <c r="Y98" i="7" s="1"/>
  <c r="AO58" i="7"/>
  <c r="AQ169" i="7"/>
  <c r="AS150" i="7"/>
  <c r="AS109" i="7" s="1"/>
  <c r="AL82" i="7"/>
  <c r="AQ172" i="7"/>
  <c r="AN59" i="7"/>
  <c r="AQ64" i="7"/>
  <c r="Z81" i="7"/>
  <c r="AR170" i="7"/>
  <c r="AR171" i="7"/>
  <c r="AT5" i="7"/>
  <c r="AR174" i="7"/>
  <c r="AO55" i="7"/>
  <c r="AO74" i="7" s="1"/>
  <c r="AO78" i="7" s="1"/>
  <c r="AM80" i="7"/>
  <c r="AM135" i="7" s="1"/>
  <c r="AN66" i="7"/>
  <c r="AS144" i="7"/>
  <c r="AS146" i="7" s="1"/>
  <c r="AR87" i="7"/>
  <c r="AT6" i="7"/>
  <c r="AP52" i="7"/>
  <c r="AP58" i="7" s="1"/>
  <c r="AP57" i="7"/>
  <c r="AP54" i="7"/>
  <c r="AP53" i="7"/>
  <c r="AS20" i="7" l="1"/>
  <c r="AS72" i="7"/>
  <c r="AS70" i="7"/>
  <c r="AS61" i="7"/>
  <c r="AS49" i="7"/>
  <c r="AS75" i="7"/>
  <c r="AS62" i="7"/>
  <c r="AS71" i="7"/>
  <c r="AS73" i="7"/>
  <c r="AS63" i="7"/>
  <c r="AS69" i="7"/>
  <c r="AS108" i="7"/>
  <c r="BF40" i="7"/>
  <c r="BE49" i="7"/>
  <c r="BF44" i="7"/>
  <c r="AS50" i="7"/>
  <c r="AS46" i="7"/>
  <c r="AT8" i="7"/>
  <c r="AT10" i="7" s="1"/>
  <c r="AT86" i="7"/>
  <c r="AT77" i="7"/>
  <c r="AT45" i="7"/>
  <c r="AT76" i="7"/>
  <c r="BF27" i="7"/>
  <c r="BE61" i="7"/>
  <c r="AS16" i="7"/>
  <c r="AS92" i="7" s="1"/>
  <c r="BF36" i="7"/>
  <c r="BE73" i="7"/>
  <c r="AS9" i="7"/>
  <c r="BF28" i="7"/>
  <c r="BE62" i="7"/>
  <c r="BF38" i="7"/>
  <c r="BE75" i="7"/>
  <c r="AS23" i="7"/>
  <c r="AS24" i="7" s="1"/>
  <c r="AT22" i="7" s="1"/>
  <c r="BF32" i="7"/>
  <c r="BE69" i="7"/>
  <c r="BF35" i="7"/>
  <c r="BE72" i="7"/>
  <c r="BF33" i="7"/>
  <c r="BE70" i="7"/>
  <c r="BF39" i="7"/>
  <c r="BF34" i="7"/>
  <c r="BE71" i="7"/>
  <c r="BF29" i="7"/>
  <c r="BE63" i="7"/>
  <c r="Z94" i="7"/>
  <c r="Z95" i="7" s="1"/>
  <c r="Z96" i="7" s="1"/>
  <c r="Z98" i="7" s="1"/>
  <c r="AR169" i="7"/>
  <c r="AR172" i="7"/>
  <c r="AT150" i="7"/>
  <c r="AT109" i="7" s="1"/>
  <c r="AM82" i="7"/>
  <c r="AO59" i="7"/>
  <c r="AQ54" i="7"/>
  <c r="AR64" i="7"/>
  <c r="AR56" i="7"/>
  <c r="AU5" i="7"/>
  <c r="AO66" i="7"/>
  <c r="AS174" i="7"/>
  <c r="AQ52" i="7"/>
  <c r="AQ58" i="7" s="1"/>
  <c r="AN80" i="7"/>
  <c r="AN135" i="7" s="1"/>
  <c r="AQ57" i="7"/>
  <c r="AQ53" i="7"/>
  <c r="AT144" i="7"/>
  <c r="AT146" i="7" s="1"/>
  <c r="AA81" i="7"/>
  <c r="AA94" i="7" s="1"/>
  <c r="AP55" i="7"/>
  <c r="AP74" i="7" s="1"/>
  <c r="AP78" i="7" s="1"/>
  <c r="AS87" i="7"/>
  <c r="AU6" i="7"/>
  <c r="CT111" i="7" l="1"/>
  <c r="BG34" i="7"/>
  <c r="BF71" i="7"/>
  <c r="BG28" i="7"/>
  <c r="BF62" i="7"/>
  <c r="AT11" i="7"/>
  <c r="AU8" i="7"/>
  <c r="AU16" i="7" s="1"/>
  <c r="AU92" i="7" s="1"/>
  <c r="AU86" i="7"/>
  <c r="AU174" i="7" s="1"/>
  <c r="AU45" i="7"/>
  <c r="AU77" i="7"/>
  <c r="AU76" i="7"/>
  <c r="BG35" i="7"/>
  <c r="BF72" i="7"/>
  <c r="BG36" i="7"/>
  <c r="BF73" i="7"/>
  <c r="BF49" i="7"/>
  <c r="BG44" i="7"/>
  <c r="AS51" i="7"/>
  <c r="AT9" i="7"/>
  <c r="BG39" i="7"/>
  <c r="BG33" i="7"/>
  <c r="BF70" i="7"/>
  <c r="AT16" i="7"/>
  <c r="AT92" i="7" s="1"/>
  <c r="AT171" i="7" s="1"/>
  <c r="AT14" i="7"/>
  <c r="AT90" i="7" s="1"/>
  <c r="AT108" i="7" s="1"/>
  <c r="BG38" i="7"/>
  <c r="BF75" i="7"/>
  <c r="AT50" i="7"/>
  <c r="AT51" i="7" s="1"/>
  <c r="AT46" i="7"/>
  <c r="BG32" i="7"/>
  <c r="BF69" i="7"/>
  <c r="AT20" i="7"/>
  <c r="AT23" i="7" s="1"/>
  <c r="AT24" i="7" s="1"/>
  <c r="AU22" i="7" s="1"/>
  <c r="AT69" i="7"/>
  <c r="AT49" i="7"/>
  <c r="AT71" i="7"/>
  <c r="AT61" i="7"/>
  <c r="AT73" i="7"/>
  <c r="AT72" i="7"/>
  <c r="AT63" i="7"/>
  <c r="AT62" i="7"/>
  <c r="AT75" i="7"/>
  <c r="AT70" i="7"/>
  <c r="BG29" i="7"/>
  <c r="BF63" i="7"/>
  <c r="BG27" i="7"/>
  <c r="BF61" i="7"/>
  <c r="BG40" i="7"/>
  <c r="AU9" i="7"/>
  <c r="AU10" i="7"/>
  <c r="AU11" i="7"/>
  <c r="AS172" i="7"/>
  <c r="AU150" i="7"/>
  <c r="AU109" i="7" s="1"/>
  <c r="AN82" i="7"/>
  <c r="AP59" i="7"/>
  <c r="AV5" i="7"/>
  <c r="AO80" i="7"/>
  <c r="AO135" i="7" s="1"/>
  <c r="AT174" i="7"/>
  <c r="AQ55" i="7"/>
  <c r="AQ74" i="7" s="1"/>
  <c r="AQ78" i="7" s="1"/>
  <c r="AB81" i="7"/>
  <c r="AT87" i="7"/>
  <c r="AU144" i="7"/>
  <c r="AU146" i="7" s="1"/>
  <c r="AP66" i="7"/>
  <c r="AA95" i="7"/>
  <c r="AV6" i="7"/>
  <c r="AR52" i="7"/>
  <c r="AR58" i="7" s="1"/>
  <c r="AR57" i="7"/>
  <c r="AR54" i="7"/>
  <c r="AR53" i="7"/>
  <c r="BH35" i="7" l="1"/>
  <c r="BG72" i="7"/>
  <c r="AU14" i="7"/>
  <c r="AU90" i="7" s="1"/>
  <c r="AU108" i="7" s="1"/>
  <c r="BH40" i="7"/>
  <c r="AU20" i="7"/>
  <c r="AU23" i="7" s="1"/>
  <c r="AU75" i="7"/>
  <c r="AU72" i="7"/>
  <c r="AU69" i="7"/>
  <c r="AU49" i="7"/>
  <c r="AU62" i="7"/>
  <c r="AU61" i="7"/>
  <c r="AU63" i="7"/>
  <c r="AU71" i="7"/>
  <c r="AU70" i="7"/>
  <c r="AU73" i="7"/>
  <c r="BH29" i="7"/>
  <c r="BG63" i="7"/>
  <c r="BH39" i="7"/>
  <c r="BH32" i="7"/>
  <c r="BG69" i="7"/>
  <c r="AU50" i="7"/>
  <c r="AU46" i="7"/>
  <c r="BG49" i="7"/>
  <c r="BH44" i="7"/>
  <c r="BH38" i="7"/>
  <c r="BG75" i="7"/>
  <c r="BH28" i="7"/>
  <c r="BG62" i="7"/>
  <c r="AV8" i="7"/>
  <c r="AV16" i="7" s="1"/>
  <c r="AV92" i="7" s="1"/>
  <c r="AV86" i="7"/>
  <c r="AV45" i="7"/>
  <c r="AV77" i="7"/>
  <c r="AV76" i="7"/>
  <c r="BH36" i="7"/>
  <c r="BG73" i="7"/>
  <c r="BH27" i="7"/>
  <c r="BG61" i="7"/>
  <c r="BH33" i="7"/>
  <c r="BG70" i="7"/>
  <c r="BH34" i="7"/>
  <c r="BG71" i="7"/>
  <c r="AV9" i="7"/>
  <c r="AT170" i="7"/>
  <c r="AB94" i="7"/>
  <c r="AB95" i="7" s="1"/>
  <c r="AB96" i="7" s="1"/>
  <c r="AB98" i="7" s="1"/>
  <c r="AS56" i="7"/>
  <c r="AS57" i="7" s="1"/>
  <c r="AS64" i="7"/>
  <c r="AT172" i="7"/>
  <c r="AS169" i="7"/>
  <c r="AT169" i="7"/>
  <c r="AS171" i="7"/>
  <c r="AS170" i="7"/>
  <c r="AV150" i="7"/>
  <c r="AV109" i="7" s="1"/>
  <c r="AO82" i="7"/>
  <c r="AQ59" i="7"/>
  <c r="AC81" i="7"/>
  <c r="AQ66" i="7"/>
  <c r="AW5" i="7"/>
  <c r="AU171" i="7"/>
  <c r="AA96" i="7"/>
  <c r="AA98" i="7" s="1"/>
  <c r="AS52" i="7"/>
  <c r="AS58" i="7" s="1"/>
  <c r="AP80" i="7"/>
  <c r="AP135" i="7" s="1"/>
  <c r="AV144" i="7"/>
  <c r="AV146" i="7" s="1"/>
  <c r="AU87" i="7"/>
  <c r="AR55" i="7"/>
  <c r="AR74" i="7" s="1"/>
  <c r="AR78" i="7" s="1"/>
  <c r="AW6" i="7"/>
  <c r="CU111" i="7" l="1"/>
  <c r="AV46" i="7"/>
  <c r="BI34" i="7"/>
  <c r="BH71" i="7"/>
  <c r="BI33" i="7"/>
  <c r="BH70" i="7"/>
  <c r="BI27" i="7"/>
  <c r="BH61" i="7"/>
  <c r="BI29" i="7"/>
  <c r="BH63" i="7"/>
  <c r="BI32" i="7"/>
  <c r="BH69" i="7"/>
  <c r="AU51" i="7"/>
  <c r="BI28" i="7"/>
  <c r="BH62" i="7"/>
  <c r="AW8" i="7"/>
  <c r="AW86" i="7"/>
  <c r="AW77" i="7"/>
  <c r="AW45" i="7"/>
  <c r="AW76" i="7"/>
  <c r="BI39" i="7"/>
  <c r="BI38" i="7"/>
  <c r="BH75" i="7"/>
  <c r="BH49" i="7"/>
  <c r="BI44" i="7"/>
  <c r="AV11" i="7"/>
  <c r="BI36" i="7"/>
  <c r="BH73" i="7"/>
  <c r="BI40" i="7"/>
  <c r="AV10" i="7"/>
  <c r="AV14" i="7"/>
  <c r="AV90" i="7" s="1"/>
  <c r="AV108" i="7" s="1"/>
  <c r="BI35" i="7"/>
  <c r="BH72" i="7"/>
  <c r="AW9" i="7"/>
  <c r="AW16" i="7"/>
  <c r="AW92" i="7" s="1"/>
  <c r="AW14" i="7"/>
  <c r="AW90" i="7" s="1"/>
  <c r="AW108" i="7" s="1"/>
  <c r="AW10" i="7"/>
  <c r="AW11" i="7"/>
  <c r="AS54" i="7"/>
  <c r="AC94" i="7"/>
  <c r="AC95" i="7" s="1"/>
  <c r="AC96" i="7" s="1"/>
  <c r="AC98" i="7" s="1"/>
  <c r="AS53" i="7"/>
  <c r="AS55" i="7" s="1"/>
  <c r="AS74" i="7" s="1"/>
  <c r="AS78" i="7" s="1"/>
  <c r="AT56" i="7"/>
  <c r="AT57" i="7" s="1"/>
  <c r="AU56" i="7"/>
  <c r="AT64" i="7"/>
  <c r="AU169" i="7"/>
  <c r="AU172" i="7"/>
  <c r="AW150" i="7"/>
  <c r="AW109" i="7" s="1"/>
  <c r="AP82" i="7"/>
  <c r="AR59" i="7"/>
  <c r="AQ80" i="7"/>
  <c r="AQ135" i="7" s="1"/>
  <c r="AV171" i="7"/>
  <c r="AX5" i="7"/>
  <c r="AV174" i="7"/>
  <c r="AD81" i="7"/>
  <c r="AW144" i="7"/>
  <c r="AW146" i="7" s="1"/>
  <c r="AX6" i="7"/>
  <c r="AR66" i="7"/>
  <c r="AV87" i="7"/>
  <c r="BJ38" i="7" l="1"/>
  <c r="BI75" i="7"/>
  <c r="BJ39" i="7"/>
  <c r="BJ27" i="7"/>
  <c r="BI61" i="7"/>
  <c r="BJ36" i="7"/>
  <c r="BI73" i="7"/>
  <c r="BJ32" i="7"/>
  <c r="BI69" i="7"/>
  <c r="AX8" i="7"/>
  <c r="AX14" i="7" s="1"/>
  <c r="AX90" i="7" s="1"/>
  <c r="AX108" i="7" s="1"/>
  <c r="AX86" i="7"/>
  <c r="AX45" i="7"/>
  <c r="AX76" i="7"/>
  <c r="AX77" i="7"/>
  <c r="BJ29" i="7"/>
  <c r="BI63" i="7"/>
  <c r="BJ40" i="7"/>
  <c r="AW46" i="7"/>
  <c r="BJ33" i="7"/>
  <c r="BI70" i="7"/>
  <c r="BJ34" i="7"/>
  <c r="BI71" i="7"/>
  <c r="BJ35" i="7"/>
  <c r="BI72" i="7"/>
  <c r="BI49" i="7"/>
  <c r="BJ44" i="7"/>
  <c r="BJ28" i="7"/>
  <c r="BI62" i="7"/>
  <c r="AX16" i="7"/>
  <c r="AX92" i="7" s="1"/>
  <c r="AV170" i="7"/>
  <c r="AT52" i="7"/>
  <c r="AT58" i="7" s="1"/>
  <c r="AT53" i="7"/>
  <c r="AD94" i="7"/>
  <c r="AD95" i="7" s="1"/>
  <c r="AD96" i="7" s="1"/>
  <c r="AD98" i="7" s="1"/>
  <c r="AU64" i="7"/>
  <c r="AT54" i="7"/>
  <c r="AV172" i="7"/>
  <c r="AV169" i="7"/>
  <c r="AU170" i="7"/>
  <c r="AX150" i="7"/>
  <c r="AX109" i="7" s="1"/>
  <c r="AQ82" i="7"/>
  <c r="AS59" i="7"/>
  <c r="AE81" i="7"/>
  <c r="AS66" i="7"/>
  <c r="AY5" i="7"/>
  <c r="AW170" i="7"/>
  <c r="AW172" i="7"/>
  <c r="AW171" i="7"/>
  <c r="AW174" i="7"/>
  <c r="AX144" i="7"/>
  <c r="AX146" i="7" s="1"/>
  <c r="AR80" i="7"/>
  <c r="AR135" i="7" s="1"/>
  <c r="AW87" i="7"/>
  <c r="AY6" i="7"/>
  <c r="AU54" i="7"/>
  <c r="AU53" i="7"/>
  <c r="AU52" i="7"/>
  <c r="AU58" i="7" s="1"/>
  <c r="AU57" i="7"/>
  <c r="CV111" i="7" l="1"/>
  <c r="BK28" i="7"/>
  <c r="BJ62" i="7"/>
  <c r="BJ49" i="7"/>
  <c r="BK44" i="7"/>
  <c r="BK40" i="7"/>
  <c r="BK27" i="7"/>
  <c r="BJ61" i="7"/>
  <c r="AX11" i="7"/>
  <c r="BK29" i="7"/>
  <c r="BJ63" i="7"/>
  <c r="BK33" i="7"/>
  <c r="BJ70" i="7"/>
  <c r="BK36" i="7"/>
  <c r="BJ73" i="7"/>
  <c r="AX10" i="7"/>
  <c r="BK32" i="7"/>
  <c r="BJ69" i="7"/>
  <c r="AY8" i="7"/>
  <c r="AY14" i="7" s="1"/>
  <c r="AY90" i="7" s="1"/>
  <c r="AY86" i="7"/>
  <c r="AY76" i="7"/>
  <c r="AY45" i="7"/>
  <c r="AY77" i="7"/>
  <c r="BK35" i="7"/>
  <c r="BJ72" i="7"/>
  <c r="BK39" i="7"/>
  <c r="AX9" i="7"/>
  <c r="BK34" i="7"/>
  <c r="BJ71" i="7"/>
  <c r="AX46" i="7"/>
  <c r="BK38" i="7"/>
  <c r="BJ75" i="7"/>
  <c r="AT55" i="7"/>
  <c r="AE94" i="7"/>
  <c r="AE95" i="7" s="1"/>
  <c r="AE96" i="7" s="1"/>
  <c r="AE98" i="7" s="1"/>
  <c r="AW169" i="7"/>
  <c r="AY150" i="7"/>
  <c r="AY109" i="7" s="1"/>
  <c r="AR82" i="7"/>
  <c r="AS80" i="7"/>
  <c r="AS135" i="7" s="1"/>
  <c r="AX170" i="7"/>
  <c r="AX172" i="7"/>
  <c r="AZ5" i="7"/>
  <c r="AX174" i="7"/>
  <c r="AY144" i="7"/>
  <c r="AY146" i="7" s="1"/>
  <c r="AU55" i="7"/>
  <c r="AU74" i="7" s="1"/>
  <c r="AU78" i="7" s="1"/>
  <c r="AF81" i="7"/>
  <c r="AF94" i="7" s="1"/>
  <c r="AZ6" i="7"/>
  <c r="AX87" i="7"/>
  <c r="BL27" i="7" l="1"/>
  <c r="BK61" i="7"/>
  <c r="AZ8" i="7"/>
  <c r="AZ86" i="7"/>
  <c r="AZ45" i="7"/>
  <c r="AZ76" i="7"/>
  <c r="AZ77" i="7"/>
  <c r="AT66" i="7"/>
  <c r="AT74" i="7"/>
  <c r="AT78" i="7" s="1"/>
  <c r="AY11" i="7"/>
  <c r="BL39" i="7"/>
  <c r="BL36" i="7"/>
  <c r="BK73" i="7"/>
  <c r="AY16" i="7"/>
  <c r="AY92" i="7" s="1"/>
  <c r="AY108" i="7" s="1"/>
  <c r="AY9" i="7"/>
  <c r="BL35" i="7"/>
  <c r="BK72" i="7"/>
  <c r="BK49" i="7"/>
  <c r="BL44" i="7"/>
  <c r="BL32" i="7"/>
  <c r="BK69" i="7"/>
  <c r="BL40" i="7"/>
  <c r="AY10" i="7"/>
  <c r="BL34" i="7"/>
  <c r="BK71" i="7"/>
  <c r="BL33" i="7"/>
  <c r="BK70" i="7"/>
  <c r="AT59" i="7"/>
  <c r="AY46" i="7"/>
  <c r="BL38" i="7"/>
  <c r="BK75" i="7"/>
  <c r="BL29" i="7"/>
  <c r="BK63" i="7"/>
  <c r="BL28" i="7"/>
  <c r="BK62" i="7"/>
  <c r="AZ14" i="7"/>
  <c r="AZ90" i="7" s="1"/>
  <c r="AZ9" i="7"/>
  <c r="AZ16" i="7"/>
  <c r="AZ92" i="7" s="1"/>
  <c r="AZ10" i="7"/>
  <c r="AZ11" i="7"/>
  <c r="AX169" i="7"/>
  <c r="AZ150" i="7"/>
  <c r="AZ109" i="7" s="1"/>
  <c r="AS82" i="7"/>
  <c r="AU59" i="7"/>
  <c r="AG81" i="7"/>
  <c r="AY172" i="7"/>
  <c r="AY170" i="7"/>
  <c r="BA5" i="7"/>
  <c r="AY174" i="7"/>
  <c r="AT80" i="7"/>
  <c r="AV74" i="7"/>
  <c r="AV78" i="7" s="1"/>
  <c r="AU66" i="7"/>
  <c r="AZ144" i="7"/>
  <c r="AZ146" i="7" s="1"/>
  <c r="AF95" i="7"/>
  <c r="AF96" i="7" s="1"/>
  <c r="AF98" i="7" s="1"/>
  <c r="AY87" i="7"/>
  <c r="BA6" i="7"/>
  <c r="CW111" i="7" l="1"/>
  <c r="BM32" i="7"/>
  <c r="BL69" i="7"/>
  <c r="BM33" i="7"/>
  <c r="BL70" i="7"/>
  <c r="BM35" i="7"/>
  <c r="BL72" i="7"/>
  <c r="AZ46" i="7"/>
  <c r="BM28" i="7"/>
  <c r="BL62" i="7"/>
  <c r="BM34" i="7"/>
  <c r="BL71" i="7"/>
  <c r="BM39" i="7"/>
  <c r="BA8" i="7"/>
  <c r="BA86" i="7"/>
  <c r="BA77" i="7"/>
  <c r="BA45" i="7"/>
  <c r="BA76" i="7"/>
  <c r="BL49" i="7"/>
  <c r="BM44" i="7"/>
  <c r="AZ108" i="7"/>
  <c r="BM29" i="7"/>
  <c r="BL63" i="7"/>
  <c r="BM36" i="7"/>
  <c r="BL73" i="7"/>
  <c r="BM27" i="7"/>
  <c r="BL61" i="7"/>
  <c r="BM38" i="7"/>
  <c r="BL75" i="7"/>
  <c r="BM40" i="7"/>
  <c r="BA16" i="7"/>
  <c r="BA92" i="7" s="1"/>
  <c r="BA9" i="7"/>
  <c r="BA14" i="7"/>
  <c r="BA90" i="7" s="1"/>
  <c r="BA108" i="7" s="1"/>
  <c r="BA10" i="7"/>
  <c r="BA11" i="7"/>
  <c r="AG94" i="7"/>
  <c r="AG95" i="7" s="1"/>
  <c r="AG96" i="7" s="1"/>
  <c r="AG98" i="7" s="1"/>
  <c r="AY171" i="7"/>
  <c r="AY169" i="7"/>
  <c r="AX171" i="7"/>
  <c r="BA150" i="7"/>
  <c r="BA109" i="7" s="1"/>
  <c r="AT82" i="7"/>
  <c r="AZ171" i="7"/>
  <c r="AZ170" i="7"/>
  <c r="AZ172" i="7"/>
  <c r="BB5" i="7"/>
  <c r="AV66" i="7"/>
  <c r="AZ174" i="7"/>
  <c r="AH81" i="7"/>
  <c r="AH94" i="7" s="1"/>
  <c r="AU80" i="7"/>
  <c r="BA144" i="7"/>
  <c r="BA146" i="7" s="1"/>
  <c r="BB6" i="7"/>
  <c r="AW74" i="7"/>
  <c r="AW78" i="7" s="1"/>
  <c r="AZ87" i="7"/>
  <c r="CX111" i="7" l="1"/>
  <c r="BN40" i="7"/>
  <c r="BN28" i="7"/>
  <c r="BM62" i="7"/>
  <c r="BN38" i="7"/>
  <c r="BM75" i="7"/>
  <c r="BN27" i="7"/>
  <c r="BM61" i="7"/>
  <c r="BN36" i="7"/>
  <c r="BM73" i="7"/>
  <c r="BN34" i="7"/>
  <c r="BM71" i="7"/>
  <c r="BM49" i="7"/>
  <c r="BN44" i="7"/>
  <c r="BB8" i="7"/>
  <c r="BB9" i="7" s="1"/>
  <c r="BB86" i="7"/>
  <c r="BB174" i="7" s="1"/>
  <c r="BB76" i="7"/>
  <c r="BB77" i="7"/>
  <c r="BB45" i="7"/>
  <c r="BA46" i="7"/>
  <c r="BN35" i="7"/>
  <c r="BM72" i="7"/>
  <c r="BN33" i="7"/>
  <c r="BM70" i="7"/>
  <c r="BN29" i="7"/>
  <c r="BM63" i="7"/>
  <c r="BN39" i="7"/>
  <c r="BN32" i="7"/>
  <c r="BM69" i="7"/>
  <c r="BB16" i="7"/>
  <c r="BB92" i="7" s="1"/>
  <c r="BB10" i="7"/>
  <c r="AZ169" i="7"/>
  <c r="BB150" i="7"/>
  <c r="BB109" i="7" s="1"/>
  <c r="AU82" i="7"/>
  <c r="BA171" i="7"/>
  <c r="BA170" i="7"/>
  <c r="BA172" i="7"/>
  <c r="BC5" i="7"/>
  <c r="BA174" i="7"/>
  <c r="AH95" i="7"/>
  <c r="AV80" i="7"/>
  <c r="AI81" i="7"/>
  <c r="AX74" i="7"/>
  <c r="AX78" i="7" s="1"/>
  <c r="BB144" i="7"/>
  <c r="BB146" i="7" s="1"/>
  <c r="BA87" i="7"/>
  <c r="AW66" i="7"/>
  <c r="BC6" i="7"/>
  <c r="BO34" i="7" l="1"/>
  <c r="BN71" i="7"/>
  <c r="BO36" i="7"/>
  <c r="BN73" i="7"/>
  <c r="BO39" i="7"/>
  <c r="BO27" i="7"/>
  <c r="BN61" i="7"/>
  <c r="BO29" i="7"/>
  <c r="BN63" i="7"/>
  <c r="BO38" i="7"/>
  <c r="BN75" i="7"/>
  <c r="BB11" i="7"/>
  <c r="BN49" i="7"/>
  <c r="BO44" i="7"/>
  <c r="BO32" i="7"/>
  <c r="BN69" i="7"/>
  <c r="BB46" i="7"/>
  <c r="BO33" i="7"/>
  <c r="BN70" i="7"/>
  <c r="BO28" i="7"/>
  <c r="BN62" i="7"/>
  <c r="BC8" i="7"/>
  <c r="BC9" i="7" s="1"/>
  <c r="BC86" i="7"/>
  <c r="BC76" i="7"/>
  <c r="BC45" i="7"/>
  <c r="BC77" i="7"/>
  <c r="BB14" i="7"/>
  <c r="BB90" i="7" s="1"/>
  <c r="BB108" i="7" s="1"/>
  <c r="BO35" i="7"/>
  <c r="BN72" i="7"/>
  <c r="BO40" i="7"/>
  <c r="BC16" i="7"/>
  <c r="BC92" i="7" s="1"/>
  <c r="BC14" i="7"/>
  <c r="BC90" i="7" s="1"/>
  <c r="BC108" i="7" s="1"/>
  <c r="BC10" i="7"/>
  <c r="BC11" i="7"/>
  <c r="AI94" i="7"/>
  <c r="AI95" i="7" s="1"/>
  <c r="AI96" i="7" s="1"/>
  <c r="AI98" i="7" s="1"/>
  <c r="BA169" i="7"/>
  <c r="BC150" i="7"/>
  <c r="BC109" i="7" s="1"/>
  <c r="AV82" i="7"/>
  <c r="BB170" i="7"/>
  <c r="BB171" i="7"/>
  <c r="BB172" i="7"/>
  <c r="BD5" i="7"/>
  <c r="AJ81" i="7"/>
  <c r="AX66" i="7"/>
  <c r="AH96" i="7"/>
  <c r="AH98" i="7" s="1"/>
  <c r="BC144" i="7"/>
  <c r="BC146" i="7" s="1"/>
  <c r="AY74" i="7"/>
  <c r="AY78" i="7" s="1"/>
  <c r="AW80" i="7"/>
  <c r="BB87" i="7"/>
  <c r="BD6" i="7"/>
  <c r="CY111" i="7" l="1"/>
  <c r="BP28" i="7"/>
  <c r="BO62" i="7"/>
  <c r="BP40" i="7"/>
  <c r="BP33" i="7"/>
  <c r="BO70" i="7"/>
  <c r="BP27" i="7"/>
  <c r="BO61" i="7"/>
  <c r="BP32" i="7"/>
  <c r="BO69" i="7"/>
  <c r="BP39" i="7"/>
  <c r="BC50" i="7"/>
  <c r="BC51" i="7" s="1"/>
  <c r="BC46" i="7"/>
  <c r="BO49" i="7"/>
  <c r="BP44" i="7"/>
  <c r="BD8" i="7"/>
  <c r="BD14" i="7" s="1"/>
  <c r="BD90" i="7" s="1"/>
  <c r="BD108" i="7" s="1"/>
  <c r="BD86" i="7"/>
  <c r="BD77" i="7"/>
  <c r="BD76" i="7"/>
  <c r="BD45" i="7"/>
  <c r="BP36" i="7"/>
  <c r="BO73" i="7"/>
  <c r="BP35" i="7"/>
  <c r="BO72" i="7"/>
  <c r="BP38" i="7"/>
  <c r="BO75" i="7"/>
  <c r="BP29" i="7"/>
  <c r="BO63" i="7"/>
  <c r="BP34" i="7"/>
  <c r="BO71" i="7"/>
  <c r="BD9" i="7"/>
  <c r="BD16" i="7"/>
  <c r="BD92" i="7" s="1"/>
  <c r="AJ94" i="7"/>
  <c r="BB169" i="7"/>
  <c r="BD150" i="7"/>
  <c r="BD109" i="7" s="1"/>
  <c r="AW82" i="7"/>
  <c r="AX80" i="7"/>
  <c r="BC170" i="7"/>
  <c r="BC171" i="7"/>
  <c r="BC172" i="7"/>
  <c r="BE5" i="7"/>
  <c r="BC174" i="7"/>
  <c r="AY66" i="7"/>
  <c r="BC87" i="7"/>
  <c r="BD144" i="7"/>
  <c r="BD146" i="7" s="1"/>
  <c r="AK81" i="7"/>
  <c r="AK94" i="7" s="1"/>
  <c r="AZ74" i="7"/>
  <c r="AZ78" i="7" s="1"/>
  <c r="BE6" i="7"/>
  <c r="AJ95" i="7" l="1"/>
  <c r="AJ96" i="7" s="1"/>
  <c r="AJ98" i="7" s="1"/>
  <c r="BD50" i="7"/>
  <c r="BD51" i="7" s="1"/>
  <c r="BD46" i="7"/>
  <c r="BQ34" i="7"/>
  <c r="BP71" i="7"/>
  <c r="BQ27" i="7"/>
  <c r="BP61" i="7"/>
  <c r="BQ29" i="7"/>
  <c r="BP63" i="7"/>
  <c r="BP49" i="7"/>
  <c r="BQ44" i="7"/>
  <c r="BQ33" i="7"/>
  <c r="BP70" i="7"/>
  <c r="BQ38" i="7"/>
  <c r="BP75" i="7"/>
  <c r="BQ39" i="7"/>
  <c r="BQ32" i="7"/>
  <c r="BP69" i="7"/>
  <c r="BQ40" i="7"/>
  <c r="BD10" i="7"/>
  <c r="BQ36" i="7"/>
  <c r="BP73" i="7"/>
  <c r="BE8" i="7"/>
  <c r="BE86" i="7"/>
  <c r="BE77" i="7"/>
  <c r="BE76" i="7"/>
  <c r="BE45" i="7"/>
  <c r="BD11" i="7"/>
  <c r="BQ35" i="7"/>
  <c r="BP72" i="7"/>
  <c r="BQ28" i="7"/>
  <c r="BP62" i="7"/>
  <c r="BE9" i="7"/>
  <c r="BE16" i="7"/>
  <c r="BE92" i="7" s="1"/>
  <c r="BE14" i="7"/>
  <c r="BE90" i="7" s="1"/>
  <c r="BE10" i="7"/>
  <c r="BE11" i="7"/>
  <c r="BC169" i="7"/>
  <c r="BE150" i="7"/>
  <c r="BE109" i="7" s="1"/>
  <c r="AX82" i="7"/>
  <c r="AL81" i="7"/>
  <c r="BC64" i="7"/>
  <c r="BC56" i="7"/>
  <c r="BD170" i="7"/>
  <c r="BD171" i="7"/>
  <c r="BD172" i="7"/>
  <c r="BF5" i="7"/>
  <c r="BD174" i="7"/>
  <c r="AY80" i="7"/>
  <c r="AZ66" i="7"/>
  <c r="BE144" i="7"/>
  <c r="BE146" i="7" s="1"/>
  <c r="AK95" i="7"/>
  <c r="BD87" i="7"/>
  <c r="BF6" i="7"/>
  <c r="BA74" i="7"/>
  <c r="BA78" i="7" s="1"/>
  <c r="CZ111" i="7" l="1"/>
  <c r="BQ49" i="7"/>
  <c r="BR44" i="7"/>
  <c r="BR32" i="7"/>
  <c r="BQ69" i="7"/>
  <c r="BF8" i="7"/>
  <c r="BF14" i="7" s="1"/>
  <c r="BF90" i="7" s="1"/>
  <c r="BF86" i="7"/>
  <c r="BF76" i="7"/>
  <c r="BF77" i="7"/>
  <c r="BF45" i="7"/>
  <c r="BR29" i="7"/>
  <c r="BQ63" i="7"/>
  <c r="BR27" i="7"/>
  <c r="BQ61" i="7"/>
  <c r="BE108" i="7"/>
  <c r="BR35" i="7"/>
  <c r="BQ72" i="7"/>
  <c r="BR39" i="7"/>
  <c r="BR38" i="7"/>
  <c r="BQ75" i="7"/>
  <c r="BR28" i="7"/>
  <c r="BQ62" i="7"/>
  <c r="BR40" i="7"/>
  <c r="BE46" i="7"/>
  <c r="BE50" i="7"/>
  <c r="BE51" i="7" s="1"/>
  <c r="BR34" i="7"/>
  <c r="BQ71" i="7"/>
  <c r="BR36" i="7"/>
  <c r="BQ73" i="7"/>
  <c r="BR33" i="7"/>
  <c r="BQ70" i="7"/>
  <c r="AL94" i="7"/>
  <c r="BD169" i="7"/>
  <c r="BF150" i="7"/>
  <c r="BF109" i="7" s="1"/>
  <c r="AY82" i="7"/>
  <c r="BD64" i="7"/>
  <c r="BD56" i="7"/>
  <c r="BG5" i="7"/>
  <c r="BE174" i="7"/>
  <c r="AK96" i="7"/>
  <c r="AK98" i="7" s="1"/>
  <c r="AZ80" i="7"/>
  <c r="AM81" i="7"/>
  <c r="BF144" i="7"/>
  <c r="BF146" i="7" s="1"/>
  <c r="BE87" i="7"/>
  <c r="BG6" i="7"/>
  <c r="BA66" i="7"/>
  <c r="BC54" i="7"/>
  <c r="BC53" i="7"/>
  <c r="BC52" i="7"/>
  <c r="BC58" i="7" s="1"/>
  <c r="BC57" i="7"/>
  <c r="AL95" i="7" l="1"/>
  <c r="AL96" i="7" s="1"/>
  <c r="AL98" i="7" s="1"/>
  <c r="DA111" i="7"/>
  <c r="BS34" i="7"/>
  <c r="BR71" i="7"/>
  <c r="BS32" i="7"/>
  <c r="BR69" i="7"/>
  <c r="BF11" i="7"/>
  <c r="BF10" i="7"/>
  <c r="BF50" i="7"/>
  <c r="BF51" i="7" s="1"/>
  <c r="BF46" i="7"/>
  <c r="BB66" i="7"/>
  <c r="BB74" i="7"/>
  <c r="BB78" i="7" s="1"/>
  <c r="BS33" i="7"/>
  <c r="BR70" i="7"/>
  <c r="BS39" i="7"/>
  <c r="BS35" i="7"/>
  <c r="BR72" i="7"/>
  <c r="BS40" i="7"/>
  <c r="BG8" i="7"/>
  <c r="BG14" i="7" s="1"/>
  <c r="BG90" i="7" s="1"/>
  <c r="BG86" i="7"/>
  <c r="BG45" i="7"/>
  <c r="BG77" i="7"/>
  <c r="BG76" i="7"/>
  <c r="BS38" i="7"/>
  <c r="BR75" i="7"/>
  <c r="BS36" i="7"/>
  <c r="BR73" i="7"/>
  <c r="BF16" i="7"/>
  <c r="BF92" i="7" s="1"/>
  <c r="BF108" i="7" s="1"/>
  <c r="BS27" i="7"/>
  <c r="BR61" i="7"/>
  <c r="BR49" i="7"/>
  <c r="BS44" i="7"/>
  <c r="BF9" i="7"/>
  <c r="BS28" i="7"/>
  <c r="BR62" i="7"/>
  <c r="BS29" i="7"/>
  <c r="BR63" i="7"/>
  <c r="BG10" i="7"/>
  <c r="BG11" i="7"/>
  <c r="BE56" i="7"/>
  <c r="AM94" i="7"/>
  <c r="AM95" i="7" s="1"/>
  <c r="AM96" i="7" s="1"/>
  <c r="AM98" i="7" s="1"/>
  <c r="BE172" i="7"/>
  <c r="BG150" i="7"/>
  <c r="BG109" i="7" s="1"/>
  <c r="AZ82" i="7"/>
  <c r="BH5" i="7"/>
  <c r="BF172" i="7"/>
  <c r="BF174" i="7"/>
  <c r="AN81" i="7"/>
  <c r="BF87" i="7"/>
  <c r="BG144" i="7"/>
  <c r="BG146" i="7" s="1"/>
  <c r="BD52" i="7"/>
  <c r="BD58" i="7" s="1"/>
  <c r="BD54" i="7"/>
  <c r="BD53" i="7"/>
  <c r="BD57" i="7"/>
  <c r="BA80" i="7"/>
  <c r="BC55" i="7"/>
  <c r="BC74" i="7" s="1"/>
  <c r="BC78" i="7" s="1"/>
  <c r="BH6" i="7"/>
  <c r="BB80" i="7" l="1"/>
  <c r="AP81" i="7" s="1"/>
  <c r="DB111" i="7"/>
  <c r="BG108" i="7"/>
  <c r="BS49" i="7"/>
  <c r="BT44" i="7"/>
  <c r="BG16" i="7"/>
  <c r="BG92" i="7" s="1"/>
  <c r="BG9" i="7"/>
  <c r="BT35" i="7"/>
  <c r="BS72" i="7"/>
  <c r="BT36" i="7"/>
  <c r="BS73" i="7"/>
  <c r="BT32" i="7"/>
  <c r="BS69" i="7"/>
  <c r="BT33" i="7"/>
  <c r="BS70" i="7"/>
  <c r="BG50" i="7"/>
  <c r="BG51" i="7" s="1"/>
  <c r="BG46" i="7"/>
  <c r="BT40" i="7"/>
  <c r="BT27" i="7"/>
  <c r="BS61" i="7"/>
  <c r="BH8" i="7"/>
  <c r="BH9" i="7" s="1"/>
  <c r="BH86" i="7"/>
  <c r="BH77" i="7"/>
  <c r="BH45" i="7"/>
  <c r="BH76" i="7"/>
  <c r="BT29" i="7"/>
  <c r="BS63" i="7"/>
  <c r="BT38" i="7"/>
  <c r="BS75" i="7"/>
  <c r="BT39" i="7"/>
  <c r="BT34" i="7"/>
  <c r="BS71" i="7"/>
  <c r="BT28" i="7"/>
  <c r="BS62" i="7"/>
  <c r="BE64" i="7"/>
  <c r="AN94" i="7"/>
  <c r="BF171" i="7"/>
  <c r="BF169" i="7"/>
  <c r="BE169" i="7"/>
  <c r="BF170" i="7"/>
  <c r="BE171" i="7"/>
  <c r="BE170" i="7"/>
  <c r="BH150" i="7"/>
  <c r="BH109" i="7" s="1"/>
  <c r="BB82" i="7"/>
  <c r="BA82" i="7"/>
  <c r="BC59" i="7"/>
  <c r="BG172" i="7"/>
  <c r="BG170" i="7"/>
  <c r="BG171" i="7"/>
  <c r="BI5" i="7"/>
  <c r="BG174" i="7"/>
  <c r="BH144" i="7"/>
  <c r="BH146" i="7" s="1"/>
  <c r="AO81" i="7"/>
  <c r="AO94" i="7" s="1"/>
  <c r="BG87" i="7"/>
  <c r="BE57" i="7"/>
  <c r="BE53" i="7"/>
  <c r="BE54" i="7"/>
  <c r="BE52" i="7"/>
  <c r="BE58" i="7" s="1"/>
  <c r="BD55" i="7"/>
  <c r="BD74" i="7" s="1"/>
  <c r="BD78" i="7" s="1"/>
  <c r="BI6" i="7"/>
  <c r="BC66" i="7"/>
  <c r="AN95" i="7" l="1"/>
  <c r="AN96" i="7" s="1"/>
  <c r="AN98" i="7" s="1"/>
  <c r="DC111" i="7"/>
  <c r="BU32" i="7"/>
  <c r="BT69" i="7"/>
  <c r="BI8" i="7"/>
  <c r="BI86" i="7"/>
  <c r="BI45" i="7"/>
  <c r="BI77" i="7"/>
  <c r="BI76" i="7"/>
  <c r="BU34" i="7"/>
  <c r="BT71" i="7"/>
  <c r="BU27" i="7"/>
  <c r="BT61" i="7"/>
  <c r="BU35" i="7"/>
  <c r="BT72" i="7"/>
  <c r="BU39" i="7"/>
  <c r="BH11" i="7"/>
  <c r="BU40" i="7"/>
  <c r="BH10" i="7"/>
  <c r="BU38" i="7"/>
  <c r="BT75" i="7"/>
  <c r="BH50" i="7"/>
  <c r="BH51" i="7" s="1"/>
  <c r="BH46" i="7"/>
  <c r="BU28" i="7"/>
  <c r="BT62" i="7"/>
  <c r="BU36" i="7"/>
  <c r="BT73" i="7"/>
  <c r="BH16" i="7"/>
  <c r="BH92" i="7" s="1"/>
  <c r="BT49" i="7"/>
  <c r="BU44" i="7"/>
  <c r="BH14" i="7"/>
  <c r="BH90" i="7" s="1"/>
  <c r="BH108" i="7" s="1"/>
  <c r="BU29" i="7"/>
  <c r="BT63" i="7"/>
  <c r="BU33" i="7"/>
  <c r="BT70" i="7"/>
  <c r="BI9" i="7"/>
  <c r="BI14" i="7"/>
  <c r="BI90" i="7" s="1"/>
  <c r="BI16" i="7"/>
  <c r="BI92" i="7" s="1"/>
  <c r="BI10" i="7"/>
  <c r="BI11" i="7"/>
  <c r="BG56" i="7"/>
  <c r="BG64" i="7"/>
  <c r="AP94" i="7"/>
  <c r="AP95" i="7" s="1"/>
  <c r="AP96" i="7" s="1"/>
  <c r="AP98" i="7" s="1"/>
  <c r="BF56" i="7"/>
  <c r="BF57" i="7" s="1"/>
  <c r="BF64" i="7"/>
  <c r="BG169" i="7"/>
  <c r="BI150" i="7"/>
  <c r="BI109" i="7" s="1"/>
  <c r="BD59" i="7"/>
  <c r="BH172" i="7"/>
  <c r="BH170" i="7"/>
  <c r="BH171" i="7"/>
  <c r="BJ5" i="7"/>
  <c r="BH174" i="7"/>
  <c r="BI144" i="7"/>
  <c r="BI146" i="7" s="1"/>
  <c r="BC80" i="7"/>
  <c r="BH87" i="7"/>
  <c r="AO95" i="7"/>
  <c r="AO96" i="7" s="1"/>
  <c r="AO98" i="7" s="1"/>
  <c r="BE55" i="7"/>
  <c r="BE74" i="7" s="1"/>
  <c r="BE78" i="7" s="1"/>
  <c r="BJ6" i="7"/>
  <c r="BD66" i="7"/>
  <c r="DD111" i="7" l="1"/>
  <c r="BV27" i="7"/>
  <c r="BU61" i="7"/>
  <c r="BV29" i="7"/>
  <c r="BU63" i="7"/>
  <c r="BV38" i="7"/>
  <c r="BU75" i="7"/>
  <c r="BV34" i="7"/>
  <c r="BU71" i="7"/>
  <c r="BU49" i="7"/>
  <c r="BV44" i="7"/>
  <c r="BJ8" i="7"/>
  <c r="BJ86" i="7"/>
  <c r="BJ76" i="7"/>
  <c r="BJ77" i="7"/>
  <c r="BJ45" i="7"/>
  <c r="BV40" i="7"/>
  <c r="BI50" i="7"/>
  <c r="BI51" i="7" s="1"/>
  <c r="BI46" i="7"/>
  <c r="BI108" i="7"/>
  <c r="BV36" i="7"/>
  <c r="BU73" i="7"/>
  <c r="BV39" i="7"/>
  <c r="BV33" i="7"/>
  <c r="BU70" i="7"/>
  <c r="BV28" i="7"/>
  <c r="BU62" i="7"/>
  <c r="BV35" i="7"/>
  <c r="BU72" i="7"/>
  <c r="BV32" i="7"/>
  <c r="BU69" i="7"/>
  <c r="BJ16" i="7"/>
  <c r="BJ92" i="7" s="1"/>
  <c r="BJ14" i="7"/>
  <c r="BJ90" i="7" s="1"/>
  <c r="BJ108" i="7" s="1"/>
  <c r="BJ9" i="7"/>
  <c r="BJ10" i="7"/>
  <c r="BJ11" i="7"/>
  <c r="BH64" i="7"/>
  <c r="BH56" i="7"/>
  <c r="BH57" i="7" s="1"/>
  <c r="BF54" i="7"/>
  <c r="BF52" i="7"/>
  <c r="BF58" i="7" s="1"/>
  <c r="BF53" i="7"/>
  <c r="BH169" i="7"/>
  <c r="BJ150" i="7"/>
  <c r="BJ109" i="7" s="1"/>
  <c r="BC82" i="7"/>
  <c r="BE59" i="7"/>
  <c r="BI171" i="7"/>
  <c r="BI172" i="7"/>
  <c r="BK5" i="7"/>
  <c r="BI174" i="7"/>
  <c r="AQ81" i="7"/>
  <c r="BJ144" i="7"/>
  <c r="BJ146" i="7" s="1"/>
  <c r="BE66" i="7"/>
  <c r="BD80" i="7"/>
  <c r="BI87" i="7"/>
  <c r="BK6" i="7"/>
  <c r="BG53" i="7"/>
  <c r="BG57" i="7"/>
  <c r="BG52" i="7"/>
  <c r="BG58" i="7" s="1"/>
  <c r="BG54" i="7"/>
  <c r="DE111" i="7" l="1"/>
  <c r="BW36" i="7"/>
  <c r="BV73" i="7"/>
  <c r="BV49" i="7"/>
  <c r="BW44" i="7"/>
  <c r="BW32" i="7"/>
  <c r="BV69" i="7"/>
  <c r="BW35" i="7"/>
  <c r="BV72" i="7"/>
  <c r="BW28" i="7"/>
  <c r="BV62" i="7"/>
  <c r="BW40" i="7"/>
  <c r="BW34" i="7"/>
  <c r="BV71" i="7"/>
  <c r="BK8" i="7"/>
  <c r="BK9" i="7" s="1"/>
  <c r="BK86" i="7"/>
  <c r="BK76" i="7"/>
  <c r="BK77" i="7"/>
  <c r="BK45" i="7"/>
  <c r="BW33" i="7"/>
  <c r="BV70" i="7"/>
  <c r="BJ50" i="7"/>
  <c r="BJ51" i="7" s="1"/>
  <c r="BJ46" i="7"/>
  <c r="BW38" i="7"/>
  <c r="BV75" i="7"/>
  <c r="BW29" i="7"/>
  <c r="BV63" i="7"/>
  <c r="BW39" i="7"/>
  <c r="BW27" i="7"/>
  <c r="BV61" i="7"/>
  <c r="BK16" i="7"/>
  <c r="BK92" i="7" s="1"/>
  <c r="BK108" i="7" s="1"/>
  <c r="BI64" i="7"/>
  <c r="BF55" i="7"/>
  <c r="AQ94" i="7"/>
  <c r="BI169" i="7"/>
  <c r="BK150" i="7"/>
  <c r="BK109" i="7" s="1"/>
  <c r="BD82" i="7"/>
  <c r="BI56" i="7"/>
  <c r="BL5" i="7"/>
  <c r="BJ171" i="7"/>
  <c r="BJ172" i="7"/>
  <c r="BJ174" i="7"/>
  <c r="BE80" i="7"/>
  <c r="BH53" i="7"/>
  <c r="BH54" i="7"/>
  <c r="BK144" i="7"/>
  <c r="BK146" i="7" s="1"/>
  <c r="BH52" i="7"/>
  <c r="BH58" i="7" s="1"/>
  <c r="BJ87" i="7"/>
  <c r="BG55" i="7"/>
  <c r="BG74" i="7" s="1"/>
  <c r="BG78" i="7" s="1"/>
  <c r="AR81" i="7"/>
  <c r="AR94" i="7" s="1"/>
  <c r="BL6" i="7"/>
  <c r="AQ95" i="7" l="1"/>
  <c r="AQ96" i="7" s="1"/>
  <c r="AQ98" i="7" s="1"/>
  <c r="BL8" i="7"/>
  <c r="BL9" i="7" s="1"/>
  <c r="BL86" i="7"/>
  <c r="BL76" i="7"/>
  <c r="BL45" i="7"/>
  <c r="BL77" i="7"/>
  <c r="BK46" i="7"/>
  <c r="BK50" i="7"/>
  <c r="BK51" i="7" s="1"/>
  <c r="BX35" i="7"/>
  <c r="BW72" i="7"/>
  <c r="BX32" i="7"/>
  <c r="BW69" i="7"/>
  <c r="BF59" i="7"/>
  <c r="BF74" i="7"/>
  <c r="BF78" i="7" s="1"/>
  <c r="BW49" i="7"/>
  <c r="BX44" i="7"/>
  <c r="BX38" i="7"/>
  <c r="BW75" i="7"/>
  <c r="BK10" i="7"/>
  <c r="BX40" i="7"/>
  <c r="BX28" i="7"/>
  <c r="BW62" i="7"/>
  <c r="BX33" i="7"/>
  <c r="BW70" i="7"/>
  <c r="BX27" i="7"/>
  <c r="BW61" i="7"/>
  <c r="BX39" i="7"/>
  <c r="BX29" i="7"/>
  <c r="BW63" i="7"/>
  <c r="BX34" i="7"/>
  <c r="BW71" i="7"/>
  <c r="BK11" i="7"/>
  <c r="BX36" i="7"/>
  <c r="BW73" i="7"/>
  <c r="BL16" i="7"/>
  <c r="BL92" i="7" s="1"/>
  <c r="BL108" i="7" s="1"/>
  <c r="BL10" i="7"/>
  <c r="BL11" i="7"/>
  <c r="BF66" i="7"/>
  <c r="BJ170" i="7"/>
  <c r="BJ169" i="7"/>
  <c r="BI170" i="7"/>
  <c r="BL150" i="7"/>
  <c r="BL109" i="7" s="1"/>
  <c r="BE82" i="7"/>
  <c r="BG59" i="7"/>
  <c r="BJ64" i="7"/>
  <c r="BJ56" i="7"/>
  <c r="BK171" i="7"/>
  <c r="BK172" i="7"/>
  <c r="BM5" i="7"/>
  <c r="BK174" i="7"/>
  <c r="BF80" i="7"/>
  <c r="BG66" i="7"/>
  <c r="BH55" i="7"/>
  <c r="BH74" i="7" s="1"/>
  <c r="BH78" i="7" s="1"/>
  <c r="BL144" i="7"/>
  <c r="BL146" i="7" s="1"/>
  <c r="AR95" i="7"/>
  <c r="AR96" i="7" s="1"/>
  <c r="AR98" i="7" s="1"/>
  <c r="AS81" i="7"/>
  <c r="AS94" i="7" s="1"/>
  <c r="BI53" i="7"/>
  <c r="BI57" i="7"/>
  <c r="BI52" i="7"/>
  <c r="BI58" i="7" s="1"/>
  <c r="BI54" i="7"/>
  <c r="BK87" i="7"/>
  <c r="BM6" i="7"/>
  <c r="DF111" i="7" l="1"/>
  <c r="BY28" i="7"/>
  <c r="BX62" i="7"/>
  <c r="BY32" i="7"/>
  <c r="BX69" i="7"/>
  <c r="BY34" i="7"/>
  <c r="BX71" i="7"/>
  <c r="BY40" i="7"/>
  <c r="BY35" i="7"/>
  <c r="BX72" i="7"/>
  <c r="BY29" i="7"/>
  <c r="BX63" i="7"/>
  <c r="BM8" i="7"/>
  <c r="BM86" i="7"/>
  <c r="BM77" i="7"/>
  <c r="BM45" i="7"/>
  <c r="BM76" i="7"/>
  <c r="BY39" i="7"/>
  <c r="BY38" i="7"/>
  <c r="BX75" i="7"/>
  <c r="BL50" i="7"/>
  <c r="BL51" i="7" s="1"/>
  <c r="BL46" i="7"/>
  <c r="BY33" i="7"/>
  <c r="BX70" i="7"/>
  <c r="BX49" i="7"/>
  <c r="BY44" i="7"/>
  <c r="BY27" i="7"/>
  <c r="BX61" i="7"/>
  <c r="BY36" i="7"/>
  <c r="BX73" i="7"/>
  <c r="BM16" i="7"/>
  <c r="BM92" i="7" s="1"/>
  <c r="BM108" i="7" s="1"/>
  <c r="BM9" i="7"/>
  <c r="BM10" i="7"/>
  <c r="BM11" i="7"/>
  <c r="BK169" i="7"/>
  <c r="BM150" i="7"/>
  <c r="BM109" i="7" s="1"/>
  <c r="BF82" i="7"/>
  <c r="BH59" i="7"/>
  <c r="BJ53" i="7"/>
  <c r="BK64" i="7"/>
  <c r="BK56" i="7"/>
  <c r="BN5" i="7"/>
  <c r="BL171" i="7"/>
  <c r="BL172" i="7"/>
  <c r="BL170" i="7"/>
  <c r="AT81" i="7"/>
  <c r="BG80" i="7"/>
  <c r="BL174" i="7"/>
  <c r="BH66" i="7"/>
  <c r="BJ57" i="7"/>
  <c r="BJ54" i="7"/>
  <c r="BL87" i="7"/>
  <c r="BJ52" i="7"/>
  <c r="BJ58" i="7" s="1"/>
  <c r="BM144" i="7"/>
  <c r="BM146" i="7" s="1"/>
  <c r="AS95" i="7"/>
  <c r="BI55" i="7"/>
  <c r="BI74" i="7" s="1"/>
  <c r="BI78" i="7" s="1"/>
  <c r="BN6" i="7"/>
  <c r="BZ36" i="7" l="1"/>
  <c r="BY73" i="7"/>
  <c r="BZ35" i="7"/>
  <c r="BY72" i="7"/>
  <c r="BZ27" i="7"/>
  <c r="BY61" i="7"/>
  <c r="BZ40" i="7"/>
  <c r="BZ34" i="7"/>
  <c r="BY71" i="7"/>
  <c r="BN8" i="7"/>
  <c r="BN9" i="7" s="1"/>
  <c r="BN86" i="7"/>
  <c r="BN76" i="7"/>
  <c r="BN77" i="7"/>
  <c r="BN45" i="7"/>
  <c r="BZ29" i="7"/>
  <c r="BY63" i="7"/>
  <c r="BZ38" i="7"/>
  <c r="BY75" i="7"/>
  <c r="BZ39" i="7"/>
  <c r="BY49" i="7"/>
  <c r="BZ44" i="7"/>
  <c r="BM50" i="7"/>
  <c r="BM51" i="7" s="1"/>
  <c r="BM46" i="7"/>
  <c r="BZ32" i="7"/>
  <c r="BY69" i="7"/>
  <c r="BZ33" i="7"/>
  <c r="BY70" i="7"/>
  <c r="BZ28" i="7"/>
  <c r="BY62" i="7"/>
  <c r="BN16" i="7"/>
  <c r="BN92" i="7" s="1"/>
  <c r="BN108" i="7" s="1"/>
  <c r="AT94" i="7"/>
  <c r="BL169" i="7"/>
  <c r="BK170" i="7"/>
  <c r="BN150" i="7"/>
  <c r="BN109" i="7" s="1"/>
  <c r="BG82" i="7"/>
  <c r="BI59" i="7"/>
  <c r="BL64" i="7"/>
  <c r="BH80" i="7"/>
  <c r="BL56" i="7"/>
  <c r="BL57" i="7" s="1"/>
  <c r="BO5" i="7"/>
  <c r="BM172" i="7"/>
  <c r="BM170" i="7"/>
  <c r="BM171" i="7"/>
  <c r="BM174" i="7"/>
  <c r="AS96" i="7"/>
  <c r="AS98" i="7" s="1"/>
  <c r="AU81" i="7"/>
  <c r="AU94" i="7" s="1"/>
  <c r="BM87" i="7"/>
  <c r="BJ55" i="7"/>
  <c r="BJ74" i="7" s="1"/>
  <c r="BJ78" i="7" s="1"/>
  <c r="BN144" i="7"/>
  <c r="BN146" i="7" s="1"/>
  <c r="BO6" i="7"/>
  <c r="BK57" i="7"/>
  <c r="BK52" i="7"/>
  <c r="BK58" i="7" s="1"/>
  <c r="BK54" i="7"/>
  <c r="BK53" i="7"/>
  <c r="BI66" i="7"/>
  <c r="AT95" i="7" l="1"/>
  <c r="AT96" i="7" s="1"/>
  <c r="AT98" i="7" s="1"/>
  <c r="DG111" i="7"/>
  <c r="CA39" i="7"/>
  <c r="CA33" i="7"/>
  <c r="BZ70" i="7"/>
  <c r="CA38" i="7"/>
  <c r="BZ75" i="7"/>
  <c r="CA32" i="7"/>
  <c r="BZ69" i="7"/>
  <c r="CA29" i="7"/>
  <c r="BZ63" i="7"/>
  <c r="CA27" i="7"/>
  <c r="BZ61" i="7"/>
  <c r="BN11" i="7"/>
  <c r="CA35" i="7"/>
  <c r="BZ72" i="7"/>
  <c r="BN10" i="7"/>
  <c r="BZ49" i="7"/>
  <c r="CA44" i="7"/>
  <c r="CA28" i="7"/>
  <c r="BZ62" i="7"/>
  <c r="CA34" i="7"/>
  <c r="BZ71" i="7"/>
  <c r="CA40" i="7"/>
  <c r="BN46" i="7"/>
  <c r="BN50" i="7"/>
  <c r="BN51" i="7" s="1"/>
  <c r="BO8" i="7"/>
  <c r="BO9" i="7" s="1"/>
  <c r="BO86" i="7"/>
  <c r="BO76" i="7"/>
  <c r="BO77" i="7"/>
  <c r="BO45" i="7"/>
  <c r="CA36" i="7"/>
  <c r="BZ73" i="7"/>
  <c r="BO16" i="7"/>
  <c r="BO92" i="7" s="1"/>
  <c r="BO108" i="7" s="1"/>
  <c r="BM169" i="7"/>
  <c r="BO150" i="7"/>
  <c r="BO109" i="7" s="1"/>
  <c r="BH82" i="7"/>
  <c r="BJ59" i="7"/>
  <c r="BM64" i="7"/>
  <c r="AV81" i="7"/>
  <c r="BM56" i="7"/>
  <c r="BN172" i="7"/>
  <c r="BN171" i="7"/>
  <c r="BN170" i="7"/>
  <c r="BP5" i="7"/>
  <c r="BL52" i="7"/>
  <c r="BL58" i="7" s="1"/>
  <c r="AU95" i="7"/>
  <c r="BI80" i="7"/>
  <c r="BN174" i="7"/>
  <c r="BL53" i="7"/>
  <c r="BL54" i="7"/>
  <c r="BJ66" i="7"/>
  <c r="BN87" i="7"/>
  <c r="BO144" i="7"/>
  <c r="BO146" i="7" s="1"/>
  <c r="BK55" i="7"/>
  <c r="BK74" i="7" s="1"/>
  <c r="BK78" i="7" s="1"/>
  <c r="BP6" i="7"/>
  <c r="CB36" i="7" l="1"/>
  <c r="CA73" i="7"/>
  <c r="CB28" i="7"/>
  <c r="CA62" i="7"/>
  <c r="CB32" i="7"/>
  <c r="CA69" i="7"/>
  <c r="CB38" i="7"/>
  <c r="CA75" i="7"/>
  <c r="BO11" i="7"/>
  <c r="BP8" i="7"/>
  <c r="BP16" i="7" s="1"/>
  <c r="BP92" i="7" s="1"/>
  <c r="BP108" i="7" s="1"/>
  <c r="BP86" i="7"/>
  <c r="BP76" i="7"/>
  <c r="BP77" i="7"/>
  <c r="BP45" i="7"/>
  <c r="BO10" i="7"/>
  <c r="CB35" i="7"/>
  <c r="CA72" i="7"/>
  <c r="CB33" i="7"/>
  <c r="CA70" i="7"/>
  <c r="BO46" i="7"/>
  <c r="BO50" i="7"/>
  <c r="BO51" i="7" s="1"/>
  <c r="CB29" i="7"/>
  <c r="CA63" i="7"/>
  <c r="CA49" i="7"/>
  <c r="CB44" i="7"/>
  <c r="CB40" i="7"/>
  <c r="CB39" i="7"/>
  <c r="CB34" i="7"/>
  <c r="CA71" i="7"/>
  <c r="CB27" i="7"/>
  <c r="CA61" i="7"/>
  <c r="AV94" i="7"/>
  <c r="AV95" i="7" s="1"/>
  <c r="AV96" i="7" s="1"/>
  <c r="AV98" i="7" s="1"/>
  <c r="BN169" i="7"/>
  <c r="BP150" i="7"/>
  <c r="BP109" i="7" s="1"/>
  <c r="BI82" i="7"/>
  <c r="BK59" i="7"/>
  <c r="BN64" i="7"/>
  <c r="BN56" i="7"/>
  <c r="BO170" i="7"/>
  <c r="BO171" i="7"/>
  <c r="BO172" i="7"/>
  <c r="BQ5" i="7"/>
  <c r="BO174" i="7"/>
  <c r="AU96" i="7"/>
  <c r="AU98" i="7" s="1"/>
  <c r="BL55" i="7"/>
  <c r="BL74" i="7" s="1"/>
  <c r="BL78" i="7" s="1"/>
  <c r="BJ80" i="7"/>
  <c r="BP144" i="7"/>
  <c r="BP146" i="7" s="1"/>
  <c r="AW81" i="7"/>
  <c r="AW94" i="7" s="1"/>
  <c r="BO87" i="7"/>
  <c r="BM54" i="7"/>
  <c r="BM52" i="7"/>
  <c r="BM58" i="7" s="1"/>
  <c r="BM53" i="7"/>
  <c r="BM57" i="7"/>
  <c r="BQ6" i="7"/>
  <c r="BK66" i="7"/>
  <c r="DH111" i="7" l="1"/>
  <c r="CC27" i="7"/>
  <c r="CB61" i="7"/>
  <c r="CC38" i="7"/>
  <c r="CB75" i="7"/>
  <c r="CC39" i="7"/>
  <c r="CC33" i="7"/>
  <c r="CB70" i="7"/>
  <c r="CC40" i="7"/>
  <c r="CC32" i="7"/>
  <c r="CB69" i="7"/>
  <c r="BQ8" i="7"/>
  <c r="BQ10" i="7" s="1"/>
  <c r="BQ86" i="7"/>
  <c r="BQ76" i="7"/>
  <c r="BQ45" i="7"/>
  <c r="BQ77" i="7"/>
  <c r="BP9" i="7"/>
  <c r="CC28" i="7"/>
  <c r="CB62" i="7"/>
  <c r="CC29" i="7"/>
  <c r="CB63" i="7"/>
  <c r="CC34" i="7"/>
  <c r="CB71" i="7"/>
  <c r="CC35" i="7"/>
  <c r="CB72" i="7"/>
  <c r="BP11" i="7"/>
  <c r="BP10" i="7"/>
  <c r="BP50" i="7"/>
  <c r="BP51" i="7" s="1"/>
  <c r="BP46" i="7"/>
  <c r="CB49" i="7"/>
  <c r="CC44" i="7"/>
  <c r="CC36" i="7"/>
  <c r="CB73" i="7"/>
  <c r="BQ16" i="7"/>
  <c r="BQ92" i="7" s="1"/>
  <c r="BQ108" i="7" s="1"/>
  <c r="BQ9" i="7"/>
  <c r="BO169" i="7"/>
  <c r="BQ150" i="7"/>
  <c r="BQ109" i="7" s="1"/>
  <c r="BJ82" i="7"/>
  <c r="BL59" i="7"/>
  <c r="BO64" i="7"/>
  <c r="BO56" i="7"/>
  <c r="BL66" i="7"/>
  <c r="BP170" i="7"/>
  <c r="BP171" i="7"/>
  <c r="BP172" i="7"/>
  <c r="BR5" i="7"/>
  <c r="BP174" i="7"/>
  <c r="BK80" i="7"/>
  <c r="AX81" i="7"/>
  <c r="BQ144" i="7"/>
  <c r="BQ146" i="7" s="1"/>
  <c r="AW95" i="7"/>
  <c r="BP87" i="7"/>
  <c r="BM55" i="7"/>
  <c r="BM74" i="7" s="1"/>
  <c r="BM78" i="7" s="1"/>
  <c r="BN57" i="7"/>
  <c r="BN54" i="7"/>
  <c r="BN52" i="7"/>
  <c r="BN58" i="7" s="1"/>
  <c r="BN53" i="7"/>
  <c r="BR6" i="7"/>
  <c r="CD36" i="7" l="1"/>
  <c r="CC73" i="7"/>
  <c r="CD32" i="7"/>
  <c r="CC69" i="7"/>
  <c r="CC49" i="7"/>
  <c r="CD44" i="7"/>
  <c r="CD29" i="7"/>
  <c r="CC63" i="7"/>
  <c r="CD40" i="7"/>
  <c r="CD28" i="7"/>
  <c r="CC62" i="7"/>
  <c r="CD33" i="7"/>
  <c r="CC70" i="7"/>
  <c r="BQ11" i="7"/>
  <c r="BQ50" i="7"/>
  <c r="BQ51" i="7" s="1"/>
  <c r="BQ46" i="7"/>
  <c r="CD39" i="7"/>
  <c r="BR8" i="7"/>
  <c r="BR9" i="7" s="1"/>
  <c r="BR86" i="7"/>
  <c r="BR76" i="7"/>
  <c r="BR77" i="7"/>
  <c r="BR45" i="7"/>
  <c r="CD35" i="7"/>
  <c r="CC72" i="7"/>
  <c r="CD38" i="7"/>
  <c r="CC75" i="7"/>
  <c r="CD34" i="7"/>
  <c r="CC71" i="7"/>
  <c r="CD27" i="7"/>
  <c r="CC61" i="7"/>
  <c r="AX94" i="7"/>
  <c r="BP169" i="7"/>
  <c r="BR150" i="7"/>
  <c r="BR109" i="7" s="1"/>
  <c r="BK82" i="7"/>
  <c r="BM59" i="7"/>
  <c r="BO52" i="7"/>
  <c r="BO58" i="7" s="1"/>
  <c r="BP64" i="7"/>
  <c r="BP56" i="7"/>
  <c r="BL80" i="7"/>
  <c r="BS5" i="7"/>
  <c r="BQ174" i="7"/>
  <c r="AW96" i="7"/>
  <c r="AW98" i="7" s="1"/>
  <c r="BR144" i="7"/>
  <c r="BR146" i="7" s="1"/>
  <c r="BQ87" i="7"/>
  <c r="AY81" i="7"/>
  <c r="AY94" i="7" s="1"/>
  <c r="BO57" i="7"/>
  <c r="BO54" i="7"/>
  <c r="BO53" i="7"/>
  <c r="BN55" i="7"/>
  <c r="BN74" i="7" s="1"/>
  <c r="BN78" i="7" s="1"/>
  <c r="BS6" i="7"/>
  <c r="BM66" i="7"/>
  <c r="AX95" i="7" l="1"/>
  <c r="AX96" i="7" s="1"/>
  <c r="AX98" i="7" s="1"/>
  <c r="DI111" i="7"/>
  <c r="CE27" i="7"/>
  <c r="CD61" i="7"/>
  <c r="CE29" i="7"/>
  <c r="CD63" i="7"/>
  <c r="CE34" i="7"/>
  <c r="CD71" i="7"/>
  <c r="CD49" i="7"/>
  <c r="CE44" i="7"/>
  <c r="CE38" i="7"/>
  <c r="CD75" i="7"/>
  <c r="CE33" i="7"/>
  <c r="CD70" i="7"/>
  <c r="BR46" i="7"/>
  <c r="BR50" i="7"/>
  <c r="BR51" i="7" s="1"/>
  <c r="CE32" i="7"/>
  <c r="CD69" i="7"/>
  <c r="CE28" i="7"/>
  <c r="CD62" i="7"/>
  <c r="CE40" i="7"/>
  <c r="CE39" i="7"/>
  <c r="CE35" i="7"/>
  <c r="CD72" i="7"/>
  <c r="BR11" i="7"/>
  <c r="BR10" i="7"/>
  <c r="BS8" i="7"/>
  <c r="BS9" i="7" s="1"/>
  <c r="BS86" i="7"/>
  <c r="BS45" i="7"/>
  <c r="BS77" i="7"/>
  <c r="BS76" i="7"/>
  <c r="CE36" i="7"/>
  <c r="CD73" i="7"/>
  <c r="BQ172" i="7"/>
  <c r="BS150" i="7"/>
  <c r="BS109" i="7" s="1"/>
  <c r="BL82" i="7"/>
  <c r="BN59" i="7"/>
  <c r="BP53" i="7"/>
  <c r="AZ81" i="7"/>
  <c r="BT5" i="7"/>
  <c r="BR174" i="7"/>
  <c r="BM80" i="7"/>
  <c r="BP57" i="7"/>
  <c r="BP52" i="7"/>
  <c r="BP58" i="7" s="1"/>
  <c r="BP54" i="7"/>
  <c r="BO55" i="7"/>
  <c r="BO74" i="7" s="1"/>
  <c r="BO78" i="7" s="1"/>
  <c r="BS144" i="7"/>
  <c r="BS146" i="7" s="1"/>
  <c r="AY95" i="7"/>
  <c r="BR87" i="7"/>
  <c r="BN66" i="7"/>
  <c r="BT6" i="7"/>
  <c r="CF36" i="7" l="1"/>
  <c r="CE73" i="7"/>
  <c r="BT8" i="7"/>
  <c r="BT10" i="7" s="1"/>
  <c r="BT86" i="7"/>
  <c r="BT76" i="7"/>
  <c r="BT77" i="7"/>
  <c r="BT45" i="7"/>
  <c r="CF39" i="7"/>
  <c r="CF38" i="7"/>
  <c r="CE75" i="7"/>
  <c r="CE49" i="7"/>
  <c r="CF44" i="7"/>
  <c r="BS46" i="7"/>
  <c r="BS50" i="7"/>
  <c r="BS51" i="7" s="1"/>
  <c r="CF40" i="7"/>
  <c r="CF28" i="7"/>
  <c r="CE62" i="7"/>
  <c r="CF32" i="7"/>
  <c r="CE69" i="7"/>
  <c r="CF34" i="7"/>
  <c r="CE71" i="7"/>
  <c r="BS11" i="7"/>
  <c r="BS10" i="7"/>
  <c r="CF35" i="7"/>
  <c r="CE72" i="7"/>
  <c r="CF29" i="7"/>
  <c r="CE63" i="7"/>
  <c r="CF33" i="7"/>
  <c r="CE70" i="7"/>
  <c r="CF27" i="7"/>
  <c r="CE61" i="7"/>
  <c r="BT9" i="7"/>
  <c r="BR171" i="7"/>
  <c r="BR56" i="7"/>
  <c r="BR170" i="7"/>
  <c r="AZ94" i="7"/>
  <c r="AZ95" i="7" s="1"/>
  <c r="AZ96" i="7" s="1"/>
  <c r="AZ98" i="7" s="1"/>
  <c r="BR172" i="7"/>
  <c r="BQ56" i="7"/>
  <c r="BQ57" i="7" s="1"/>
  <c r="BQ64" i="7"/>
  <c r="BR169" i="7"/>
  <c r="BQ169" i="7"/>
  <c r="BQ171" i="7"/>
  <c r="BQ170" i="7"/>
  <c r="BT150" i="7"/>
  <c r="BT109" i="7" s="1"/>
  <c r="BM82" i="7"/>
  <c r="BO59" i="7"/>
  <c r="BS172" i="7"/>
  <c r="BS171" i="7"/>
  <c r="BU5" i="7"/>
  <c r="BS174" i="7"/>
  <c r="BP55" i="7"/>
  <c r="BP74" i="7" s="1"/>
  <c r="BP78" i="7" s="1"/>
  <c r="AY96" i="7"/>
  <c r="AY98" i="7" s="1"/>
  <c r="BS87" i="7"/>
  <c r="BO66" i="7"/>
  <c r="BT144" i="7"/>
  <c r="BT146" i="7" s="1"/>
  <c r="BA81" i="7"/>
  <c r="BA94" i="7" s="1"/>
  <c r="BU6" i="7"/>
  <c r="BN80" i="7"/>
  <c r="DJ111" i="7" l="1"/>
  <c r="CG27" i="7"/>
  <c r="CF61" i="7"/>
  <c r="CG32" i="7"/>
  <c r="CF69" i="7"/>
  <c r="CG33" i="7"/>
  <c r="CF70" i="7"/>
  <c r="CG39" i="7"/>
  <c r="BU8" i="7"/>
  <c r="BU10" i="7" s="1"/>
  <c r="BU86" i="7"/>
  <c r="BU76" i="7"/>
  <c r="BU77" i="7"/>
  <c r="BU45" i="7"/>
  <c r="CG28" i="7"/>
  <c r="CF62" i="7"/>
  <c r="BT46" i="7"/>
  <c r="BT50" i="7"/>
  <c r="BT51" i="7" s="1"/>
  <c r="CG29" i="7"/>
  <c r="CF63" i="7"/>
  <c r="CG35" i="7"/>
  <c r="CF72" i="7"/>
  <c r="BT11" i="7"/>
  <c r="CF49" i="7"/>
  <c r="CG44" i="7"/>
  <c r="CG34" i="7"/>
  <c r="CF71" i="7"/>
  <c r="CG38" i="7"/>
  <c r="CF75" i="7"/>
  <c r="CG40" i="7"/>
  <c r="CG36" i="7"/>
  <c r="CF73" i="7"/>
  <c r="BU9" i="7"/>
  <c r="BR64" i="7"/>
  <c r="BQ52" i="7"/>
  <c r="BQ58" i="7" s="1"/>
  <c r="BQ53" i="7"/>
  <c r="BQ54" i="7"/>
  <c r="BS169" i="7"/>
  <c r="BU150" i="7"/>
  <c r="BU109" i="7" s="1"/>
  <c r="BN82" i="7"/>
  <c r="BP59" i="7"/>
  <c r="BT171" i="7"/>
  <c r="BV5" i="7"/>
  <c r="BP66" i="7"/>
  <c r="BT174" i="7"/>
  <c r="BO80" i="7"/>
  <c r="BU144" i="7"/>
  <c r="BU146" i="7" s="1"/>
  <c r="BA95" i="7"/>
  <c r="BB81" i="7"/>
  <c r="BB94" i="7" s="1"/>
  <c r="BR54" i="7"/>
  <c r="BR53" i="7"/>
  <c r="BR57" i="7"/>
  <c r="BR52" i="7"/>
  <c r="BR58" i="7" s="1"/>
  <c r="BT87" i="7"/>
  <c r="BV6" i="7"/>
  <c r="CH40" i="7" l="1"/>
  <c r="CH39" i="7"/>
  <c r="CH29" i="7"/>
  <c r="CG63" i="7"/>
  <c r="CH38" i="7"/>
  <c r="CG75" i="7"/>
  <c r="CH33" i="7"/>
  <c r="CG70" i="7"/>
  <c r="CH34" i="7"/>
  <c r="CG71" i="7"/>
  <c r="CH28" i="7"/>
  <c r="CG62" i="7"/>
  <c r="BU11" i="7"/>
  <c r="BU50" i="7"/>
  <c r="BU51" i="7" s="1"/>
  <c r="BU46" i="7"/>
  <c r="BV8" i="7"/>
  <c r="BV10" i="7" s="1"/>
  <c r="BV86" i="7"/>
  <c r="BV77" i="7"/>
  <c r="BV45" i="7"/>
  <c r="BV76" i="7"/>
  <c r="CH36" i="7"/>
  <c r="CG73" i="7"/>
  <c r="CH35" i="7"/>
  <c r="CG72" i="7"/>
  <c r="CH32" i="7"/>
  <c r="CG69" i="7"/>
  <c r="CH27" i="7"/>
  <c r="CG61" i="7"/>
  <c r="CG49" i="7"/>
  <c r="CH44" i="7"/>
  <c r="BV9" i="7"/>
  <c r="BS64" i="7"/>
  <c r="BT170" i="7"/>
  <c r="BS56" i="7"/>
  <c r="BS57" i="7" s="1"/>
  <c r="BQ55" i="7"/>
  <c r="BT56" i="7"/>
  <c r="BT169" i="7"/>
  <c r="BT172" i="7"/>
  <c r="BS170" i="7"/>
  <c r="BV150" i="7"/>
  <c r="BV109" i="7" s="1"/>
  <c r="BO82" i="7"/>
  <c r="BU170" i="7"/>
  <c r="BW5" i="7"/>
  <c r="BP80" i="7"/>
  <c r="BA96" i="7"/>
  <c r="BA98" i="7" s="1"/>
  <c r="BU174" i="7"/>
  <c r="BC81" i="7"/>
  <c r="BV144" i="7"/>
  <c r="BV146" i="7" s="1"/>
  <c r="BB95" i="7"/>
  <c r="BB96" i="7" s="1"/>
  <c r="BB98" i="7" s="1"/>
  <c r="BU87" i="7"/>
  <c r="BW6" i="7"/>
  <c r="BR55" i="7"/>
  <c r="BR74" i="7" s="1"/>
  <c r="BR78" i="7" s="1"/>
  <c r="DK111" i="7" l="1"/>
  <c r="BV50" i="7"/>
  <c r="BV51" i="7" s="1"/>
  <c r="BV46" i="7"/>
  <c r="CH49" i="7"/>
  <c r="CI44" i="7"/>
  <c r="CI38" i="7"/>
  <c r="CH75" i="7"/>
  <c r="CI29" i="7"/>
  <c r="CH63" i="7"/>
  <c r="CI32" i="7"/>
  <c r="CH69" i="7"/>
  <c r="CI39" i="7"/>
  <c r="CI28" i="7"/>
  <c r="CH62" i="7"/>
  <c r="BW8" i="7"/>
  <c r="BW9" i="7" s="1"/>
  <c r="BW86" i="7"/>
  <c r="BW45" i="7"/>
  <c r="BW76" i="7"/>
  <c r="BW77" i="7"/>
  <c r="CI33" i="7"/>
  <c r="CH70" i="7"/>
  <c r="CI27" i="7"/>
  <c r="CH61" i="7"/>
  <c r="BQ59" i="7"/>
  <c r="BQ74" i="7"/>
  <c r="BQ78" i="7" s="1"/>
  <c r="CI35" i="7"/>
  <c r="CH72" i="7"/>
  <c r="CI40" i="7"/>
  <c r="BV11" i="7"/>
  <c r="CI36" i="7"/>
  <c r="CH73" i="7"/>
  <c r="CI34" i="7"/>
  <c r="CH71" i="7"/>
  <c r="BW11" i="7"/>
  <c r="BS54" i="7"/>
  <c r="BS52" i="7"/>
  <c r="BS58" i="7" s="1"/>
  <c r="BS53" i="7"/>
  <c r="BQ66" i="7"/>
  <c r="BT64" i="7"/>
  <c r="BC94" i="7"/>
  <c r="BC95" i="7" s="1"/>
  <c r="BC96" i="7" s="1"/>
  <c r="BC98" i="7" s="1"/>
  <c r="BU169" i="7"/>
  <c r="BU172" i="7"/>
  <c r="BW150" i="7"/>
  <c r="BW109" i="7" s="1"/>
  <c r="BP82" i="7"/>
  <c r="BR59" i="7"/>
  <c r="BD81" i="7"/>
  <c r="BV172" i="7"/>
  <c r="BV170" i="7"/>
  <c r="BX5" i="7"/>
  <c r="BV174" i="7"/>
  <c r="BW144" i="7"/>
  <c r="BW146" i="7" s="1"/>
  <c r="BV87" i="7"/>
  <c r="BR66" i="7"/>
  <c r="BX6" i="7"/>
  <c r="BT54" i="7"/>
  <c r="BT52" i="7"/>
  <c r="BT58" i="7" s="1"/>
  <c r="BT53" i="7"/>
  <c r="BT57" i="7"/>
  <c r="CJ33" i="7" l="1"/>
  <c r="CI70" i="7"/>
  <c r="BX8" i="7"/>
  <c r="BX10" i="7" s="1"/>
  <c r="BX86" i="7"/>
  <c r="BX76" i="7"/>
  <c r="BX45" i="7"/>
  <c r="BX77" i="7"/>
  <c r="CJ40" i="7"/>
  <c r="BW46" i="7"/>
  <c r="BW50" i="7"/>
  <c r="BW51" i="7" s="1"/>
  <c r="CJ35" i="7"/>
  <c r="CI72" i="7"/>
  <c r="CI49" i="7"/>
  <c r="CJ44" i="7"/>
  <c r="CJ28" i="7"/>
  <c r="CI62" i="7"/>
  <c r="CJ27" i="7"/>
  <c r="CI61" i="7"/>
  <c r="CJ36" i="7"/>
  <c r="CI73" i="7"/>
  <c r="CJ32" i="7"/>
  <c r="CI69" i="7"/>
  <c r="CJ29" i="7"/>
  <c r="CI63" i="7"/>
  <c r="CJ38" i="7"/>
  <c r="CI75" i="7"/>
  <c r="BW10" i="7"/>
  <c r="CJ34" i="7"/>
  <c r="CI71" i="7"/>
  <c r="CJ39" i="7"/>
  <c r="BX9" i="7"/>
  <c r="BS55" i="7"/>
  <c r="BS59" i="7" s="1"/>
  <c r="BQ80" i="7"/>
  <c r="BE81" i="7" s="1"/>
  <c r="BU64" i="7"/>
  <c r="BV56" i="7"/>
  <c r="BU56" i="7"/>
  <c r="BU57" i="7" s="1"/>
  <c r="BD94" i="7"/>
  <c r="BD95" i="7" s="1"/>
  <c r="BD96" i="7" s="1"/>
  <c r="BD98" i="7" s="1"/>
  <c r="BV171" i="7"/>
  <c r="BU171" i="7"/>
  <c r="BX150" i="7"/>
  <c r="BX109" i="7" s="1"/>
  <c r="BW171" i="7"/>
  <c r="BY5" i="7"/>
  <c r="BW174" i="7"/>
  <c r="BR80" i="7"/>
  <c r="BX144" i="7"/>
  <c r="BX146" i="7" s="1"/>
  <c r="BW87" i="7"/>
  <c r="BT55" i="7"/>
  <c r="BT74" i="7" s="1"/>
  <c r="BT78" i="7" s="1"/>
  <c r="BY6" i="7"/>
  <c r="BU52" i="7"/>
  <c r="BU58" i="7" s="1"/>
  <c r="DL111" i="7" l="1"/>
  <c r="CK32" i="7"/>
  <c r="CJ69" i="7"/>
  <c r="CK39" i="7"/>
  <c r="CK40" i="7"/>
  <c r="CK34" i="7"/>
  <c r="CJ71" i="7"/>
  <c r="CK36" i="7"/>
  <c r="CJ73" i="7"/>
  <c r="CK27" i="7"/>
  <c r="CJ61" i="7"/>
  <c r="BX50" i="7"/>
  <c r="BX51" i="7" s="1"/>
  <c r="BX46" i="7"/>
  <c r="CK28" i="7"/>
  <c r="CJ62" i="7"/>
  <c r="CJ49" i="7"/>
  <c r="CK44" i="7"/>
  <c r="CK38" i="7"/>
  <c r="CJ75" i="7"/>
  <c r="BS66" i="7"/>
  <c r="BS74" i="7"/>
  <c r="BS78" i="7" s="1"/>
  <c r="BY8" i="7"/>
  <c r="BY86" i="7"/>
  <c r="BY45" i="7"/>
  <c r="BY77" i="7"/>
  <c r="BY76" i="7"/>
  <c r="BX11" i="7"/>
  <c r="CK29" i="7"/>
  <c r="CJ63" i="7"/>
  <c r="CK33" i="7"/>
  <c r="CJ70" i="7"/>
  <c r="CK35" i="7"/>
  <c r="CJ72" i="7"/>
  <c r="BY9" i="7"/>
  <c r="BY10" i="7"/>
  <c r="BY11" i="7"/>
  <c r="BQ82" i="7"/>
  <c r="BU53" i="7"/>
  <c r="BV64" i="7"/>
  <c r="BW56" i="7"/>
  <c r="BU54" i="7"/>
  <c r="BE94" i="7"/>
  <c r="BE95" i="7" s="1"/>
  <c r="BE96" i="7" s="1"/>
  <c r="BE98" i="7" s="1"/>
  <c r="BV169" i="7"/>
  <c r="BW169" i="7"/>
  <c r="BW172" i="7"/>
  <c r="BW170" i="7"/>
  <c r="BY150" i="7"/>
  <c r="BY109" i="7" s="1"/>
  <c r="BR82" i="7"/>
  <c r="BT59" i="7"/>
  <c r="BX170" i="7"/>
  <c r="BZ5" i="7"/>
  <c r="BX174" i="7"/>
  <c r="BY144" i="7"/>
  <c r="BY146" i="7" s="1"/>
  <c r="BF81" i="7"/>
  <c r="BF94" i="7" s="1"/>
  <c r="BT66" i="7"/>
  <c r="BV53" i="7"/>
  <c r="BV54" i="7"/>
  <c r="BV57" i="7"/>
  <c r="BV52" i="7"/>
  <c r="BV58" i="7" s="1"/>
  <c r="BZ6" i="7"/>
  <c r="BX87" i="7"/>
  <c r="BS80" i="7" l="1"/>
  <c r="DM111" i="7"/>
  <c r="CL27" i="7"/>
  <c r="CK61" i="7"/>
  <c r="CL36" i="7"/>
  <c r="CK73" i="7"/>
  <c r="CL38" i="7"/>
  <c r="CK75" i="7"/>
  <c r="BZ8" i="7"/>
  <c r="BZ10" i="7" s="1"/>
  <c r="BZ86" i="7"/>
  <c r="BZ174" i="7" s="1"/>
  <c r="BZ76" i="7"/>
  <c r="BZ77" i="7"/>
  <c r="BZ45" i="7"/>
  <c r="CL29" i="7"/>
  <c r="CK63" i="7"/>
  <c r="CL34" i="7"/>
  <c r="CK71" i="7"/>
  <c r="CL28" i="7"/>
  <c r="CK62" i="7"/>
  <c r="CL35" i="7"/>
  <c r="CK72" i="7"/>
  <c r="CL33" i="7"/>
  <c r="CK70" i="7"/>
  <c r="CK49" i="7"/>
  <c r="CL44" i="7"/>
  <c r="CL40" i="7"/>
  <c r="BY50" i="7"/>
  <c r="BY51" i="7" s="1"/>
  <c r="BY46" i="7"/>
  <c r="CL39" i="7"/>
  <c r="CL32" i="7"/>
  <c r="CK69" i="7"/>
  <c r="BZ9" i="7"/>
  <c r="BZ11" i="7"/>
  <c r="BU55" i="7"/>
  <c r="BU74" i="7" s="1"/>
  <c r="BU78" i="7" s="1"/>
  <c r="BW64" i="7"/>
  <c r="BX56" i="7"/>
  <c r="BX57" i="7" s="1"/>
  <c r="BX172" i="7"/>
  <c r="BX169" i="7"/>
  <c r="BX171" i="7"/>
  <c r="BZ150" i="7"/>
  <c r="BZ109" i="7" s="1"/>
  <c r="BS82" i="7"/>
  <c r="BG81" i="7"/>
  <c r="CA5" i="7"/>
  <c r="BY172" i="7"/>
  <c r="BY171" i="7"/>
  <c r="BY170" i="7"/>
  <c r="BY174" i="7"/>
  <c r="BT80" i="7"/>
  <c r="BF95" i="7"/>
  <c r="BZ144" i="7"/>
  <c r="BZ146" i="7" s="1"/>
  <c r="BW53" i="7"/>
  <c r="BW54" i="7"/>
  <c r="BW57" i="7"/>
  <c r="BW52" i="7"/>
  <c r="BW58" i="7" s="1"/>
  <c r="BY87" i="7"/>
  <c r="CA6" i="7"/>
  <c r="BV55" i="7"/>
  <c r="BV74" i="7" s="1"/>
  <c r="BV78" i="7" s="1"/>
  <c r="BU59" i="7" l="1"/>
  <c r="DN111" i="7"/>
  <c r="CM29" i="7"/>
  <c r="CL63" i="7"/>
  <c r="BZ50" i="7"/>
  <c r="BZ51" i="7" s="1"/>
  <c r="BZ46" i="7"/>
  <c r="CM32" i="7"/>
  <c r="CL69" i="7"/>
  <c r="CM33" i="7"/>
  <c r="CL70" i="7"/>
  <c r="BU66" i="7"/>
  <c r="BU80" i="7" s="1"/>
  <c r="CM39" i="7"/>
  <c r="CM35" i="7"/>
  <c r="CL72" i="7"/>
  <c r="CM28" i="7"/>
  <c r="CL62" i="7"/>
  <c r="CM38" i="7"/>
  <c r="CL75" i="7"/>
  <c r="CM40" i="7"/>
  <c r="CL49" i="7"/>
  <c r="CM44" i="7"/>
  <c r="CM36" i="7"/>
  <c r="CL73" i="7"/>
  <c r="CM34" i="7"/>
  <c r="CL71" i="7"/>
  <c r="CA8" i="7"/>
  <c r="CA86" i="7"/>
  <c r="CA77" i="7"/>
  <c r="CA45" i="7"/>
  <c r="CA76" i="7"/>
  <c r="CM27" i="7"/>
  <c r="CL61" i="7"/>
  <c r="CA9" i="7"/>
  <c r="CA10" i="7"/>
  <c r="CA11" i="7"/>
  <c r="BX64" i="7"/>
  <c r="BY64" i="7"/>
  <c r="BG94" i="7"/>
  <c r="BG95" i="7" s="1"/>
  <c r="BG96" i="7" s="1"/>
  <c r="BG98" i="7" s="1"/>
  <c r="BY169" i="7"/>
  <c r="CA150" i="7"/>
  <c r="CA109" i="7" s="1"/>
  <c r="BT82" i="7"/>
  <c r="BV59" i="7"/>
  <c r="BY56" i="7"/>
  <c r="BZ171" i="7"/>
  <c r="BZ172" i="7"/>
  <c r="BZ170" i="7"/>
  <c r="CB5" i="7"/>
  <c r="BX52" i="7"/>
  <c r="BX58" i="7" s="1"/>
  <c r="BX53" i="7"/>
  <c r="BF96" i="7"/>
  <c r="BF98" i="7" s="1"/>
  <c r="BX54" i="7"/>
  <c r="CA144" i="7"/>
  <c r="CA146" i="7" s="1"/>
  <c r="BZ87" i="7"/>
  <c r="BH81" i="7"/>
  <c r="BH94" i="7" s="1"/>
  <c r="BW55" i="7"/>
  <c r="BW74" i="7" s="1"/>
  <c r="BW78" i="7" s="1"/>
  <c r="BV66" i="7"/>
  <c r="CB6" i="7"/>
  <c r="CN39" i="7" l="1"/>
  <c r="CN27" i="7"/>
  <c r="CM61" i="7"/>
  <c r="CM49" i="7"/>
  <c r="CN44" i="7"/>
  <c r="CA50" i="7"/>
  <c r="CA51" i="7" s="1"/>
  <c r="CA46" i="7"/>
  <c r="CN33" i="7"/>
  <c r="CM70" i="7"/>
  <c r="CN40" i="7"/>
  <c r="CN32" i="7"/>
  <c r="CM69" i="7"/>
  <c r="CN38" i="7"/>
  <c r="CM75" i="7"/>
  <c r="CN34" i="7"/>
  <c r="CM71" i="7"/>
  <c r="CN28" i="7"/>
  <c r="CM62" i="7"/>
  <c r="CB8" i="7"/>
  <c r="CB86" i="7"/>
  <c r="CB76" i="7"/>
  <c r="CB45" i="7"/>
  <c r="CB77" i="7"/>
  <c r="CN36" i="7"/>
  <c r="CM73" i="7"/>
  <c r="CN35" i="7"/>
  <c r="CM72" i="7"/>
  <c r="CN29" i="7"/>
  <c r="CM63" i="7"/>
  <c r="CB9" i="7"/>
  <c r="CB10" i="7"/>
  <c r="CB11" i="7"/>
  <c r="BZ169" i="7"/>
  <c r="CB150" i="7"/>
  <c r="CB109" i="7" s="1"/>
  <c r="BU82" i="7"/>
  <c r="BW59" i="7"/>
  <c r="BZ56" i="7"/>
  <c r="CA170" i="7"/>
  <c r="CA172" i="7"/>
  <c r="CA171" i="7"/>
  <c r="CC5" i="7"/>
  <c r="BX55" i="7"/>
  <c r="BX74" i="7" s="1"/>
  <c r="BX78" i="7" s="1"/>
  <c r="CA174" i="7"/>
  <c r="BV80" i="7"/>
  <c r="CA87" i="7"/>
  <c r="CB144" i="7"/>
  <c r="CB146" i="7" s="1"/>
  <c r="BW66" i="7"/>
  <c r="BH95" i="7"/>
  <c r="BI81" i="7"/>
  <c r="BI94" i="7" s="1"/>
  <c r="BY57" i="7"/>
  <c r="BY54" i="7"/>
  <c r="BY53" i="7"/>
  <c r="BY52" i="7"/>
  <c r="BY58" i="7" s="1"/>
  <c r="CC6" i="7"/>
  <c r="DO111" i="7" l="1"/>
  <c r="CO28" i="7"/>
  <c r="CN62" i="7"/>
  <c r="CO29" i="7"/>
  <c r="CN63" i="7"/>
  <c r="CO34" i="7"/>
  <c r="CN71" i="7"/>
  <c r="CO35" i="7"/>
  <c r="CN72" i="7"/>
  <c r="CN49" i="7"/>
  <c r="CO44" i="7"/>
  <c r="CO36" i="7"/>
  <c r="CN73" i="7"/>
  <c r="CB46" i="7"/>
  <c r="CB50" i="7"/>
  <c r="CB51" i="7" s="1"/>
  <c r="CO33" i="7"/>
  <c r="CN70" i="7"/>
  <c r="CC8" i="7"/>
  <c r="CC11" i="7" s="1"/>
  <c r="CC86" i="7"/>
  <c r="CC77" i="7"/>
  <c r="CC45" i="7"/>
  <c r="CC76" i="7"/>
  <c r="CO38" i="7"/>
  <c r="CN75" i="7"/>
  <c r="CO32" i="7"/>
  <c r="CN69" i="7"/>
  <c r="CO27" i="7"/>
  <c r="CN61" i="7"/>
  <c r="CO40" i="7"/>
  <c r="CO39" i="7"/>
  <c r="CC9" i="7"/>
  <c r="CC10" i="7"/>
  <c r="BZ64" i="7"/>
  <c r="CA169" i="7"/>
  <c r="CC150" i="7"/>
  <c r="CC109" i="7" s="1"/>
  <c r="BV82" i="7"/>
  <c r="BX59" i="7"/>
  <c r="CA64" i="7"/>
  <c r="CA56" i="7"/>
  <c r="CB170" i="7"/>
  <c r="CB171" i="7"/>
  <c r="CB172" i="7"/>
  <c r="CD5" i="7"/>
  <c r="BX66" i="7"/>
  <c r="BH96" i="7"/>
  <c r="BH98" i="7" s="1"/>
  <c r="CB174" i="7"/>
  <c r="BW80" i="7"/>
  <c r="CC144" i="7"/>
  <c r="CC146" i="7" s="1"/>
  <c r="BJ81" i="7"/>
  <c r="BJ94" i="7" s="1"/>
  <c r="CB87" i="7"/>
  <c r="BI95" i="7"/>
  <c r="BI96" i="7" s="1"/>
  <c r="BI98" i="7" s="1"/>
  <c r="CD6" i="7"/>
  <c r="BZ54" i="7"/>
  <c r="BZ57" i="7"/>
  <c r="BZ52" i="7"/>
  <c r="BZ58" i="7" s="1"/>
  <c r="BZ53" i="7"/>
  <c r="BY55" i="7"/>
  <c r="BY74" i="7" s="1"/>
  <c r="BY78" i="7" s="1"/>
  <c r="CD8" i="7" l="1"/>
  <c r="CD86" i="7"/>
  <c r="CD77" i="7"/>
  <c r="CD45" i="7"/>
  <c r="CD76" i="7"/>
  <c r="CP36" i="7"/>
  <c r="CO73" i="7"/>
  <c r="CC50" i="7"/>
  <c r="CC51" i="7" s="1"/>
  <c r="CC46" i="7"/>
  <c r="CP40" i="7"/>
  <c r="CP35" i="7"/>
  <c r="CO72" i="7"/>
  <c r="CP34" i="7"/>
  <c r="CO71" i="7"/>
  <c r="CP29" i="7"/>
  <c r="CO63" i="7"/>
  <c r="CP38" i="7"/>
  <c r="CO75" i="7"/>
  <c r="CO49" i="7"/>
  <c r="CP44" i="7"/>
  <c r="CP39" i="7"/>
  <c r="CP27" i="7"/>
  <c r="CO61" i="7"/>
  <c r="CP33" i="7"/>
  <c r="CO70" i="7"/>
  <c r="CP32" i="7"/>
  <c r="CO69" i="7"/>
  <c r="CP28" i="7"/>
  <c r="CO62" i="7"/>
  <c r="CD9" i="7"/>
  <c r="CD10" i="7"/>
  <c r="CD11" i="7"/>
  <c r="CB169" i="7"/>
  <c r="CD150" i="7"/>
  <c r="CD109" i="7" s="1"/>
  <c r="BW82" i="7"/>
  <c r="BY59" i="7"/>
  <c r="CB64" i="7"/>
  <c r="CA54" i="7"/>
  <c r="CB56" i="7"/>
  <c r="CE5" i="7"/>
  <c r="BX80" i="7"/>
  <c r="CC174" i="7"/>
  <c r="BK81" i="7"/>
  <c r="CA52" i="7"/>
  <c r="CA58" i="7" s="1"/>
  <c r="CA57" i="7"/>
  <c r="CA53" i="7"/>
  <c r="CD144" i="7"/>
  <c r="CD146" i="7" s="1"/>
  <c r="BJ95" i="7"/>
  <c r="CC87" i="7"/>
  <c r="BZ55" i="7"/>
  <c r="BZ74" i="7" s="1"/>
  <c r="BZ78" i="7" s="1"/>
  <c r="CE6" i="7"/>
  <c r="BY66" i="7"/>
  <c r="DP111" i="7" l="1"/>
  <c r="CQ35" i="7"/>
  <c r="CP72" i="7"/>
  <c r="CP49" i="7"/>
  <c r="CQ44" i="7"/>
  <c r="CE8" i="7"/>
  <c r="CE10" i="7" s="1"/>
  <c r="CE86" i="7"/>
  <c r="CE45" i="7"/>
  <c r="CE76" i="7"/>
  <c r="CE77" i="7"/>
  <c r="CQ32" i="7"/>
  <c r="CP69" i="7"/>
  <c r="CQ38" i="7"/>
  <c r="CP75" i="7"/>
  <c r="CQ33" i="7"/>
  <c r="CP70" i="7"/>
  <c r="CQ29" i="7"/>
  <c r="CP63" i="7"/>
  <c r="CD50" i="7"/>
  <c r="CD51" i="7" s="1"/>
  <c r="CD46" i="7"/>
  <c r="CQ27" i="7"/>
  <c r="CP61" i="7"/>
  <c r="CQ34" i="7"/>
  <c r="CP71" i="7"/>
  <c r="CQ39" i="7"/>
  <c r="CQ28" i="7"/>
  <c r="CP62" i="7"/>
  <c r="CQ40" i="7"/>
  <c r="CQ36" i="7"/>
  <c r="CP73" i="7"/>
  <c r="CE9" i="7"/>
  <c r="BK94" i="7"/>
  <c r="BK95" i="7" s="1"/>
  <c r="BK96" i="7" s="1"/>
  <c r="BK98" i="7" s="1"/>
  <c r="CC56" i="7"/>
  <c r="CC172" i="7"/>
  <c r="CE150" i="7"/>
  <c r="CE109" i="7" s="1"/>
  <c r="BX82" i="7"/>
  <c r="BZ59" i="7"/>
  <c r="BL81" i="7"/>
  <c r="CD171" i="7"/>
  <c r="CF5" i="7"/>
  <c r="BJ96" i="7"/>
  <c r="BJ98" i="7" s="1"/>
  <c r="BY80" i="7"/>
  <c r="CD174" i="7"/>
  <c r="CA55" i="7"/>
  <c r="CA74" i="7" s="1"/>
  <c r="CA78" i="7" s="1"/>
  <c r="BZ66" i="7"/>
  <c r="CE144" i="7"/>
  <c r="CE146" i="7" s="1"/>
  <c r="CD87" i="7"/>
  <c r="CF6" i="7"/>
  <c r="CB53" i="7"/>
  <c r="CB57" i="7"/>
  <c r="CB52" i="7"/>
  <c r="CB58" i="7" s="1"/>
  <c r="CB54" i="7"/>
  <c r="CF8" i="7" l="1"/>
  <c r="CF86" i="7"/>
  <c r="CF45" i="7"/>
  <c r="CF76" i="7"/>
  <c r="CF77" i="7"/>
  <c r="CR27" i="7"/>
  <c r="CQ61" i="7"/>
  <c r="CR36" i="7"/>
  <c r="CQ73" i="7"/>
  <c r="CE46" i="7"/>
  <c r="CE50" i="7"/>
  <c r="CR29" i="7"/>
  <c r="CQ63" i="7"/>
  <c r="CR28" i="7"/>
  <c r="CQ62" i="7"/>
  <c r="CR33" i="7"/>
  <c r="CQ70" i="7"/>
  <c r="CR39" i="7"/>
  <c r="CR38" i="7"/>
  <c r="CQ75" i="7"/>
  <c r="CE11" i="7"/>
  <c r="CR40" i="7"/>
  <c r="CQ49" i="7"/>
  <c r="CR44" i="7"/>
  <c r="CR34" i="7"/>
  <c r="CQ71" i="7"/>
  <c r="CR32" i="7"/>
  <c r="CQ69" i="7"/>
  <c r="CR35" i="7"/>
  <c r="CQ72" i="7"/>
  <c r="CF9" i="7"/>
  <c r="CF10" i="7"/>
  <c r="CF11" i="7"/>
  <c r="BL94" i="7"/>
  <c r="BL95" i="7" s="1"/>
  <c r="BL96" i="7" s="1"/>
  <c r="BL98" i="7" s="1"/>
  <c r="CC64" i="7"/>
  <c r="CD170" i="7"/>
  <c r="CC169" i="7"/>
  <c r="CD169" i="7"/>
  <c r="CC170" i="7"/>
  <c r="CC171" i="7"/>
  <c r="CD172" i="7"/>
  <c r="CF150" i="7"/>
  <c r="CF109" i="7" s="1"/>
  <c r="BY82" i="7"/>
  <c r="CA59" i="7"/>
  <c r="CE170" i="7"/>
  <c r="CE172" i="7"/>
  <c r="CG5" i="7"/>
  <c r="BZ80" i="7"/>
  <c r="CE174" i="7"/>
  <c r="CA66" i="7"/>
  <c r="CF144" i="7"/>
  <c r="CF146" i="7" s="1"/>
  <c r="BM81" i="7"/>
  <c r="BM94" i="7" s="1"/>
  <c r="CE87" i="7"/>
  <c r="CG6" i="7"/>
  <c r="CB55" i="7"/>
  <c r="CB74" i="7" s="1"/>
  <c r="CB78" i="7" s="1"/>
  <c r="CC52" i="7"/>
  <c r="CC58" i="7" s="1"/>
  <c r="CC57" i="7"/>
  <c r="CC54" i="7"/>
  <c r="CC53" i="7"/>
  <c r="CE51" i="7" l="1"/>
  <c r="DQ111" i="7"/>
  <c r="CS29" i="7"/>
  <c r="CR63" i="7"/>
  <c r="CS35" i="7"/>
  <c r="CR72" i="7"/>
  <c r="CS38" i="7"/>
  <c r="CR75" i="7"/>
  <c r="CS32" i="7"/>
  <c r="CR69" i="7"/>
  <c r="CS36" i="7"/>
  <c r="CR73" i="7"/>
  <c r="CS39" i="7"/>
  <c r="CS34" i="7"/>
  <c r="CR71" i="7"/>
  <c r="CS27" i="7"/>
  <c r="CR61" i="7"/>
  <c r="CR49" i="7"/>
  <c r="CS44" i="7"/>
  <c r="CS33" i="7"/>
  <c r="CR70" i="7"/>
  <c r="CG8" i="7"/>
  <c r="CG10" i="7" s="1"/>
  <c r="CG86" i="7"/>
  <c r="CG76" i="7"/>
  <c r="CG45" i="7"/>
  <c r="CG77" i="7"/>
  <c r="CS28" i="7"/>
  <c r="CR62" i="7"/>
  <c r="CF46" i="7"/>
  <c r="CF50" i="7"/>
  <c r="CF51" i="7" s="1"/>
  <c r="CS40" i="7"/>
  <c r="CG9" i="7"/>
  <c r="CD56" i="7"/>
  <c r="CD57" i="7" s="1"/>
  <c r="CD64" i="7"/>
  <c r="CE169" i="7"/>
  <c r="CG150" i="7"/>
  <c r="CG109" i="7" s="1"/>
  <c r="BZ82" i="7"/>
  <c r="CB59" i="7"/>
  <c r="BN81" i="7"/>
  <c r="CE56" i="7"/>
  <c r="CF172" i="7"/>
  <c r="CH5" i="7"/>
  <c r="CF174" i="7"/>
  <c r="CA80" i="7"/>
  <c r="CG144" i="7"/>
  <c r="CG146" i="7" s="1"/>
  <c r="CC55" i="7"/>
  <c r="CC74" i="7" s="1"/>
  <c r="CC78" i="7" s="1"/>
  <c r="CF87" i="7"/>
  <c r="BM95" i="7"/>
  <c r="CB66" i="7"/>
  <c r="CH6" i="7"/>
  <c r="CG174" i="7"/>
  <c r="CS49" i="7" l="1"/>
  <c r="CT44" i="7"/>
  <c r="CH8" i="7"/>
  <c r="CH10" i="7" s="1"/>
  <c r="CH86" i="7"/>
  <c r="CH45" i="7"/>
  <c r="CH76" i="7"/>
  <c r="CH77" i="7"/>
  <c r="CT39" i="7"/>
  <c r="CT40" i="7"/>
  <c r="CT33" i="7"/>
  <c r="CS70" i="7"/>
  <c r="CT36" i="7"/>
  <c r="CS73" i="7"/>
  <c r="CT32" i="7"/>
  <c r="CS69" i="7"/>
  <c r="CT28" i="7"/>
  <c r="CS62" i="7"/>
  <c r="CT38" i="7"/>
  <c r="CS75" i="7"/>
  <c r="CT27" i="7"/>
  <c r="CS61" i="7"/>
  <c r="CG46" i="7"/>
  <c r="CG50" i="7"/>
  <c r="CG51" i="7" s="1"/>
  <c r="CT35" i="7"/>
  <c r="CS72" i="7"/>
  <c r="CG11" i="7"/>
  <c r="CT34" i="7"/>
  <c r="CS71" i="7"/>
  <c r="CT29" i="7"/>
  <c r="CS63" i="7"/>
  <c r="CH9" i="7"/>
  <c r="CD53" i="7"/>
  <c r="CE64" i="7"/>
  <c r="CF56" i="7"/>
  <c r="CD54" i="7"/>
  <c r="BN94" i="7"/>
  <c r="BN95" i="7" s="1"/>
  <c r="BN96" i="7" s="1"/>
  <c r="BN98" i="7" s="1"/>
  <c r="CD52" i="7"/>
  <c r="CD58" i="7" s="1"/>
  <c r="CF169" i="7"/>
  <c r="CF171" i="7"/>
  <c r="CE171" i="7"/>
  <c r="CH150" i="7"/>
  <c r="CH109" i="7" s="1"/>
  <c r="CA82" i="7"/>
  <c r="CC59" i="7"/>
  <c r="CI5" i="7"/>
  <c r="CG170" i="7"/>
  <c r="BM96" i="7"/>
  <c r="BM98" i="7" s="1"/>
  <c r="CE54" i="7"/>
  <c r="BO81" i="7"/>
  <c r="CC66" i="7"/>
  <c r="CH144" i="7"/>
  <c r="CH146" i="7" s="1"/>
  <c r="CE53" i="7"/>
  <c r="CE52" i="7"/>
  <c r="CE57" i="7"/>
  <c r="CG87" i="7"/>
  <c r="CI6" i="7"/>
  <c r="CB80" i="7"/>
  <c r="CE58" i="7" l="1"/>
  <c r="DR111" i="7"/>
  <c r="CU40" i="7"/>
  <c r="CU35" i="7"/>
  <c r="CT72" i="7"/>
  <c r="CU36" i="7"/>
  <c r="CT73" i="7"/>
  <c r="CU27" i="7"/>
  <c r="CT61" i="7"/>
  <c r="CU38" i="7"/>
  <c r="CT75" i="7"/>
  <c r="CU28" i="7"/>
  <c r="CT62" i="7"/>
  <c r="CU32" i="7"/>
  <c r="CT69" i="7"/>
  <c r="CI8" i="7"/>
  <c r="CI10" i="7" s="1"/>
  <c r="CI86" i="7"/>
  <c r="CI45" i="7"/>
  <c r="CI77" i="7"/>
  <c r="CI76" i="7"/>
  <c r="CH11" i="7"/>
  <c r="CU33" i="7"/>
  <c r="CT70" i="7"/>
  <c r="CT49" i="7"/>
  <c r="CU44" i="7"/>
  <c r="CU29" i="7"/>
  <c r="CT63" i="7"/>
  <c r="CU39" i="7"/>
  <c r="CU34" i="7"/>
  <c r="CT71" i="7"/>
  <c r="CH50" i="7"/>
  <c r="CH51" i="7" s="1"/>
  <c r="CH46" i="7"/>
  <c r="CI9" i="7"/>
  <c r="CF64" i="7"/>
  <c r="CD55" i="7"/>
  <c r="BO94" i="7"/>
  <c r="BO95" i="7" s="1"/>
  <c r="BO96" i="7" s="1"/>
  <c r="BO98" i="7" s="1"/>
  <c r="CG172" i="7"/>
  <c r="CF170" i="7"/>
  <c r="CI150" i="7"/>
  <c r="CI109" i="7" s="1"/>
  <c r="CB82" i="7"/>
  <c r="CF52" i="7"/>
  <c r="CF58" i="7" s="1"/>
  <c r="CG56" i="7"/>
  <c r="CH170" i="7"/>
  <c r="CH171" i="7"/>
  <c r="CJ5" i="7"/>
  <c r="CC80" i="7"/>
  <c r="CH174" i="7"/>
  <c r="CF54" i="7"/>
  <c r="CF53" i="7"/>
  <c r="CF57" i="7"/>
  <c r="CI144" i="7"/>
  <c r="CI146" i="7" s="1"/>
  <c r="CE55" i="7"/>
  <c r="CE74" i="7" s="1"/>
  <c r="CE78" i="7" s="1"/>
  <c r="BP81" i="7"/>
  <c r="BP94" i="7" s="1"/>
  <c r="CH87" i="7"/>
  <c r="CJ6" i="7"/>
  <c r="CV28" i="7" l="1"/>
  <c r="CU62" i="7"/>
  <c r="CV38" i="7"/>
  <c r="CU75" i="7"/>
  <c r="CV27" i="7"/>
  <c r="CU61" i="7"/>
  <c r="CV39" i="7"/>
  <c r="CI46" i="7"/>
  <c r="CI50" i="7"/>
  <c r="CI51" i="7" s="1"/>
  <c r="CV36" i="7"/>
  <c r="CU73" i="7"/>
  <c r="CD59" i="7"/>
  <c r="CD74" i="7"/>
  <c r="CD78" i="7" s="1"/>
  <c r="CV29" i="7"/>
  <c r="CU63" i="7"/>
  <c r="CJ8" i="7"/>
  <c r="CJ9" i="7" s="1"/>
  <c r="CJ86" i="7"/>
  <c r="CJ77" i="7"/>
  <c r="CJ76" i="7"/>
  <c r="CJ45" i="7"/>
  <c r="CI11" i="7"/>
  <c r="CV35" i="7"/>
  <c r="CU72" i="7"/>
  <c r="CU49" i="7"/>
  <c r="CV44" i="7"/>
  <c r="CV32" i="7"/>
  <c r="CU69" i="7"/>
  <c r="CV33" i="7"/>
  <c r="CU70" i="7"/>
  <c r="CV34" i="7"/>
  <c r="CU71" i="7"/>
  <c r="CV40" i="7"/>
  <c r="CG64" i="7"/>
  <c r="CH172" i="7"/>
  <c r="CD66" i="7"/>
  <c r="CH169" i="7"/>
  <c r="CG169" i="7"/>
  <c r="CG171" i="7"/>
  <c r="CJ150" i="7"/>
  <c r="CJ109" i="7" s="1"/>
  <c r="CC82" i="7"/>
  <c r="CE59" i="7"/>
  <c r="CH64" i="7"/>
  <c r="CH56" i="7"/>
  <c r="CK5" i="7"/>
  <c r="CI172" i="7"/>
  <c r="BQ81" i="7"/>
  <c r="CI174" i="7"/>
  <c r="CF55" i="7"/>
  <c r="CF74" i="7" s="1"/>
  <c r="CF78" i="7" s="1"/>
  <c r="CE66" i="7"/>
  <c r="CJ144" i="7"/>
  <c r="CJ146" i="7" s="1"/>
  <c r="CI87" i="7"/>
  <c r="BP95" i="7"/>
  <c r="BP96" i="7" s="1"/>
  <c r="BP98" i="7" s="1"/>
  <c r="CK6" i="7"/>
  <c r="CG53" i="7"/>
  <c r="CG54" i="7"/>
  <c r="CG52" i="7"/>
  <c r="CG58" i="7" s="1"/>
  <c r="CG57" i="7"/>
  <c r="DS111" i="7" l="1"/>
  <c r="DT111" i="7"/>
  <c r="CW35" i="7"/>
  <c r="CV72" i="7"/>
  <c r="CK8" i="7"/>
  <c r="CK86" i="7"/>
  <c r="CK45" i="7"/>
  <c r="CK77" i="7"/>
  <c r="CK76" i="7"/>
  <c r="CJ11" i="7"/>
  <c r="CW36" i="7"/>
  <c r="CV73" i="7"/>
  <c r="CW34" i="7"/>
  <c r="CV71" i="7"/>
  <c r="CJ46" i="7"/>
  <c r="CJ50" i="7"/>
  <c r="CJ51" i="7" s="1"/>
  <c r="CW27" i="7"/>
  <c r="CV61" i="7"/>
  <c r="CV49" i="7"/>
  <c r="CW44" i="7"/>
  <c r="CW40" i="7"/>
  <c r="CW33" i="7"/>
  <c r="CV70" i="7"/>
  <c r="CW39" i="7"/>
  <c r="CW32" i="7"/>
  <c r="CV69" i="7"/>
  <c r="CJ10" i="7"/>
  <c r="CW29" i="7"/>
  <c r="CV63" i="7"/>
  <c r="CW38" i="7"/>
  <c r="CV75" i="7"/>
  <c r="CW28" i="7"/>
  <c r="CV62" i="7"/>
  <c r="CK9" i="7"/>
  <c r="CK10" i="7"/>
  <c r="CK11" i="7"/>
  <c r="CD80" i="7"/>
  <c r="CD82" i="7" s="1"/>
  <c r="BQ94" i="7"/>
  <c r="BQ95" i="7" s="1"/>
  <c r="BQ96" i="7" s="1"/>
  <c r="BQ98" i="7" s="1"/>
  <c r="CI169" i="7"/>
  <c r="CK150" i="7"/>
  <c r="CK109" i="7" s="1"/>
  <c r="CF59" i="7"/>
  <c r="CJ172" i="7"/>
  <c r="CL5" i="7"/>
  <c r="CJ174" i="7"/>
  <c r="CE80" i="7"/>
  <c r="CF66" i="7"/>
  <c r="CK144" i="7"/>
  <c r="CK146" i="7" s="1"/>
  <c r="CJ87" i="7"/>
  <c r="CG55" i="7"/>
  <c r="CG74" i="7" s="1"/>
  <c r="CG78" i="7" s="1"/>
  <c r="CH57" i="7"/>
  <c r="CH53" i="7"/>
  <c r="CH52" i="7"/>
  <c r="CH58" i="7" s="1"/>
  <c r="CH54" i="7"/>
  <c r="CL6" i="7"/>
  <c r="CX29" i="7" l="1"/>
  <c r="CW63" i="7"/>
  <c r="CK50" i="7"/>
  <c r="CK51" i="7" s="1"/>
  <c r="CK46" i="7"/>
  <c r="CX27" i="7"/>
  <c r="CW61" i="7"/>
  <c r="CX34" i="7"/>
  <c r="CW71" i="7"/>
  <c r="CX33" i="7"/>
  <c r="CW70" i="7"/>
  <c r="CX36" i="7"/>
  <c r="CW73" i="7"/>
  <c r="CX38" i="7"/>
  <c r="CW75" i="7"/>
  <c r="CX32" i="7"/>
  <c r="CW69" i="7"/>
  <c r="CX28" i="7"/>
  <c r="CW62" i="7"/>
  <c r="CL8" i="7"/>
  <c r="CL11" i="7" s="1"/>
  <c r="CL86" i="7"/>
  <c r="CL76" i="7"/>
  <c r="CL45" i="7"/>
  <c r="CL77" i="7"/>
  <c r="CX40" i="7"/>
  <c r="CW49" i="7"/>
  <c r="CX44" i="7"/>
  <c r="CX39" i="7"/>
  <c r="CX35" i="7"/>
  <c r="CW72" i="7"/>
  <c r="CL9" i="7"/>
  <c r="CL10" i="7"/>
  <c r="BR81" i="7"/>
  <c r="BR94" i="7" s="1"/>
  <c r="BR95" i="7" s="1"/>
  <c r="CJ170" i="7"/>
  <c r="CJ171" i="7"/>
  <c r="CJ169" i="7"/>
  <c r="CI64" i="7"/>
  <c r="CI56" i="7"/>
  <c r="CI57" i="7" s="1"/>
  <c r="CI171" i="7"/>
  <c r="CI170" i="7"/>
  <c r="CL150" i="7"/>
  <c r="CL109" i="7" s="1"/>
  <c r="CE82" i="7"/>
  <c r="CG59" i="7"/>
  <c r="CM5" i="7"/>
  <c r="CK170" i="7"/>
  <c r="CK172" i="7"/>
  <c r="CK174" i="7"/>
  <c r="CF80" i="7"/>
  <c r="BS81" i="7"/>
  <c r="CL144" i="7"/>
  <c r="CL146" i="7" s="1"/>
  <c r="CK87" i="7"/>
  <c r="CM6" i="7"/>
  <c r="CH55" i="7"/>
  <c r="CH74" i="7" s="1"/>
  <c r="CH78" i="7" s="1"/>
  <c r="CG66" i="7"/>
  <c r="DU111" i="7" l="1"/>
  <c r="CY34" i="7"/>
  <c r="CX71" i="7"/>
  <c r="CY39" i="7"/>
  <c r="CY28" i="7"/>
  <c r="CX62" i="7"/>
  <c r="CY27" i="7"/>
  <c r="CX61" i="7"/>
  <c r="CX49" i="7"/>
  <c r="CY44" i="7"/>
  <c r="CY32" i="7"/>
  <c r="CX69" i="7"/>
  <c r="CY33" i="7"/>
  <c r="CX70" i="7"/>
  <c r="CY35" i="7"/>
  <c r="CX72" i="7"/>
  <c r="CL50" i="7"/>
  <c r="CL51" i="7" s="1"/>
  <c r="CL46" i="7"/>
  <c r="CY38" i="7"/>
  <c r="CX75" i="7"/>
  <c r="CY40" i="7"/>
  <c r="CM8" i="7"/>
  <c r="CM11" i="7" s="1"/>
  <c r="CM86" i="7"/>
  <c r="CM77" i="7"/>
  <c r="CM76" i="7"/>
  <c r="CM45" i="7"/>
  <c r="CY36" i="7"/>
  <c r="CX73" i="7"/>
  <c r="CY29" i="7"/>
  <c r="CX63" i="7"/>
  <c r="CM9" i="7"/>
  <c r="CM10" i="7"/>
  <c r="BS94" i="7"/>
  <c r="CJ56" i="7"/>
  <c r="CJ57" i="7" s="1"/>
  <c r="CI52" i="7"/>
  <c r="CI54" i="7"/>
  <c r="CI53" i="7"/>
  <c r="CJ64" i="7"/>
  <c r="CK169" i="7"/>
  <c r="CK64" i="7"/>
  <c r="CM150" i="7"/>
  <c r="CM109" i="7" s="1"/>
  <c r="CF82" i="7"/>
  <c r="CJ53" i="7"/>
  <c r="CH59" i="7"/>
  <c r="CL170" i="7"/>
  <c r="CL172" i="7"/>
  <c r="CN5" i="7"/>
  <c r="CL174" i="7"/>
  <c r="CG80" i="7"/>
  <c r="BR96" i="7"/>
  <c r="BR98" i="7" s="1"/>
  <c r="BT81" i="7"/>
  <c r="BT94" i="7" s="1"/>
  <c r="CJ52" i="7"/>
  <c r="CJ58" i="7" s="1"/>
  <c r="CM144" i="7"/>
  <c r="CM146" i="7" s="1"/>
  <c r="CL87" i="7"/>
  <c r="CH66" i="7"/>
  <c r="CN6" i="7"/>
  <c r="CI58" i="7" l="1"/>
  <c r="BS95" i="7"/>
  <c r="BS96" i="7" s="1"/>
  <c r="BS98" i="7" s="1"/>
  <c r="DV111" i="7"/>
  <c r="CZ40" i="7"/>
  <c r="CZ27" i="7"/>
  <c r="CY61" i="7"/>
  <c r="CZ28" i="7"/>
  <c r="CY62" i="7"/>
  <c r="CY49" i="7"/>
  <c r="CZ44" i="7"/>
  <c r="CZ38" i="7"/>
  <c r="CY75" i="7"/>
  <c r="CZ29" i="7"/>
  <c r="CY63" i="7"/>
  <c r="CZ36" i="7"/>
  <c r="CY73" i="7"/>
  <c r="CZ35" i="7"/>
  <c r="CY72" i="7"/>
  <c r="CM50" i="7"/>
  <c r="CM51" i="7" s="1"/>
  <c r="CM46" i="7"/>
  <c r="CN8" i="7"/>
  <c r="CN11" i="7" s="1"/>
  <c r="CN86" i="7"/>
  <c r="CN77" i="7"/>
  <c r="CN76" i="7"/>
  <c r="CN45" i="7"/>
  <c r="CZ33" i="7"/>
  <c r="CY70" i="7"/>
  <c r="CZ39" i="7"/>
  <c r="CZ32" i="7"/>
  <c r="CY69" i="7"/>
  <c r="CZ34" i="7"/>
  <c r="CY71" i="7"/>
  <c r="CN9" i="7"/>
  <c r="CN10" i="7"/>
  <c r="CJ54" i="7"/>
  <c r="CJ55" i="7" s="1"/>
  <c r="CJ74" i="7" s="1"/>
  <c r="CJ78" i="7" s="1"/>
  <c r="CI55" i="7"/>
  <c r="CL171" i="7"/>
  <c r="CK56" i="7"/>
  <c r="CK57" i="7" s="1"/>
  <c r="CL169" i="7"/>
  <c r="CK171" i="7"/>
  <c r="CN150" i="7"/>
  <c r="CN109" i="7" s="1"/>
  <c r="CG82" i="7"/>
  <c r="CM171" i="7"/>
  <c r="CM172" i="7"/>
  <c r="CM170" i="7"/>
  <c r="CO5" i="7"/>
  <c r="CM174" i="7"/>
  <c r="BT95" i="7"/>
  <c r="BU81" i="7"/>
  <c r="CN144" i="7"/>
  <c r="CN146" i="7" s="1"/>
  <c r="CM87" i="7"/>
  <c r="CO6" i="7"/>
  <c r="CH80" i="7"/>
  <c r="DW111" i="7" l="1"/>
  <c r="DA38" i="7"/>
  <c r="CZ75" i="7"/>
  <c r="DA34" i="7"/>
  <c r="CZ71" i="7"/>
  <c r="DA32" i="7"/>
  <c r="CZ69" i="7"/>
  <c r="DA39" i="7"/>
  <c r="DA35" i="7"/>
  <c r="CZ72" i="7"/>
  <c r="DA27" i="7"/>
  <c r="CZ61" i="7"/>
  <c r="CZ49" i="7"/>
  <c r="DA44" i="7"/>
  <c r="DA36" i="7"/>
  <c r="CZ73" i="7"/>
  <c r="DA28" i="7"/>
  <c r="CZ62" i="7"/>
  <c r="CI59" i="7"/>
  <c r="CI74" i="7"/>
  <c r="CI78" i="7" s="1"/>
  <c r="DA33" i="7"/>
  <c r="CZ70" i="7"/>
  <c r="CN46" i="7"/>
  <c r="CN50" i="7"/>
  <c r="CN51" i="7" s="1"/>
  <c r="CO8" i="7"/>
  <c r="CO10" i="7" s="1"/>
  <c r="CO86" i="7"/>
  <c r="CO76" i="7"/>
  <c r="CO45" i="7"/>
  <c r="CO77" i="7"/>
  <c r="DA29" i="7"/>
  <c r="CZ63" i="7"/>
  <c r="DA40" i="7"/>
  <c r="CL56" i="7"/>
  <c r="CL57" i="7" s="1"/>
  <c r="CL64" i="7"/>
  <c r="CM56" i="7"/>
  <c r="CI66" i="7"/>
  <c r="BU94" i="7"/>
  <c r="CK54" i="7"/>
  <c r="CK52" i="7"/>
  <c r="CK58" i="7" s="1"/>
  <c r="CK53" i="7"/>
  <c r="CM169" i="7"/>
  <c r="CO150" i="7"/>
  <c r="CO109" i="7" s="1"/>
  <c r="CH82" i="7"/>
  <c r="CL52" i="7"/>
  <c r="CL58" i="7" s="1"/>
  <c r="CJ59" i="7"/>
  <c r="CL54" i="7"/>
  <c r="CM64" i="7"/>
  <c r="CN171" i="7"/>
  <c r="CN172" i="7"/>
  <c r="CN170" i="7"/>
  <c r="CP5" i="7"/>
  <c r="CL53" i="7"/>
  <c r="CJ66" i="7"/>
  <c r="BT96" i="7"/>
  <c r="BT98" i="7" s="1"/>
  <c r="CN174" i="7"/>
  <c r="CO144" i="7"/>
  <c r="CO146" i="7" s="1"/>
  <c r="BV81" i="7"/>
  <c r="CN87" i="7"/>
  <c r="CP6" i="7"/>
  <c r="BU95" i="7" l="1"/>
  <c r="BU96" i="7" s="1"/>
  <c r="BU98" i="7" s="1"/>
  <c r="DX111" i="7"/>
  <c r="DB40" i="7"/>
  <c r="DB28" i="7"/>
  <c r="DA62" i="7"/>
  <c r="DB39" i="7"/>
  <c r="DB36" i="7"/>
  <c r="DA73" i="7"/>
  <c r="CP8" i="7"/>
  <c r="CP9" i="7" s="1"/>
  <c r="CP86" i="7"/>
  <c r="CP45" i="7"/>
  <c r="CP76" i="7"/>
  <c r="CP77" i="7"/>
  <c r="DB32" i="7"/>
  <c r="DA69" i="7"/>
  <c r="CO11" i="7"/>
  <c r="DA49" i="7"/>
  <c r="DB44" i="7"/>
  <c r="DB34" i="7"/>
  <c r="DA71" i="7"/>
  <c r="CO9" i="7"/>
  <c r="DB27" i="7"/>
  <c r="DA61" i="7"/>
  <c r="DB29" i="7"/>
  <c r="DA63" i="7"/>
  <c r="DB35" i="7"/>
  <c r="DA72" i="7"/>
  <c r="CO50" i="7"/>
  <c r="CO51" i="7" s="1"/>
  <c r="CO46" i="7"/>
  <c r="DB33" i="7"/>
  <c r="DA70" i="7"/>
  <c r="DB38" i="7"/>
  <c r="DA75" i="7"/>
  <c r="CI80" i="7"/>
  <c r="CI82" i="7" s="1"/>
  <c r="BV94" i="7"/>
  <c r="BV95" i="7" s="1"/>
  <c r="BV96" i="7" s="1"/>
  <c r="BV98" i="7" s="1"/>
  <c r="CK55" i="7"/>
  <c r="CN169" i="7"/>
  <c r="CP150" i="7"/>
  <c r="CP109" i="7" s="1"/>
  <c r="CN64" i="7"/>
  <c r="CL55" i="7"/>
  <c r="CN56" i="7"/>
  <c r="CQ5" i="7"/>
  <c r="CJ80" i="7"/>
  <c r="CO174" i="7"/>
  <c r="CP144" i="7"/>
  <c r="CP146" i="7" s="1"/>
  <c r="CO87" i="7"/>
  <c r="CM53" i="7"/>
  <c r="CM52" i="7"/>
  <c r="CM58" i="7" s="1"/>
  <c r="CM54" i="7"/>
  <c r="CM57" i="7"/>
  <c r="CQ6" i="7"/>
  <c r="BW81" i="7" l="1"/>
  <c r="DY111" i="7"/>
  <c r="CP50" i="7"/>
  <c r="CP51" i="7" s="1"/>
  <c r="CP46" i="7"/>
  <c r="CK59" i="7"/>
  <c r="CK74" i="7"/>
  <c r="CK78" i="7" s="1"/>
  <c r="DC36" i="7"/>
  <c r="DB73" i="7"/>
  <c r="CP11" i="7"/>
  <c r="DC27" i="7"/>
  <c r="DB61" i="7"/>
  <c r="DC34" i="7"/>
  <c r="DB71" i="7"/>
  <c r="DB49" i="7"/>
  <c r="DC44" i="7"/>
  <c r="CP10" i="7"/>
  <c r="CQ8" i="7"/>
  <c r="CQ9" i="7" s="1"/>
  <c r="CQ86" i="7"/>
  <c r="CQ77" i="7"/>
  <c r="CQ45" i="7"/>
  <c r="CQ76" i="7"/>
  <c r="DC29" i="7"/>
  <c r="DB63" i="7"/>
  <c r="DC32" i="7"/>
  <c r="DB69" i="7"/>
  <c r="DC38" i="7"/>
  <c r="DB75" i="7"/>
  <c r="CL66" i="7"/>
  <c r="CL74" i="7"/>
  <c r="CL78" i="7" s="1"/>
  <c r="DC33" i="7"/>
  <c r="DB70" i="7"/>
  <c r="DC39" i="7"/>
  <c r="DC35" i="7"/>
  <c r="DB72" i="7"/>
  <c r="DC28" i="7"/>
  <c r="DB62" i="7"/>
  <c r="DC40" i="7"/>
  <c r="CQ10" i="7"/>
  <c r="CQ11" i="7"/>
  <c r="CK66" i="7"/>
  <c r="BW94" i="7"/>
  <c r="BW95" i="7" s="1"/>
  <c r="BW96" i="7" s="1"/>
  <c r="BW98" i="7" s="1"/>
  <c r="CO172" i="7"/>
  <c r="CQ150" i="7"/>
  <c r="CQ109" i="7" s="1"/>
  <c r="CJ82" i="7"/>
  <c r="CL59" i="7"/>
  <c r="CL80" i="7"/>
  <c r="CP171" i="7"/>
  <c r="CR5" i="7"/>
  <c r="BX81" i="7"/>
  <c r="CP174" i="7"/>
  <c r="CQ144" i="7"/>
  <c r="CQ146" i="7" s="1"/>
  <c r="CP87" i="7"/>
  <c r="CN53" i="7"/>
  <c r="CN54" i="7"/>
  <c r="CN57" i="7"/>
  <c r="CN52" i="7"/>
  <c r="CN58" i="7" s="1"/>
  <c r="CR6" i="7"/>
  <c r="CM55" i="7"/>
  <c r="CM74" i="7" s="1"/>
  <c r="CM78" i="7" s="1"/>
  <c r="DZ111" i="7" l="1"/>
  <c r="DD35" i="7"/>
  <c r="DC72" i="7"/>
  <c r="DD34" i="7"/>
  <c r="DC71" i="7"/>
  <c r="DD39" i="7"/>
  <c r="DD27" i="7"/>
  <c r="DC61" i="7"/>
  <c r="DD33" i="7"/>
  <c r="DC70" i="7"/>
  <c r="CR8" i="7"/>
  <c r="CR11" i="7" s="1"/>
  <c r="CR86" i="7"/>
  <c r="CR76" i="7"/>
  <c r="CR77" i="7"/>
  <c r="CR45" i="7"/>
  <c r="DD36" i="7"/>
  <c r="DC73" i="7"/>
  <c r="DD40" i="7"/>
  <c r="DD38" i="7"/>
  <c r="DC75" i="7"/>
  <c r="DD29" i="7"/>
  <c r="DC63" i="7"/>
  <c r="CQ50" i="7"/>
  <c r="CQ51" i="7" s="1"/>
  <c r="CQ46" i="7"/>
  <c r="DD28" i="7"/>
  <c r="DC62" i="7"/>
  <c r="DD32" i="7"/>
  <c r="DC69" i="7"/>
  <c r="DC49" i="7"/>
  <c r="DD44" i="7"/>
  <c r="CR9" i="7"/>
  <c r="CR10" i="7"/>
  <c r="CK80" i="7"/>
  <c r="CK82" i="7" s="1"/>
  <c r="CP170" i="7"/>
  <c r="CO64" i="7"/>
  <c r="BX94" i="7"/>
  <c r="BX95" i="7" s="1"/>
  <c r="BX96" i="7" s="1"/>
  <c r="BX98" i="7" s="1"/>
  <c r="CO56" i="7"/>
  <c r="CO57" i="7" s="1"/>
  <c r="CO169" i="7"/>
  <c r="CP169" i="7"/>
  <c r="CP172" i="7"/>
  <c r="CO171" i="7"/>
  <c r="CO170" i="7"/>
  <c r="CR150" i="7"/>
  <c r="CR109" i="7" s="1"/>
  <c r="CL82" i="7"/>
  <c r="CM59" i="7"/>
  <c r="CQ170" i="7"/>
  <c r="CQ171" i="7"/>
  <c r="CS5" i="7"/>
  <c r="CQ174" i="7"/>
  <c r="CR144" i="7"/>
  <c r="CR146" i="7" s="1"/>
  <c r="CQ87" i="7"/>
  <c r="CM66" i="7"/>
  <c r="CS6" i="7"/>
  <c r="CN55" i="7"/>
  <c r="CN74" i="7" s="1"/>
  <c r="CN78" i="7" s="1"/>
  <c r="BY81" i="7" l="1"/>
  <c r="BZ81" i="7"/>
  <c r="EA111" i="7"/>
  <c r="DD49" i="7"/>
  <c r="DE44" i="7"/>
  <c r="DE27" i="7"/>
  <c r="DD61" i="7"/>
  <c r="DE36" i="7"/>
  <c r="DD73" i="7"/>
  <c r="DE29" i="7"/>
  <c r="DD63" i="7"/>
  <c r="DE38" i="7"/>
  <c r="DD75" i="7"/>
  <c r="CS8" i="7"/>
  <c r="CS86" i="7"/>
  <c r="CS77" i="7"/>
  <c r="CS45" i="7"/>
  <c r="CS76" i="7"/>
  <c r="DE32" i="7"/>
  <c r="DD69" i="7"/>
  <c r="CR50" i="7"/>
  <c r="CR51" i="7" s="1"/>
  <c r="CR46" i="7"/>
  <c r="DE33" i="7"/>
  <c r="DD70" i="7"/>
  <c r="DE40" i="7"/>
  <c r="DE39" i="7"/>
  <c r="DE28" i="7"/>
  <c r="DD62" i="7"/>
  <c r="DE34" i="7"/>
  <c r="DD71" i="7"/>
  <c r="DE35" i="7"/>
  <c r="DD72" i="7"/>
  <c r="CS9" i="7"/>
  <c r="CS10" i="7"/>
  <c r="CS11" i="7"/>
  <c r="CO52" i="7"/>
  <c r="CO58" i="7" s="1"/>
  <c r="CO53" i="7"/>
  <c r="CQ56" i="7"/>
  <c r="CP64" i="7"/>
  <c r="CO54" i="7"/>
  <c r="BY94" i="7"/>
  <c r="BY95" i="7" s="1"/>
  <c r="BY96" i="7" s="1"/>
  <c r="BY98" i="7" s="1"/>
  <c r="CP56" i="7"/>
  <c r="CP57" i="7" s="1"/>
  <c r="BZ94" i="7"/>
  <c r="BZ95" i="7" s="1"/>
  <c r="BZ96" i="7" s="1"/>
  <c r="BZ98" i="7" s="1"/>
  <c r="CQ169" i="7"/>
  <c r="CS174" i="7"/>
  <c r="CS150" i="7"/>
  <c r="CS109" i="7" s="1"/>
  <c r="CQ172" i="7"/>
  <c r="CN59" i="7"/>
  <c r="CR170" i="7"/>
  <c r="CR171" i="7"/>
  <c r="CT5" i="7"/>
  <c r="CR174" i="7"/>
  <c r="CS144" i="7"/>
  <c r="CS146" i="7" s="1"/>
  <c r="CN66" i="7"/>
  <c r="CR87" i="7"/>
  <c r="CP52" i="7"/>
  <c r="CP58" i="7" s="1"/>
  <c r="CT6" i="7"/>
  <c r="CM80" i="7"/>
  <c r="EB111" i="7" l="1"/>
  <c r="DF38" i="7"/>
  <c r="DE75" i="7"/>
  <c r="DF29" i="7"/>
  <c r="DE63" i="7"/>
  <c r="DF32" i="7"/>
  <c r="DE69" i="7"/>
  <c r="CT8" i="7"/>
  <c r="CT11" i="7" s="1"/>
  <c r="CT86" i="7"/>
  <c r="CT45" i="7"/>
  <c r="CT77" i="7"/>
  <c r="CT76" i="7"/>
  <c r="CS46" i="7"/>
  <c r="CS50" i="7"/>
  <c r="CS51" i="7" s="1"/>
  <c r="DF27" i="7"/>
  <c r="DE61" i="7"/>
  <c r="DF40" i="7"/>
  <c r="DE49" i="7"/>
  <c r="DF44" i="7"/>
  <c r="DF33" i="7"/>
  <c r="DE70" i="7"/>
  <c r="DF35" i="7"/>
  <c r="DE72" i="7"/>
  <c r="DF34" i="7"/>
  <c r="DE71" i="7"/>
  <c r="DF36" i="7"/>
  <c r="DE73" i="7"/>
  <c r="DF28" i="7"/>
  <c r="DE62" i="7"/>
  <c r="DF39" i="7"/>
  <c r="CT9" i="7"/>
  <c r="CT10" i="7"/>
  <c r="CO55" i="7"/>
  <c r="CO74" i="7" s="1"/>
  <c r="CO78" i="7" s="1"/>
  <c r="CQ64" i="7"/>
  <c r="CP54" i="7"/>
  <c r="CP53" i="7"/>
  <c r="CR56" i="7"/>
  <c r="CR172" i="7"/>
  <c r="CR169" i="7"/>
  <c r="CT150" i="7"/>
  <c r="CT109" i="7" s="1"/>
  <c r="CM82" i="7"/>
  <c r="CU5" i="7"/>
  <c r="CS172" i="7"/>
  <c r="CS170" i="7"/>
  <c r="CQ52" i="7"/>
  <c r="CQ58" i="7" s="1"/>
  <c r="CQ53" i="7"/>
  <c r="CO66" i="7"/>
  <c r="CQ54" i="7"/>
  <c r="CT144" i="7"/>
  <c r="CT146" i="7" s="1"/>
  <c r="CQ57" i="7"/>
  <c r="CA81" i="7"/>
  <c r="CU6" i="7"/>
  <c r="CS87" i="7"/>
  <c r="CN80" i="7"/>
  <c r="CO59" i="7" l="1"/>
  <c r="DG35" i="7"/>
  <c r="DF72" i="7"/>
  <c r="DF49" i="7"/>
  <c r="DG44" i="7"/>
  <c r="DG28" i="7"/>
  <c r="DF62" i="7"/>
  <c r="CU8" i="7"/>
  <c r="CU10" i="7" s="1"/>
  <c r="CU86" i="7"/>
  <c r="CU77" i="7"/>
  <c r="CU76" i="7"/>
  <c r="CU45" i="7"/>
  <c r="CT50" i="7"/>
  <c r="CT51" i="7" s="1"/>
  <c r="CT46" i="7"/>
  <c r="DG32" i="7"/>
  <c r="DF69" i="7"/>
  <c r="DG34" i="7"/>
  <c r="DF71" i="7"/>
  <c r="DG33" i="7"/>
  <c r="DF70" i="7"/>
  <c r="DG39" i="7"/>
  <c r="DG40" i="7"/>
  <c r="DG36" i="7"/>
  <c r="DF73" i="7"/>
  <c r="DG29" i="7"/>
  <c r="DF63" i="7"/>
  <c r="DG27" i="7"/>
  <c r="DF61" i="7"/>
  <c r="DG38" i="7"/>
  <c r="DF75" i="7"/>
  <c r="CU9" i="7"/>
  <c r="CP55" i="7"/>
  <c r="CP74" i="7" s="1"/>
  <c r="CP78" i="7" s="1"/>
  <c r="CS56" i="7"/>
  <c r="CR64" i="7"/>
  <c r="CA94" i="7"/>
  <c r="CA95" i="7" s="1"/>
  <c r="CA96" i="7" s="1"/>
  <c r="CA98" i="7" s="1"/>
  <c r="CS171" i="7"/>
  <c r="CU150" i="7"/>
  <c r="CU109" i="7" s="1"/>
  <c r="CN82" i="7"/>
  <c r="CT170" i="7"/>
  <c r="CT172" i="7"/>
  <c r="CT171" i="7"/>
  <c r="CV5" i="7"/>
  <c r="CT174" i="7"/>
  <c r="CO80" i="7"/>
  <c r="CQ55" i="7"/>
  <c r="CQ74" i="7" s="1"/>
  <c r="CQ78" i="7" s="1"/>
  <c r="CU144" i="7"/>
  <c r="CU146" i="7" s="1"/>
  <c r="CT87" i="7"/>
  <c r="CB81" i="7"/>
  <c r="CB94" i="7" s="1"/>
  <c r="CV6" i="7"/>
  <c r="CR53" i="7"/>
  <c r="CR54" i="7"/>
  <c r="CR57" i="7"/>
  <c r="CR52" i="7"/>
  <c r="CR58" i="7" s="1"/>
  <c r="CP59" i="7" l="1"/>
  <c r="EC111" i="7"/>
  <c r="DH27" i="7"/>
  <c r="DG61" i="7"/>
  <c r="DH32" i="7"/>
  <c r="DG69" i="7"/>
  <c r="DG49" i="7"/>
  <c r="DH44" i="7"/>
  <c r="DH36" i="7"/>
  <c r="DG73" i="7"/>
  <c r="DH38" i="7"/>
  <c r="DG75" i="7"/>
  <c r="DH28" i="7"/>
  <c r="DG62" i="7"/>
  <c r="DH29" i="7"/>
  <c r="DG63" i="7"/>
  <c r="CP66" i="7"/>
  <c r="CP80" i="7" s="1"/>
  <c r="DH39" i="7"/>
  <c r="DH33" i="7"/>
  <c r="DG70" i="7"/>
  <c r="DH34" i="7"/>
  <c r="DG71" i="7"/>
  <c r="CV8" i="7"/>
  <c r="CV10" i="7" s="1"/>
  <c r="CV86" i="7"/>
  <c r="CV77" i="7"/>
  <c r="CV76" i="7"/>
  <c r="CV45" i="7"/>
  <c r="CU11" i="7"/>
  <c r="DH40" i="7"/>
  <c r="CU46" i="7"/>
  <c r="CU50" i="7"/>
  <c r="CU51" i="7" s="1"/>
  <c r="DH35" i="7"/>
  <c r="DG72" i="7"/>
  <c r="CV9" i="7"/>
  <c r="CV11" i="7"/>
  <c r="CT56" i="7"/>
  <c r="CS64" i="7"/>
  <c r="CT64" i="7"/>
  <c r="CT169" i="7"/>
  <c r="CS169" i="7"/>
  <c r="CV150" i="7"/>
  <c r="CV109" i="7" s="1"/>
  <c r="CO82" i="7"/>
  <c r="CQ59" i="7"/>
  <c r="CU172" i="7"/>
  <c r="CU170" i="7"/>
  <c r="CU171" i="7"/>
  <c r="CW5" i="7"/>
  <c r="CS57" i="7"/>
  <c r="CU174" i="7"/>
  <c r="CC81" i="7"/>
  <c r="CC94" i="7" s="1"/>
  <c r="CQ66" i="7"/>
  <c r="CS52" i="7"/>
  <c r="CS58" i="7" s="1"/>
  <c r="CS53" i="7"/>
  <c r="CS54" i="7"/>
  <c r="CV144" i="7"/>
  <c r="CV146" i="7" s="1"/>
  <c r="CR55" i="7"/>
  <c r="CR74" i="7" s="1"/>
  <c r="CR78" i="7" s="1"/>
  <c r="CU87" i="7"/>
  <c r="CB95" i="7"/>
  <c r="CB96" i="7" s="1"/>
  <c r="CB98" i="7" s="1"/>
  <c r="CW6" i="7"/>
  <c r="ED111" i="7" l="1"/>
  <c r="DI28" i="7"/>
  <c r="DH62" i="7"/>
  <c r="DH49" i="7"/>
  <c r="DI44" i="7"/>
  <c r="DI39" i="7"/>
  <c r="DI32" i="7"/>
  <c r="DH69" i="7"/>
  <c r="DI35" i="7"/>
  <c r="DH72" i="7"/>
  <c r="DI38" i="7"/>
  <c r="DH75" i="7"/>
  <c r="DI33" i="7"/>
  <c r="DH70" i="7"/>
  <c r="CW8" i="7"/>
  <c r="CW10" i="7" s="1"/>
  <c r="CW86" i="7"/>
  <c r="CW77" i="7"/>
  <c r="CW76" i="7"/>
  <c r="CW45" i="7"/>
  <c r="DI29" i="7"/>
  <c r="DH63" i="7"/>
  <c r="DI34" i="7"/>
  <c r="DH71" i="7"/>
  <c r="DI36" i="7"/>
  <c r="DH73" i="7"/>
  <c r="DI40" i="7"/>
  <c r="CV46" i="7"/>
  <c r="CV50" i="7"/>
  <c r="CV51" i="7" s="1"/>
  <c r="DI27" i="7"/>
  <c r="DH61" i="7"/>
  <c r="CW9" i="7"/>
  <c r="CU56" i="7"/>
  <c r="CU169" i="7"/>
  <c r="CW150" i="7"/>
  <c r="CW109" i="7" s="1"/>
  <c r="CP82" i="7"/>
  <c r="CR59" i="7"/>
  <c r="CT52" i="7"/>
  <c r="CT58" i="7" s="1"/>
  <c r="CX5" i="7"/>
  <c r="CV172" i="7"/>
  <c r="CV170" i="7"/>
  <c r="CV171" i="7"/>
  <c r="EM69" i="7"/>
  <c r="EN69" i="7"/>
  <c r="EQ69" i="7"/>
  <c r="ER69" i="7"/>
  <c r="ES69" i="7"/>
  <c r="CC95" i="7"/>
  <c r="CV174" i="7"/>
  <c r="CQ80" i="7"/>
  <c r="CR66" i="7"/>
  <c r="CS55" i="7"/>
  <c r="CS74" i="7" s="1"/>
  <c r="CS78" i="7" s="1"/>
  <c r="CT53" i="7"/>
  <c r="CT54" i="7"/>
  <c r="CT57" i="7"/>
  <c r="CD81" i="7"/>
  <c r="CW144" i="7"/>
  <c r="CW146" i="7" s="1"/>
  <c r="CV87" i="7"/>
  <c r="CX6" i="7"/>
  <c r="EE111" i="7" l="1"/>
  <c r="DJ35" i="7"/>
  <c r="DI72" i="7"/>
  <c r="DJ27" i="7"/>
  <c r="DI61" i="7"/>
  <c r="DJ32" i="7"/>
  <c r="DI69" i="7"/>
  <c r="DJ40" i="7"/>
  <c r="DJ34" i="7"/>
  <c r="DI71" i="7"/>
  <c r="CX8" i="7"/>
  <c r="CX10" i="7" s="1"/>
  <c r="CX86" i="7"/>
  <c r="CX77" i="7"/>
  <c r="CX45" i="7"/>
  <c r="CX76" i="7"/>
  <c r="CW46" i="7"/>
  <c r="CW50" i="7"/>
  <c r="CW51" i="7" s="1"/>
  <c r="DJ39" i="7"/>
  <c r="CW11" i="7"/>
  <c r="DJ36" i="7"/>
  <c r="DI73" i="7"/>
  <c r="DJ29" i="7"/>
  <c r="DI63" i="7"/>
  <c r="DI49" i="7"/>
  <c r="DJ44" i="7"/>
  <c r="DJ33" i="7"/>
  <c r="DI70" i="7"/>
  <c r="DJ38" i="7"/>
  <c r="DI75" i="7"/>
  <c r="DJ28" i="7"/>
  <c r="DI62" i="7"/>
  <c r="CX9" i="7"/>
  <c r="CU64" i="7"/>
  <c r="CD94" i="7"/>
  <c r="CD95" i="7" s="1"/>
  <c r="CD96" i="7" s="1"/>
  <c r="CD98" i="7" s="1"/>
  <c r="CV169" i="7"/>
  <c r="CX150" i="7"/>
  <c r="CX109" i="7" s="1"/>
  <c r="CQ82" i="7"/>
  <c r="CS59" i="7"/>
  <c r="CV64" i="7"/>
  <c r="CV56" i="7"/>
  <c r="CW170" i="7"/>
  <c r="CW172" i="7"/>
  <c r="CW171" i="7"/>
  <c r="CY5" i="7"/>
  <c r="CC96" i="7"/>
  <c r="CC98" i="7" s="1"/>
  <c r="CW174" i="7"/>
  <c r="CR80" i="7"/>
  <c r="CE81" i="7"/>
  <c r="CE94" i="7" s="1"/>
  <c r="CS66" i="7"/>
  <c r="CT55" i="7"/>
  <c r="CT74" i="7" s="1"/>
  <c r="CT78" i="7" s="1"/>
  <c r="CX144" i="7"/>
  <c r="CX146" i="7" s="1"/>
  <c r="CW87" i="7"/>
  <c r="CY6" i="7"/>
  <c r="CX174" i="7"/>
  <c r="CU53" i="7"/>
  <c r="CU57" i="7"/>
  <c r="CU54" i="7"/>
  <c r="CU52" i="7"/>
  <c r="CU58" i="7" s="1"/>
  <c r="DK39" i="7" l="1"/>
  <c r="DK33" i="7"/>
  <c r="DJ70" i="7"/>
  <c r="DK32" i="7"/>
  <c r="DJ69" i="7"/>
  <c r="DJ49" i="7"/>
  <c r="DK44" i="7"/>
  <c r="DK36" i="7"/>
  <c r="DJ73" i="7"/>
  <c r="DK34" i="7"/>
  <c r="DJ71" i="7"/>
  <c r="DK38" i="7"/>
  <c r="DJ75" i="7"/>
  <c r="CX46" i="7"/>
  <c r="CX50" i="7"/>
  <c r="CX51" i="7" s="1"/>
  <c r="DK27" i="7"/>
  <c r="DJ61" i="7"/>
  <c r="CY8" i="7"/>
  <c r="CY10" i="7" s="1"/>
  <c r="CY86" i="7"/>
  <c r="CY77" i="7"/>
  <c r="CY45" i="7"/>
  <c r="CY76" i="7"/>
  <c r="CX11" i="7"/>
  <c r="DK29" i="7"/>
  <c r="DJ63" i="7"/>
  <c r="DK28" i="7"/>
  <c r="DJ62" i="7"/>
  <c r="DK40" i="7"/>
  <c r="DK35" i="7"/>
  <c r="DJ72" i="7"/>
  <c r="CY9" i="7"/>
  <c r="CW56" i="7"/>
  <c r="CW57" i="7" s="1"/>
  <c r="CW64" i="7"/>
  <c r="CW169" i="7"/>
  <c r="CY150" i="7"/>
  <c r="CY109" i="7" s="1"/>
  <c r="CT59" i="7"/>
  <c r="CF81" i="7"/>
  <c r="CR82" i="7"/>
  <c r="CX171" i="7"/>
  <c r="CX170" i="7"/>
  <c r="CX172" i="7"/>
  <c r="CZ5" i="7"/>
  <c r="EO86" i="7"/>
  <c r="EP86" i="7"/>
  <c r="EQ86" i="7"/>
  <c r="ER86" i="7"/>
  <c r="ES86" i="7"/>
  <c r="CE95" i="7"/>
  <c r="CS80" i="7"/>
  <c r="CT66" i="7"/>
  <c r="CY144" i="7"/>
  <c r="CY146" i="7" s="1"/>
  <c r="CX87" i="7"/>
  <c r="CZ6" i="7"/>
  <c r="CU55" i="7"/>
  <c r="CU74" i="7" s="1"/>
  <c r="CU78" i="7" s="1"/>
  <c r="CV54" i="7"/>
  <c r="CV53" i="7"/>
  <c r="CV57" i="7"/>
  <c r="CV52" i="7"/>
  <c r="CV58" i="7" s="1"/>
  <c r="EF111" i="7" l="1"/>
  <c r="CY46" i="7"/>
  <c r="CY50" i="7"/>
  <c r="CY51" i="7" s="1"/>
  <c r="DK49" i="7"/>
  <c r="DL44" i="7"/>
  <c r="DL28" i="7"/>
  <c r="DK62" i="7"/>
  <c r="DL32" i="7"/>
  <c r="DK69" i="7"/>
  <c r="DL29" i="7"/>
  <c r="DK63" i="7"/>
  <c r="DL33" i="7"/>
  <c r="DK70" i="7"/>
  <c r="DL38" i="7"/>
  <c r="DK75" i="7"/>
  <c r="DL36" i="7"/>
  <c r="DK73" i="7"/>
  <c r="DL35" i="7"/>
  <c r="DK72" i="7"/>
  <c r="DL40" i="7"/>
  <c r="CY11" i="7"/>
  <c r="DL27" i="7"/>
  <c r="DK61" i="7"/>
  <c r="CZ8" i="7"/>
  <c r="CZ10" i="7" s="1"/>
  <c r="CZ86" i="7"/>
  <c r="CZ77" i="7"/>
  <c r="CZ76" i="7"/>
  <c r="CZ45" i="7"/>
  <c r="DL34" i="7"/>
  <c r="DK71" i="7"/>
  <c r="DL39" i="7"/>
  <c r="CZ9" i="7"/>
  <c r="CF94" i="7"/>
  <c r="CF95" i="7" s="1"/>
  <c r="CF96" i="7" s="1"/>
  <c r="CF98" i="7" s="1"/>
  <c r="CX169" i="7"/>
  <c r="CZ150" i="7"/>
  <c r="CZ109" i="7" s="1"/>
  <c r="ET86" i="7"/>
  <c r="CS82" i="7"/>
  <c r="CU59" i="7"/>
  <c r="CX64" i="7"/>
  <c r="CX56" i="7"/>
  <c r="CY170" i="7"/>
  <c r="CY171" i="7"/>
  <c r="CY172" i="7"/>
  <c r="DA5" i="7"/>
  <c r="CY174" i="7"/>
  <c r="CG81" i="7"/>
  <c r="CG94" i="7" s="1"/>
  <c r="CE96" i="7"/>
  <c r="CE98" i="7" s="1"/>
  <c r="CT80" i="7"/>
  <c r="CW54" i="7"/>
  <c r="CW52" i="7"/>
  <c r="CW58" i="7" s="1"/>
  <c r="CW53" i="7"/>
  <c r="CY87" i="7"/>
  <c r="CZ144" i="7"/>
  <c r="CZ146" i="7" s="1"/>
  <c r="CU66" i="7"/>
  <c r="DA6" i="7"/>
  <c r="CV55" i="7"/>
  <c r="CV74" i="7" s="1"/>
  <c r="CV78" i="7" s="1"/>
  <c r="EG111" i="7" l="1"/>
  <c r="DM27" i="7"/>
  <c r="DL61" i="7"/>
  <c r="DM33" i="7"/>
  <c r="DL70" i="7"/>
  <c r="DM39" i="7"/>
  <c r="DM29" i="7"/>
  <c r="DL63" i="7"/>
  <c r="DM40" i="7"/>
  <c r="CZ50" i="7"/>
  <c r="CZ51" i="7" s="1"/>
  <c r="CZ46" i="7"/>
  <c r="DM28" i="7"/>
  <c r="DL62" i="7"/>
  <c r="DL49" i="7"/>
  <c r="DM44" i="7"/>
  <c r="DM38" i="7"/>
  <c r="DL75" i="7"/>
  <c r="DM34" i="7"/>
  <c r="DL71" i="7"/>
  <c r="DM32" i="7"/>
  <c r="DL69" i="7"/>
  <c r="DM35" i="7"/>
  <c r="DL72" i="7"/>
  <c r="DM36" i="7"/>
  <c r="DL73" i="7"/>
  <c r="DA8" i="7"/>
  <c r="DA10" i="7" s="1"/>
  <c r="DA86" i="7"/>
  <c r="DA45" i="7"/>
  <c r="DA77" i="7"/>
  <c r="DA76" i="7"/>
  <c r="CZ11" i="7"/>
  <c r="DA9" i="7"/>
  <c r="CY169" i="7"/>
  <c r="DA150" i="7"/>
  <c r="DA109" i="7" s="1"/>
  <c r="CT82" i="7"/>
  <c r="CV59" i="7"/>
  <c r="ET69" i="7"/>
  <c r="CY64" i="7"/>
  <c r="CY56" i="7"/>
  <c r="DB5" i="7"/>
  <c r="CZ170" i="7"/>
  <c r="CZ171" i="7"/>
  <c r="CZ172" i="7"/>
  <c r="CU80" i="7"/>
  <c r="CG95" i="7"/>
  <c r="CZ174" i="7"/>
  <c r="CH81" i="7"/>
  <c r="CW55" i="7"/>
  <c r="CW74" i="7" s="1"/>
  <c r="CW78" i="7" s="1"/>
  <c r="DA144" i="7"/>
  <c r="DA146" i="7" s="1"/>
  <c r="CZ87" i="7"/>
  <c r="DB6" i="7"/>
  <c r="CV66" i="7"/>
  <c r="CX54" i="7"/>
  <c r="CX52" i="7"/>
  <c r="CX58" i="7" s="1"/>
  <c r="CX53" i="7"/>
  <c r="CX57" i="7"/>
  <c r="EH111" i="7" l="1"/>
  <c r="DB8" i="7"/>
  <c r="DB86" i="7"/>
  <c r="DB45" i="7"/>
  <c r="DB77" i="7"/>
  <c r="DB76" i="7"/>
  <c r="DN40" i="7"/>
  <c r="DA50" i="7"/>
  <c r="DA51" i="7" s="1"/>
  <c r="DA46" i="7"/>
  <c r="DN29" i="7"/>
  <c r="DM63" i="7"/>
  <c r="DN38" i="7"/>
  <c r="DM75" i="7"/>
  <c r="DN39" i="7"/>
  <c r="DM49" i="7"/>
  <c r="DN44" i="7"/>
  <c r="DN32" i="7"/>
  <c r="DM69" i="7"/>
  <c r="DN34" i="7"/>
  <c r="DM71" i="7"/>
  <c r="DN36" i="7"/>
  <c r="DM73" i="7"/>
  <c r="DN33" i="7"/>
  <c r="DM70" i="7"/>
  <c r="DA11" i="7"/>
  <c r="DN35" i="7"/>
  <c r="DM72" i="7"/>
  <c r="DN28" i="7"/>
  <c r="DM62" i="7"/>
  <c r="DN27" i="7"/>
  <c r="DM61" i="7"/>
  <c r="DB9" i="7"/>
  <c r="DB10" i="7"/>
  <c r="DB11" i="7"/>
  <c r="CH94" i="7"/>
  <c r="CH95" i="7" s="1"/>
  <c r="CH96" i="7" s="1"/>
  <c r="CH98" i="7" s="1"/>
  <c r="CZ169" i="7"/>
  <c r="DB150" i="7"/>
  <c r="DB109" i="7" s="1"/>
  <c r="CU82" i="7"/>
  <c r="CW59" i="7"/>
  <c r="CZ64" i="7"/>
  <c r="CZ56" i="7"/>
  <c r="DC5" i="7"/>
  <c r="DA174" i="7"/>
  <c r="CG96" i="7"/>
  <c r="CG98" i="7" s="1"/>
  <c r="CI81" i="7"/>
  <c r="CI94" i="7" s="1"/>
  <c r="CW66" i="7"/>
  <c r="DB144" i="7"/>
  <c r="DB146" i="7" s="1"/>
  <c r="DA87" i="7"/>
  <c r="CX55" i="7"/>
  <c r="CX74" i="7" s="1"/>
  <c r="CX78" i="7" s="1"/>
  <c r="CV80" i="7"/>
  <c r="CY52" i="7"/>
  <c r="CY58" i="7" s="1"/>
  <c r="CY54" i="7"/>
  <c r="CY53" i="7"/>
  <c r="CY57" i="7"/>
  <c r="DC6" i="7"/>
  <c r="EI111" i="7" l="1"/>
  <c r="DO29" i="7"/>
  <c r="DN63" i="7"/>
  <c r="DO28" i="7"/>
  <c r="DN62" i="7"/>
  <c r="DO35" i="7"/>
  <c r="DN72" i="7"/>
  <c r="DO40" i="7"/>
  <c r="DC8" i="7"/>
  <c r="DC11" i="7" s="1"/>
  <c r="DC86" i="7"/>
  <c r="DC77" i="7"/>
  <c r="DC45" i="7"/>
  <c r="DC76" i="7"/>
  <c r="DO34" i="7"/>
  <c r="DN71" i="7"/>
  <c r="DO32" i="7"/>
  <c r="DN69" i="7"/>
  <c r="DO38" i="7"/>
  <c r="DN75" i="7"/>
  <c r="DO27" i="7"/>
  <c r="DN61" i="7"/>
  <c r="DN49" i="7"/>
  <c r="DO44" i="7"/>
  <c r="DO33" i="7"/>
  <c r="DN70" i="7"/>
  <c r="DB50" i="7"/>
  <c r="DB51" i="7" s="1"/>
  <c r="DB46" i="7"/>
  <c r="DO39" i="7"/>
  <c r="DO36" i="7"/>
  <c r="DN73" i="7"/>
  <c r="DC9" i="7"/>
  <c r="DC10" i="7"/>
  <c r="DA172" i="7"/>
  <c r="DC150" i="7"/>
  <c r="DC109" i="7" s="1"/>
  <c r="CV82" i="7"/>
  <c r="CX59" i="7"/>
  <c r="DD5" i="7"/>
  <c r="DB174" i="7"/>
  <c r="CI95" i="7"/>
  <c r="CW80" i="7"/>
  <c r="CX66" i="7"/>
  <c r="DB87" i="7"/>
  <c r="DC144" i="7"/>
  <c r="DC146" i="7" s="1"/>
  <c r="CJ81" i="7"/>
  <c r="CJ94" i="7" s="1"/>
  <c r="CY55" i="7"/>
  <c r="CY74" i="7" s="1"/>
  <c r="CY78" i="7" s="1"/>
  <c r="CZ54" i="7"/>
  <c r="CZ52" i="7"/>
  <c r="CZ58" i="7" s="1"/>
  <c r="CZ53" i="7"/>
  <c r="CZ57" i="7"/>
  <c r="DD6" i="7"/>
  <c r="EJ111" i="7" l="1"/>
  <c r="DP39" i="7"/>
  <c r="DP40" i="7"/>
  <c r="DD8" i="7"/>
  <c r="DD11" i="7" s="1"/>
  <c r="DD86" i="7"/>
  <c r="DD45" i="7"/>
  <c r="DD76" i="7"/>
  <c r="DD77" i="7"/>
  <c r="DP32" i="7"/>
  <c r="DO69" i="7"/>
  <c r="DP35" i="7"/>
  <c r="DO72" i="7"/>
  <c r="DP27" i="7"/>
  <c r="DO61" i="7"/>
  <c r="DP38" i="7"/>
  <c r="DO75" i="7"/>
  <c r="DP33" i="7"/>
  <c r="DO70" i="7"/>
  <c r="DP36" i="7"/>
  <c r="DO73" i="7"/>
  <c r="DP34" i="7"/>
  <c r="DO71" i="7"/>
  <c r="DP28" i="7"/>
  <c r="DO62" i="7"/>
  <c r="DO49" i="7"/>
  <c r="DP44" i="7"/>
  <c r="DC50" i="7"/>
  <c r="DC51" i="7" s="1"/>
  <c r="DC46" i="7"/>
  <c r="DP29" i="7"/>
  <c r="DO63" i="7"/>
  <c r="DD9" i="7"/>
  <c r="DD10" i="7"/>
  <c r="DA64" i="7"/>
  <c r="DA56" i="7"/>
  <c r="DA169" i="7"/>
  <c r="DB169" i="7"/>
  <c r="DB172" i="7"/>
  <c r="DB170" i="7"/>
  <c r="DB171" i="7"/>
  <c r="DA170" i="7"/>
  <c r="DA171" i="7"/>
  <c r="DD150" i="7"/>
  <c r="DD109" i="7" s="1"/>
  <c r="CW82" i="7"/>
  <c r="CY59" i="7"/>
  <c r="DC171" i="7"/>
  <c r="DE5" i="7"/>
  <c r="CK81" i="7"/>
  <c r="DC174" i="7"/>
  <c r="CI96" i="7"/>
  <c r="CI98" i="7" s="1"/>
  <c r="CX80" i="7"/>
  <c r="CY66" i="7"/>
  <c r="DC87" i="7"/>
  <c r="DD144" i="7"/>
  <c r="DD146" i="7" s="1"/>
  <c r="CZ55" i="7"/>
  <c r="CZ74" i="7" s="1"/>
  <c r="CZ78" i="7" s="1"/>
  <c r="CJ95" i="7"/>
  <c r="CJ96" i="7" s="1"/>
  <c r="CJ98" i="7" s="1"/>
  <c r="DE6" i="7"/>
  <c r="DA52" i="7"/>
  <c r="DA58" i="7" s="1"/>
  <c r="DA57" i="7"/>
  <c r="DQ35" i="7" l="1"/>
  <c r="DP72" i="7"/>
  <c r="DQ34" i="7"/>
  <c r="DP71" i="7"/>
  <c r="DQ32" i="7"/>
  <c r="DP69" i="7"/>
  <c r="DQ36" i="7"/>
  <c r="DP73" i="7"/>
  <c r="DQ33" i="7"/>
  <c r="DP70" i="7"/>
  <c r="DQ38" i="7"/>
  <c r="DP75" i="7"/>
  <c r="DP49" i="7"/>
  <c r="DQ44" i="7"/>
  <c r="DQ40" i="7"/>
  <c r="DQ29" i="7"/>
  <c r="DP63" i="7"/>
  <c r="DD50" i="7"/>
  <c r="DD51" i="7" s="1"/>
  <c r="DD46" i="7"/>
  <c r="DE8" i="7"/>
  <c r="DE11" i="7" s="1"/>
  <c r="DE86" i="7"/>
  <c r="DE77" i="7"/>
  <c r="DE76" i="7"/>
  <c r="DE45" i="7"/>
  <c r="DQ27" i="7"/>
  <c r="DP61" i="7"/>
  <c r="DQ28" i="7"/>
  <c r="DP62" i="7"/>
  <c r="DQ39" i="7"/>
  <c r="DE9" i="7"/>
  <c r="DE10" i="7"/>
  <c r="DB56" i="7"/>
  <c r="DB57" i="7" s="1"/>
  <c r="DA53" i="7"/>
  <c r="DA54" i="7"/>
  <c r="DB64" i="7"/>
  <c r="CK94" i="7"/>
  <c r="CK95" i="7" s="1"/>
  <c r="CK96" i="7" s="1"/>
  <c r="CK98" i="7" s="1"/>
  <c r="DC64" i="7"/>
  <c r="DC169" i="7"/>
  <c r="DC172" i="7"/>
  <c r="DE150" i="7"/>
  <c r="DE109" i="7" s="1"/>
  <c r="CX82" i="7"/>
  <c r="CZ59" i="7"/>
  <c r="DD170" i="7"/>
  <c r="DF5" i="7"/>
  <c r="DD174" i="7"/>
  <c r="CL81" i="7"/>
  <c r="CY80" i="7"/>
  <c r="CZ66" i="7"/>
  <c r="DD87" i="7"/>
  <c r="DE144" i="7"/>
  <c r="DE146" i="7" s="1"/>
  <c r="DB52" i="7"/>
  <c r="DB58" i="7" s="1"/>
  <c r="DB54" i="7"/>
  <c r="DB53" i="7"/>
  <c r="DF6" i="7"/>
  <c r="DA55" i="7" l="1"/>
  <c r="DA74" i="7" s="1"/>
  <c r="DA78" i="7" s="1"/>
  <c r="DR38" i="7"/>
  <c r="DQ75" i="7"/>
  <c r="DR29" i="7"/>
  <c r="DQ63" i="7"/>
  <c r="DR36" i="7"/>
  <c r="DQ73" i="7"/>
  <c r="DR27" i="7"/>
  <c r="DQ61" i="7"/>
  <c r="DR40" i="7"/>
  <c r="DR32" i="7"/>
  <c r="DQ69" i="7"/>
  <c r="DE46" i="7"/>
  <c r="DE50" i="7"/>
  <c r="DE51" i="7" s="1"/>
  <c r="DR39" i="7"/>
  <c r="DR33" i="7"/>
  <c r="DQ70" i="7"/>
  <c r="DR28" i="7"/>
  <c r="DQ62" i="7"/>
  <c r="DF8" i="7"/>
  <c r="DF10" i="7" s="1"/>
  <c r="DF86" i="7"/>
  <c r="DF76" i="7"/>
  <c r="DF77" i="7"/>
  <c r="DF45" i="7"/>
  <c r="DR34" i="7"/>
  <c r="DQ71" i="7"/>
  <c r="DQ49" i="7"/>
  <c r="DR44" i="7"/>
  <c r="DR35" i="7"/>
  <c r="DQ72" i="7"/>
  <c r="DF9" i="7"/>
  <c r="DC56" i="7"/>
  <c r="DC57" i="7" s="1"/>
  <c r="DD64" i="7"/>
  <c r="CL94" i="7"/>
  <c r="CL95" i="7" s="1"/>
  <c r="CL96" i="7" s="1"/>
  <c r="CL98" i="7" s="1"/>
  <c r="DD169" i="7"/>
  <c r="DD172" i="7"/>
  <c r="DC170" i="7"/>
  <c r="DF150" i="7"/>
  <c r="DF109" i="7" s="1"/>
  <c r="CY82" i="7"/>
  <c r="DA59" i="7"/>
  <c r="DC52" i="7"/>
  <c r="DC58" i="7" s="1"/>
  <c r="DD56" i="7"/>
  <c r="DG5" i="7"/>
  <c r="DE174" i="7"/>
  <c r="DE87" i="7"/>
  <c r="CM81" i="7"/>
  <c r="CZ80" i="7"/>
  <c r="DF144" i="7"/>
  <c r="DF146" i="7" s="1"/>
  <c r="DC53" i="7"/>
  <c r="DB55" i="7"/>
  <c r="DB74" i="7" s="1"/>
  <c r="DB78" i="7" s="1"/>
  <c r="DA66" i="7"/>
  <c r="DG6" i="7"/>
  <c r="DS32" i="7" l="1"/>
  <c r="DR69" i="7"/>
  <c r="DS27" i="7"/>
  <c r="DR61" i="7"/>
  <c r="DS40" i="7"/>
  <c r="DR49" i="7"/>
  <c r="DS44" i="7"/>
  <c r="DS28" i="7"/>
  <c r="DR62" i="7"/>
  <c r="DS36" i="7"/>
  <c r="DR73" i="7"/>
  <c r="DS39" i="7"/>
  <c r="DF11" i="7"/>
  <c r="DF50" i="7"/>
  <c r="DF51" i="7" s="1"/>
  <c r="DF46" i="7"/>
  <c r="DS38" i="7"/>
  <c r="DR75" i="7"/>
  <c r="DS35" i="7"/>
  <c r="DR72" i="7"/>
  <c r="DS33" i="7"/>
  <c r="DR70" i="7"/>
  <c r="DS29" i="7"/>
  <c r="DR63" i="7"/>
  <c r="DS34" i="7"/>
  <c r="DR71" i="7"/>
  <c r="DG8" i="7"/>
  <c r="DG9" i="7" s="1"/>
  <c r="DG86" i="7"/>
  <c r="DG76" i="7"/>
  <c r="DG77" i="7"/>
  <c r="DG45" i="7"/>
  <c r="DC54" i="7"/>
  <c r="CM94" i="7"/>
  <c r="CM95" i="7" s="1"/>
  <c r="CM96" i="7" s="1"/>
  <c r="CM98" i="7" s="1"/>
  <c r="DE56" i="7"/>
  <c r="DE171" i="7"/>
  <c r="DE169" i="7"/>
  <c r="DE172" i="7"/>
  <c r="DD171" i="7"/>
  <c r="DG150" i="7"/>
  <c r="DG109" i="7" s="1"/>
  <c r="CZ82" i="7"/>
  <c r="DB59" i="7"/>
  <c r="DF171" i="7"/>
  <c r="DH5" i="7"/>
  <c r="DF174" i="7"/>
  <c r="DA80" i="7"/>
  <c r="CN81" i="7"/>
  <c r="DC55" i="7"/>
  <c r="DC74" i="7" s="1"/>
  <c r="DC78" i="7" s="1"/>
  <c r="DG144" i="7"/>
  <c r="DG146" i="7" s="1"/>
  <c r="DB66" i="7"/>
  <c r="DF87" i="7"/>
  <c r="DD57" i="7"/>
  <c r="DD53" i="7"/>
  <c r="DD54" i="7"/>
  <c r="DD52" i="7"/>
  <c r="DD58" i="7" s="1"/>
  <c r="DH6" i="7"/>
  <c r="DS49" i="7" l="1"/>
  <c r="DT44" i="7"/>
  <c r="DT29" i="7"/>
  <c r="DS63" i="7"/>
  <c r="DT39" i="7"/>
  <c r="DG46" i="7"/>
  <c r="DG50" i="7"/>
  <c r="DG51" i="7" s="1"/>
  <c r="DT28" i="7"/>
  <c r="DS62" i="7"/>
  <c r="DT38" i="7"/>
  <c r="DS75" i="7"/>
  <c r="DT40" i="7"/>
  <c r="DG11" i="7"/>
  <c r="DT27" i="7"/>
  <c r="DS61" i="7"/>
  <c r="DG10" i="7"/>
  <c r="DT35" i="7"/>
  <c r="DS72" i="7"/>
  <c r="DT34" i="7"/>
  <c r="DS71" i="7"/>
  <c r="DH8" i="7"/>
  <c r="DH10" i="7" s="1"/>
  <c r="DH86" i="7"/>
  <c r="DH76" i="7"/>
  <c r="DH45" i="7"/>
  <c r="DH77" i="7"/>
  <c r="DT33" i="7"/>
  <c r="DS70" i="7"/>
  <c r="DT36" i="7"/>
  <c r="DS73" i="7"/>
  <c r="DT32" i="7"/>
  <c r="DS69" i="7"/>
  <c r="DH9" i="7"/>
  <c r="DE64" i="7"/>
  <c r="DF172" i="7"/>
  <c r="CN94" i="7"/>
  <c r="CN95" i="7" s="1"/>
  <c r="CN96" i="7" s="1"/>
  <c r="CN98" i="7" s="1"/>
  <c r="DF170" i="7"/>
  <c r="DE170" i="7"/>
  <c r="DH150" i="7"/>
  <c r="DH109" i="7" s="1"/>
  <c r="DA82" i="7"/>
  <c r="DC59" i="7"/>
  <c r="DF56" i="7"/>
  <c r="DG170" i="7"/>
  <c r="DG171" i="7"/>
  <c r="DG172" i="7"/>
  <c r="DI5" i="7"/>
  <c r="DG174" i="7"/>
  <c r="DB80" i="7"/>
  <c r="DC66" i="7"/>
  <c r="DH144" i="7"/>
  <c r="DH146" i="7" s="1"/>
  <c r="CO81" i="7"/>
  <c r="CO94" i="7" s="1"/>
  <c r="DE57" i="7"/>
  <c r="DE52" i="7"/>
  <c r="DE58" i="7" s="1"/>
  <c r="DE54" i="7"/>
  <c r="DE53" i="7"/>
  <c r="DD55" i="7"/>
  <c r="DD74" i="7" s="1"/>
  <c r="DD78" i="7" s="1"/>
  <c r="DG87" i="7"/>
  <c r="DI6" i="7"/>
  <c r="DU38" i="7" l="1"/>
  <c r="DT75" i="7"/>
  <c r="DU34" i="7"/>
  <c r="DT71" i="7"/>
  <c r="DU28" i="7"/>
  <c r="DT62" i="7"/>
  <c r="DU35" i="7"/>
  <c r="DT72" i="7"/>
  <c r="DU33" i="7"/>
  <c r="DT70" i="7"/>
  <c r="DU39" i="7"/>
  <c r="DI8" i="7"/>
  <c r="DI86" i="7"/>
  <c r="DI77" i="7"/>
  <c r="DI45" i="7"/>
  <c r="DI76" i="7"/>
  <c r="DH50" i="7"/>
  <c r="DH51" i="7" s="1"/>
  <c r="DH46" i="7"/>
  <c r="DU29" i="7"/>
  <c r="DT63" i="7"/>
  <c r="DU32" i="7"/>
  <c r="DT69" i="7"/>
  <c r="DU36" i="7"/>
  <c r="DT73" i="7"/>
  <c r="DU27" i="7"/>
  <c r="DT61" i="7"/>
  <c r="DH11" i="7"/>
  <c r="DU40" i="7"/>
  <c r="DT49" i="7"/>
  <c r="DU44" i="7"/>
  <c r="DI9" i="7"/>
  <c r="DI10" i="7"/>
  <c r="DI11" i="7"/>
  <c r="DF64" i="7"/>
  <c r="DG169" i="7"/>
  <c r="DF169" i="7"/>
  <c r="DI150" i="7"/>
  <c r="DI109" i="7" s="1"/>
  <c r="DB82" i="7"/>
  <c r="DD59" i="7"/>
  <c r="DF54" i="7"/>
  <c r="DH170" i="7"/>
  <c r="DH171" i="7"/>
  <c r="DJ5" i="7"/>
  <c r="DH174" i="7"/>
  <c r="CP81" i="7"/>
  <c r="DC80" i="7"/>
  <c r="DF53" i="7"/>
  <c r="DF52" i="7"/>
  <c r="DF58" i="7" s="1"/>
  <c r="DF57" i="7"/>
  <c r="DI144" i="7"/>
  <c r="DI146" i="7" s="1"/>
  <c r="CO95" i="7"/>
  <c r="DE55" i="7"/>
  <c r="DE74" i="7" s="1"/>
  <c r="DE78" i="7" s="1"/>
  <c r="DJ6" i="7"/>
  <c r="DD66" i="7"/>
  <c r="DH87" i="7"/>
  <c r="DV32" i="7" l="1"/>
  <c r="DU69" i="7"/>
  <c r="DU49" i="7"/>
  <c r="DV44" i="7"/>
  <c r="DV40" i="7"/>
  <c r="DV27" i="7"/>
  <c r="DU61" i="7"/>
  <c r="DV33" i="7"/>
  <c r="DU70" i="7"/>
  <c r="DV34" i="7"/>
  <c r="DU71" i="7"/>
  <c r="DV36" i="7"/>
  <c r="DU73" i="7"/>
  <c r="DV38" i="7"/>
  <c r="DU75" i="7"/>
  <c r="DV39" i="7"/>
  <c r="DV29" i="7"/>
  <c r="DU63" i="7"/>
  <c r="DV35" i="7"/>
  <c r="DU72" i="7"/>
  <c r="DV28" i="7"/>
  <c r="DU62" i="7"/>
  <c r="DI46" i="7"/>
  <c r="DI50" i="7"/>
  <c r="DI51" i="7" s="1"/>
  <c r="DJ8" i="7"/>
  <c r="DJ86" i="7"/>
  <c r="DJ45" i="7"/>
  <c r="DJ76" i="7"/>
  <c r="DJ77" i="7"/>
  <c r="CP94" i="7"/>
  <c r="CP95" i="7" s="1"/>
  <c r="CP96" i="7" s="1"/>
  <c r="CP98" i="7" s="1"/>
  <c r="DG56" i="7"/>
  <c r="DG57" i="7" s="1"/>
  <c r="DG64" i="7"/>
  <c r="DH169" i="7"/>
  <c r="DH172" i="7"/>
  <c r="DJ150" i="7"/>
  <c r="DJ109" i="7" s="1"/>
  <c r="DC82" i="7"/>
  <c r="DE59" i="7"/>
  <c r="DI170" i="7"/>
  <c r="DK5" i="7"/>
  <c r="DI174" i="7"/>
  <c r="CO96" i="7"/>
  <c r="CO98" i="7" s="1"/>
  <c r="CQ81" i="7"/>
  <c r="CQ94" i="7" s="1"/>
  <c r="DF55" i="7"/>
  <c r="DF74" i="7" s="1"/>
  <c r="DF78" i="7" s="1"/>
  <c r="DE66" i="7"/>
  <c r="DJ144" i="7"/>
  <c r="DJ146" i="7" s="1"/>
  <c r="DD80" i="7"/>
  <c r="DK6" i="7"/>
  <c r="DI87" i="7"/>
  <c r="DG52" i="7"/>
  <c r="DG58" i="7" s="1"/>
  <c r="DW32" i="7" l="1"/>
  <c r="DV69" i="7"/>
  <c r="DW33" i="7"/>
  <c r="DV70" i="7"/>
  <c r="DW27" i="7"/>
  <c r="DV61" i="7"/>
  <c r="DW39" i="7"/>
  <c r="DW40" i="7"/>
  <c r="DW38" i="7"/>
  <c r="DV75" i="7"/>
  <c r="DW36" i="7"/>
  <c r="DV73" i="7"/>
  <c r="DV49" i="7"/>
  <c r="DW44" i="7"/>
  <c r="DW35" i="7"/>
  <c r="DV72" i="7"/>
  <c r="DW29" i="7"/>
  <c r="DV63" i="7"/>
  <c r="DK8" i="7"/>
  <c r="DK86" i="7"/>
  <c r="DK45" i="7"/>
  <c r="DK77" i="7"/>
  <c r="DK76" i="7"/>
  <c r="DJ46" i="7"/>
  <c r="DJ50" i="7"/>
  <c r="DJ51" i="7" s="1"/>
  <c r="DW28" i="7"/>
  <c r="DV62" i="7"/>
  <c r="DW34" i="7"/>
  <c r="DV71" i="7"/>
  <c r="DH56" i="7"/>
  <c r="DG53" i="7"/>
  <c r="DG54" i="7"/>
  <c r="DH64" i="7"/>
  <c r="DI172" i="7"/>
  <c r="DI169" i="7"/>
  <c r="DI171" i="7"/>
  <c r="DK150" i="7"/>
  <c r="DK109" i="7" s="1"/>
  <c r="DD82" i="7"/>
  <c r="DF59" i="7"/>
  <c r="DH54" i="7"/>
  <c r="DJ172" i="7"/>
  <c r="DJ171" i="7"/>
  <c r="DJ170" i="7"/>
  <c r="DL5" i="7"/>
  <c r="DJ174" i="7"/>
  <c r="CQ95" i="7"/>
  <c r="DE80" i="7"/>
  <c r="DF66" i="7"/>
  <c r="CR81" i="7"/>
  <c r="DH53" i="7"/>
  <c r="DH52" i="7"/>
  <c r="DH58" i="7" s="1"/>
  <c r="DJ87" i="7"/>
  <c r="DK144" i="7"/>
  <c r="DK146" i="7" s="1"/>
  <c r="DH57" i="7"/>
  <c r="DL6" i="7"/>
  <c r="DK46" i="7" l="1"/>
  <c r="DK50" i="7"/>
  <c r="DK51" i="7" s="1"/>
  <c r="DX32" i="7"/>
  <c r="DW69" i="7"/>
  <c r="DX38" i="7"/>
  <c r="DW75" i="7"/>
  <c r="DX34" i="7"/>
  <c r="DW71" i="7"/>
  <c r="DX40" i="7"/>
  <c r="DX28" i="7"/>
  <c r="DW62" i="7"/>
  <c r="DX39" i="7"/>
  <c r="DX27" i="7"/>
  <c r="DW61" i="7"/>
  <c r="DX33" i="7"/>
  <c r="DW70" i="7"/>
  <c r="DX36" i="7"/>
  <c r="DW73" i="7"/>
  <c r="DX29" i="7"/>
  <c r="DW63" i="7"/>
  <c r="DX35" i="7"/>
  <c r="DW72" i="7"/>
  <c r="DW49" i="7"/>
  <c r="DX44" i="7"/>
  <c r="DL8" i="7"/>
  <c r="DL86" i="7"/>
  <c r="DL77" i="7"/>
  <c r="DL45" i="7"/>
  <c r="DL76" i="7"/>
  <c r="DG55" i="7"/>
  <c r="DG74" i="7" s="1"/>
  <c r="DG78" i="7" s="1"/>
  <c r="DI56" i="7"/>
  <c r="DI57" i="7" s="1"/>
  <c r="DI64" i="7"/>
  <c r="CR94" i="7"/>
  <c r="CR95" i="7" s="1"/>
  <c r="CR96" i="7" s="1"/>
  <c r="CR98" i="7" s="1"/>
  <c r="DJ169" i="7"/>
  <c r="DL150" i="7"/>
  <c r="DL109" i="7" s="1"/>
  <c r="DE82" i="7"/>
  <c r="DI52" i="7"/>
  <c r="DI58" i="7" s="1"/>
  <c r="DK171" i="7"/>
  <c r="DK170" i="7"/>
  <c r="DK172" i="7"/>
  <c r="DM5" i="7"/>
  <c r="DF80" i="7"/>
  <c r="CQ96" i="7"/>
  <c r="CQ98" i="7" s="1"/>
  <c r="DK174" i="7"/>
  <c r="CS81" i="7"/>
  <c r="CS94" i="7" s="1"/>
  <c r="DH55" i="7"/>
  <c r="DH74" i="7" s="1"/>
  <c r="DH78" i="7" s="1"/>
  <c r="DI54" i="7"/>
  <c r="DI53" i="7"/>
  <c r="DL144" i="7"/>
  <c r="DL146" i="7" s="1"/>
  <c r="DM6" i="7"/>
  <c r="DL174" i="7"/>
  <c r="DG66" i="7"/>
  <c r="DK87" i="7"/>
  <c r="DG59" i="7" l="1"/>
  <c r="DM8" i="7"/>
  <c r="DM86" i="7"/>
  <c r="DM76" i="7"/>
  <c r="DM77" i="7"/>
  <c r="DM45" i="7"/>
  <c r="DY28" i="7"/>
  <c r="DX62" i="7"/>
  <c r="DL46" i="7"/>
  <c r="DL50" i="7"/>
  <c r="DL51" i="7" s="1"/>
  <c r="DY36" i="7"/>
  <c r="DX73" i="7"/>
  <c r="DY38" i="7"/>
  <c r="DX75" i="7"/>
  <c r="DY35" i="7"/>
  <c r="DX72" i="7"/>
  <c r="DY40" i="7"/>
  <c r="DY33" i="7"/>
  <c r="DX70" i="7"/>
  <c r="DY27" i="7"/>
  <c r="DX61" i="7"/>
  <c r="DX49" i="7"/>
  <c r="DY44" i="7"/>
  <c r="DY32" i="7"/>
  <c r="DX69" i="7"/>
  <c r="DY39" i="7"/>
  <c r="DY29" i="7"/>
  <c r="DX63" i="7"/>
  <c r="DY34" i="7"/>
  <c r="DX71" i="7"/>
  <c r="DK56" i="7"/>
  <c r="DJ64" i="7"/>
  <c r="DJ56" i="7"/>
  <c r="DJ57" i="7" s="1"/>
  <c r="DK169" i="7"/>
  <c r="DM150" i="7"/>
  <c r="DM109" i="7" s="1"/>
  <c r="DF82" i="7"/>
  <c r="DH59" i="7"/>
  <c r="EU61" i="7"/>
  <c r="CT81" i="7"/>
  <c r="DL170" i="7"/>
  <c r="DL171" i="7"/>
  <c r="DL172" i="7"/>
  <c r="DN5" i="7"/>
  <c r="DG80" i="7"/>
  <c r="CS95" i="7"/>
  <c r="EO61" i="7"/>
  <c r="EP61" i="7"/>
  <c r="EQ61" i="7"/>
  <c r="ER61" i="7"/>
  <c r="ES61" i="7"/>
  <c r="ET61" i="7"/>
  <c r="DH66" i="7"/>
  <c r="DI55" i="7"/>
  <c r="DI74" i="7" s="1"/>
  <c r="DI78" i="7" s="1"/>
  <c r="DM144" i="7"/>
  <c r="DM146" i="7" s="1"/>
  <c r="DL87" i="7"/>
  <c r="DN6" i="7"/>
  <c r="DZ38" i="7" l="1"/>
  <c r="DY75" i="7"/>
  <c r="DN8" i="7"/>
  <c r="DN86" i="7"/>
  <c r="DN45" i="7"/>
  <c r="DN77" i="7"/>
  <c r="DN76" i="7"/>
  <c r="DZ34" i="7"/>
  <c r="DY71" i="7"/>
  <c r="DZ33" i="7"/>
  <c r="DY70" i="7"/>
  <c r="DZ28" i="7"/>
  <c r="DY62" i="7"/>
  <c r="DM46" i="7"/>
  <c r="DM50" i="7"/>
  <c r="DM51" i="7" s="1"/>
  <c r="DZ39" i="7"/>
  <c r="DZ40" i="7"/>
  <c r="DY49" i="7"/>
  <c r="DZ44" i="7"/>
  <c r="DZ35" i="7"/>
  <c r="DY72" i="7"/>
  <c r="DZ36" i="7"/>
  <c r="DY73" i="7"/>
  <c r="DZ27" i="7"/>
  <c r="DY61" i="7"/>
  <c r="DZ29" i="7"/>
  <c r="DY63" i="7"/>
  <c r="DZ32" i="7"/>
  <c r="DY69" i="7"/>
  <c r="DJ52" i="7"/>
  <c r="DJ58" i="7" s="1"/>
  <c r="DJ53" i="7"/>
  <c r="DK64" i="7"/>
  <c r="DJ54" i="7"/>
  <c r="CT94" i="7"/>
  <c r="CT95" i="7" s="1"/>
  <c r="CT96" i="7" s="1"/>
  <c r="CT98" i="7" s="1"/>
  <c r="DL169" i="7"/>
  <c r="DN150" i="7"/>
  <c r="DN109" i="7" s="1"/>
  <c r="DG82" i="7"/>
  <c r="DI59" i="7"/>
  <c r="DL64" i="7"/>
  <c r="DL56" i="7"/>
  <c r="DL57" i="7" s="1"/>
  <c r="DO5" i="7"/>
  <c r="DM174" i="7"/>
  <c r="CS96" i="7"/>
  <c r="CS98" i="7" s="1"/>
  <c r="DI66" i="7"/>
  <c r="DH80" i="7"/>
  <c r="DM87" i="7"/>
  <c r="DN144" i="7"/>
  <c r="DN146" i="7" s="1"/>
  <c r="CU81" i="7"/>
  <c r="CU94" i="7" s="1"/>
  <c r="DK57" i="7"/>
  <c r="DK53" i="7"/>
  <c r="DK54" i="7"/>
  <c r="DK52" i="7"/>
  <c r="DK58" i="7" s="1"/>
  <c r="DO6" i="7"/>
  <c r="DO8" i="7" l="1"/>
  <c r="DO86" i="7"/>
  <c r="DO76" i="7"/>
  <c r="DO77" i="7"/>
  <c r="DO45" i="7"/>
  <c r="EA33" i="7"/>
  <c r="DZ70" i="7"/>
  <c r="EA34" i="7"/>
  <c r="DZ71" i="7"/>
  <c r="EA29" i="7"/>
  <c r="DZ63" i="7"/>
  <c r="EA40" i="7"/>
  <c r="DN46" i="7"/>
  <c r="DN50" i="7"/>
  <c r="DN51" i="7" s="1"/>
  <c r="EA27" i="7"/>
  <c r="DZ61" i="7"/>
  <c r="EA39" i="7"/>
  <c r="EA38" i="7"/>
  <c r="DZ75" i="7"/>
  <c r="EA35" i="7"/>
  <c r="DZ72" i="7"/>
  <c r="EA28" i="7"/>
  <c r="DZ62" i="7"/>
  <c r="DZ49" i="7"/>
  <c r="EA44" i="7"/>
  <c r="EA32" i="7"/>
  <c r="DZ69" i="7"/>
  <c r="EA36" i="7"/>
  <c r="DZ73" i="7"/>
  <c r="DJ55" i="7"/>
  <c r="DM56" i="7"/>
  <c r="DM172" i="7"/>
  <c r="DO150" i="7"/>
  <c r="DO109" i="7" s="1"/>
  <c r="DH82" i="7"/>
  <c r="DJ59" i="7"/>
  <c r="DP5" i="7"/>
  <c r="DL52" i="7"/>
  <c r="DL58" i="7" s="1"/>
  <c r="DN174" i="7"/>
  <c r="DL53" i="7"/>
  <c r="DI80" i="7"/>
  <c r="DL54" i="7"/>
  <c r="CV81" i="7"/>
  <c r="DO144" i="7"/>
  <c r="DO146" i="7" s="1"/>
  <c r="CU95" i="7"/>
  <c r="DN87" i="7"/>
  <c r="DP6" i="7"/>
  <c r="DK55" i="7"/>
  <c r="DK74" i="7" s="1"/>
  <c r="DK78" i="7" s="1"/>
  <c r="EB40" i="7" l="1"/>
  <c r="EB29" i="7"/>
  <c r="EA63" i="7"/>
  <c r="EB34" i="7"/>
  <c r="EA71" i="7"/>
  <c r="EB39" i="7"/>
  <c r="EB32" i="7"/>
  <c r="EA69" i="7"/>
  <c r="DJ66" i="7"/>
  <c r="DJ80" i="7" s="1"/>
  <c r="DJ74" i="7"/>
  <c r="DJ78" i="7" s="1"/>
  <c r="EB35" i="7"/>
  <c r="EA72" i="7"/>
  <c r="EB38" i="7"/>
  <c r="EA75" i="7"/>
  <c r="EB33" i="7"/>
  <c r="EA70" i="7"/>
  <c r="DP8" i="7"/>
  <c r="DP86" i="7"/>
  <c r="DP45" i="7"/>
  <c r="DP77" i="7"/>
  <c r="DP76" i="7"/>
  <c r="DO50" i="7"/>
  <c r="DO51" i="7" s="1"/>
  <c r="DO46" i="7"/>
  <c r="EB27" i="7"/>
  <c r="EA61" i="7"/>
  <c r="EA49" i="7"/>
  <c r="EB44" i="7"/>
  <c r="EB28" i="7"/>
  <c r="EA62" i="7"/>
  <c r="EB36" i="7"/>
  <c r="EA73" i="7"/>
  <c r="DN170" i="7"/>
  <c r="CV94" i="7"/>
  <c r="CV95" i="7" s="1"/>
  <c r="CV96" i="7" s="1"/>
  <c r="CV98" i="7" s="1"/>
  <c r="DN172" i="7"/>
  <c r="DN171" i="7"/>
  <c r="DN169" i="7"/>
  <c r="DM169" i="7"/>
  <c r="DM64" i="7"/>
  <c r="DM171" i="7"/>
  <c r="DM170" i="7"/>
  <c r="DP150" i="7"/>
  <c r="DP109" i="7" s="1"/>
  <c r="DI82" i="7"/>
  <c r="DK59" i="7"/>
  <c r="DO170" i="7"/>
  <c r="DO171" i="7"/>
  <c r="DQ5" i="7"/>
  <c r="DL55" i="7"/>
  <c r="DL74" i="7" s="1"/>
  <c r="DL78" i="7" s="1"/>
  <c r="DO174" i="7"/>
  <c r="CW81" i="7"/>
  <c r="CU96" i="7"/>
  <c r="CU98" i="7" s="1"/>
  <c r="DP144" i="7"/>
  <c r="DP146" i="7" s="1"/>
  <c r="DQ6" i="7"/>
  <c r="DK66" i="7"/>
  <c r="DM54" i="7"/>
  <c r="DM52" i="7"/>
  <c r="DM58" i="7" s="1"/>
  <c r="DM57" i="7"/>
  <c r="DM53" i="7"/>
  <c r="DO87" i="7"/>
  <c r="EC28" i="7" l="1"/>
  <c r="EB62" i="7"/>
  <c r="EB49" i="7"/>
  <c r="EC44" i="7"/>
  <c r="EC33" i="7"/>
  <c r="EB70" i="7"/>
  <c r="EC34" i="7"/>
  <c r="EB71" i="7"/>
  <c r="EC36" i="7"/>
  <c r="EB73" i="7"/>
  <c r="EC32" i="7"/>
  <c r="EB69" i="7"/>
  <c r="DQ8" i="7"/>
  <c r="DQ86" i="7"/>
  <c r="DQ76" i="7"/>
  <c r="DQ45" i="7"/>
  <c r="DQ77" i="7"/>
  <c r="EC38" i="7"/>
  <c r="EB75" i="7"/>
  <c r="DP50" i="7"/>
  <c r="DP51" i="7" s="1"/>
  <c r="DP46" i="7"/>
  <c r="EC39" i="7"/>
  <c r="EC29" i="7"/>
  <c r="EB63" i="7"/>
  <c r="EC27" i="7"/>
  <c r="EB61" i="7"/>
  <c r="EC35" i="7"/>
  <c r="EB72" i="7"/>
  <c r="EC40" i="7"/>
  <c r="DO56" i="7"/>
  <c r="DN64" i="7"/>
  <c r="CW94" i="7"/>
  <c r="CW95" i="7" s="1"/>
  <c r="CW96" i="7" s="1"/>
  <c r="CW98" i="7" s="1"/>
  <c r="DN56" i="7"/>
  <c r="DN57" i="7" s="1"/>
  <c r="DO169" i="7"/>
  <c r="DO172" i="7"/>
  <c r="DQ150" i="7"/>
  <c r="DQ109" i="7" s="1"/>
  <c r="DJ82" i="7"/>
  <c r="DL59" i="7"/>
  <c r="DO64" i="7"/>
  <c r="CX81" i="7"/>
  <c r="DP170" i="7"/>
  <c r="DP171" i="7"/>
  <c r="DR5" i="7"/>
  <c r="DL66" i="7"/>
  <c r="DP174" i="7"/>
  <c r="DN52" i="7"/>
  <c r="DN58" i="7" s="1"/>
  <c r="DQ144" i="7"/>
  <c r="DQ146" i="7" s="1"/>
  <c r="DK80" i="7"/>
  <c r="DP87" i="7"/>
  <c r="DR6" i="7"/>
  <c r="DM55" i="7"/>
  <c r="DM74" i="7" s="1"/>
  <c r="DM78" i="7" s="1"/>
  <c r="ED39" i="7" l="1"/>
  <c r="DR8" i="7"/>
  <c r="DR86" i="7"/>
  <c r="DR76" i="7"/>
  <c r="DR77" i="7"/>
  <c r="DR45" i="7"/>
  <c r="ED36" i="7"/>
  <c r="EC73" i="7"/>
  <c r="ED40" i="7"/>
  <c r="ED34" i="7"/>
  <c r="EC71" i="7"/>
  <c r="ED35" i="7"/>
  <c r="EC72" i="7"/>
  <c r="DQ50" i="7"/>
  <c r="DQ51" i="7" s="1"/>
  <c r="DQ46" i="7"/>
  <c r="ED27" i="7"/>
  <c r="EC61" i="7"/>
  <c r="EC49" i="7"/>
  <c r="ED44" i="7"/>
  <c r="ED28" i="7"/>
  <c r="EC62" i="7"/>
  <c r="ED38" i="7"/>
  <c r="EC75" i="7"/>
  <c r="ED33" i="7"/>
  <c r="EC70" i="7"/>
  <c r="ED29" i="7"/>
  <c r="EC63" i="7"/>
  <c r="ED32" i="7"/>
  <c r="EC69" i="7"/>
  <c r="DN54" i="7"/>
  <c r="DN53" i="7"/>
  <c r="DP56" i="7"/>
  <c r="DP172" i="7"/>
  <c r="CX94" i="7"/>
  <c r="CX95" i="7" s="1"/>
  <c r="CX96" i="7" s="1"/>
  <c r="CX98" i="7" s="1"/>
  <c r="DP169" i="7"/>
  <c r="DR150" i="7"/>
  <c r="DR109" i="7" s="1"/>
  <c r="DK82" i="7"/>
  <c r="DM59" i="7"/>
  <c r="DL80" i="7"/>
  <c r="DQ171" i="7"/>
  <c r="DS5" i="7"/>
  <c r="DQ174" i="7"/>
  <c r="DR144" i="7"/>
  <c r="DR146" i="7" s="1"/>
  <c r="CY81" i="7"/>
  <c r="DS6" i="7"/>
  <c r="DM66" i="7"/>
  <c r="DO57" i="7"/>
  <c r="DO52" i="7"/>
  <c r="DO58" i="7" s="1"/>
  <c r="DO53" i="7"/>
  <c r="DO54" i="7"/>
  <c r="DQ87" i="7"/>
  <c r="EE34" i="7" l="1"/>
  <c r="ED71" i="7"/>
  <c r="EE36" i="7"/>
  <c r="ED73" i="7"/>
  <c r="EE32" i="7"/>
  <c r="ED69" i="7"/>
  <c r="ED49" i="7"/>
  <c r="EE44" i="7"/>
  <c r="EE27" i="7"/>
  <c r="ED61" i="7"/>
  <c r="EE38" i="7"/>
  <c r="ED75" i="7"/>
  <c r="EE35" i="7"/>
  <c r="ED72" i="7"/>
  <c r="EE28" i="7"/>
  <c r="ED62" i="7"/>
  <c r="DS8" i="7"/>
  <c r="DS86" i="7"/>
  <c r="DS45" i="7"/>
  <c r="DS77" i="7"/>
  <c r="DS76" i="7"/>
  <c r="EE40" i="7"/>
  <c r="EE29" i="7"/>
  <c r="ED63" i="7"/>
  <c r="DR50" i="7"/>
  <c r="DR51" i="7" s="1"/>
  <c r="DR46" i="7"/>
  <c r="EE33" i="7"/>
  <c r="ED70" i="7"/>
  <c r="EE39" i="7"/>
  <c r="DN55" i="7"/>
  <c r="DN74" i="7" s="1"/>
  <c r="DN78" i="7" s="1"/>
  <c r="DP64" i="7"/>
  <c r="CY94" i="7"/>
  <c r="CY95" i="7" s="1"/>
  <c r="CY96" i="7" s="1"/>
  <c r="CY98" i="7" s="1"/>
  <c r="DQ169" i="7"/>
  <c r="DQ170" i="7"/>
  <c r="DQ172" i="7"/>
  <c r="DS150" i="7"/>
  <c r="DS109" i="7" s="1"/>
  <c r="DP52" i="7"/>
  <c r="DP58" i="7" s="1"/>
  <c r="DL82" i="7"/>
  <c r="DP53" i="7"/>
  <c r="DQ64" i="7"/>
  <c r="CZ81" i="7"/>
  <c r="DQ56" i="7"/>
  <c r="DR170" i="7"/>
  <c r="DR171" i="7"/>
  <c r="DT5" i="7"/>
  <c r="DR174" i="7"/>
  <c r="DM80" i="7"/>
  <c r="DP54" i="7"/>
  <c r="DP57" i="7"/>
  <c r="DS144" i="7"/>
  <c r="DS146" i="7" s="1"/>
  <c r="DR87" i="7"/>
  <c r="DO55" i="7"/>
  <c r="DO74" i="7" s="1"/>
  <c r="DO78" i="7" s="1"/>
  <c r="DT6" i="7"/>
  <c r="DN59" i="7" l="1"/>
  <c r="EE49" i="7"/>
  <c r="EF44" i="7"/>
  <c r="DN66" i="7"/>
  <c r="EF32" i="7"/>
  <c r="EE69" i="7"/>
  <c r="EF28" i="7"/>
  <c r="EE62" i="7"/>
  <c r="EF29" i="7"/>
  <c r="EE63" i="7"/>
  <c r="EF35" i="7"/>
  <c r="EE72" i="7"/>
  <c r="EF38" i="7"/>
  <c r="EE75" i="7"/>
  <c r="EF40" i="7"/>
  <c r="EF27" i="7"/>
  <c r="EE61" i="7"/>
  <c r="EF39" i="7"/>
  <c r="DS46" i="7"/>
  <c r="DS50" i="7"/>
  <c r="DS51" i="7" s="1"/>
  <c r="EF33" i="7"/>
  <c r="EE70" i="7"/>
  <c r="DT8" i="7"/>
  <c r="DT86" i="7"/>
  <c r="DT76" i="7"/>
  <c r="DT45" i="7"/>
  <c r="DT77" i="7"/>
  <c r="EF36" i="7"/>
  <c r="EE73" i="7"/>
  <c r="EF34" i="7"/>
  <c r="EE71" i="7"/>
  <c r="DR172" i="7"/>
  <c r="CZ94" i="7"/>
  <c r="CZ95" i="7" s="1"/>
  <c r="CZ96" i="7" s="1"/>
  <c r="CZ98" i="7" s="1"/>
  <c r="DR169" i="7"/>
  <c r="DT150" i="7"/>
  <c r="DT109" i="7" s="1"/>
  <c r="DM82" i="7"/>
  <c r="DO59" i="7"/>
  <c r="DP55" i="7"/>
  <c r="DR64" i="7"/>
  <c r="DR56" i="7"/>
  <c r="DU5" i="7"/>
  <c r="DS170" i="7"/>
  <c r="DS171" i="7"/>
  <c r="DS174" i="7"/>
  <c r="DN80" i="7"/>
  <c r="DT144" i="7"/>
  <c r="DT146" i="7" s="1"/>
  <c r="DA81" i="7"/>
  <c r="DA94" i="7" s="1"/>
  <c r="DS87" i="7"/>
  <c r="DU6" i="7"/>
  <c r="DQ52" i="7"/>
  <c r="DQ58" i="7" s="1"/>
  <c r="DQ57" i="7"/>
  <c r="DQ54" i="7"/>
  <c r="DQ53" i="7"/>
  <c r="DO66" i="7"/>
  <c r="EG36" i="7" l="1"/>
  <c r="EF73" i="7"/>
  <c r="EG40" i="7"/>
  <c r="DU8" i="7"/>
  <c r="DU86" i="7"/>
  <c r="DU45" i="7"/>
  <c r="DU77" i="7"/>
  <c r="DU76" i="7"/>
  <c r="EG28" i="7"/>
  <c r="EF62" i="7"/>
  <c r="EG27" i="7"/>
  <c r="EF61" i="7"/>
  <c r="EG32" i="7"/>
  <c r="EF69" i="7"/>
  <c r="DT50" i="7"/>
  <c r="DT51" i="7" s="1"/>
  <c r="DT46" i="7"/>
  <c r="EF49" i="7"/>
  <c r="EG44" i="7"/>
  <c r="EG29" i="7"/>
  <c r="EF63" i="7"/>
  <c r="EG34" i="7"/>
  <c r="EF71" i="7"/>
  <c r="EG39" i="7"/>
  <c r="DP66" i="7"/>
  <c r="DP80" i="7" s="1"/>
  <c r="DP74" i="7"/>
  <c r="DP78" i="7" s="1"/>
  <c r="EG38" i="7"/>
  <c r="EF75" i="7"/>
  <c r="EG33" i="7"/>
  <c r="EF70" i="7"/>
  <c r="EG35" i="7"/>
  <c r="EF72" i="7"/>
  <c r="DS169" i="7"/>
  <c r="DS172" i="7"/>
  <c r="DU150" i="7"/>
  <c r="DU109" i="7" s="1"/>
  <c r="DN82" i="7"/>
  <c r="DP59" i="7"/>
  <c r="DS64" i="7"/>
  <c r="DS56" i="7"/>
  <c r="DT170" i="7"/>
  <c r="DT172" i="7"/>
  <c r="DT171" i="7"/>
  <c r="DV5" i="7"/>
  <c r="DT174" i="7"/>
  <c r="DO80" i="7"/>
  <c r="DB81" i="7"/>
  <c r="DU144" i="7"/>
  <c r="DU146" i="7" s="1"/>
  <c r="DQ55" i="7"/>
  <c r="DQ74" i="7" s="1"/>
  <c r="DQ78" i="7" s="1"/>
  <c r="DA95" i="7"/>
  <c r="DR57" i="7"/>
  <c r="DR54" i="7"/>
  <c r="DR53" i="7"/>
  <c r="DR52" i="7"/>
  <c r="DR58" i="7" s="1"/>
  <c r="DV6" i="7"/>
  <c r="DT87" i="7"/>
  <c r="EH27" i="7" l="1"/>
  <c r="EG61" i="7"/>
  <c r="EH35" i="7"/>
  <c r="EG72" i="7"/>
  <c r="EH28" i="7"/>
  <c r="EG62" i="7"/>
  <c r="EH29" i="7"/>
  <c r="EG63" i="7"/>
  <c r="EH33" i="7"/>
  <c r="EG70" i="7"/>
  <c r="EG49" i="7"/>
  <c r="EH44" i="7"/>
  <c r="DU50" i="7"/>
  <c r="DU51" i="7" s="1"/>
  <c r="DU46" i="7"/>
  <c r="EH38" i="7"/>
  <c r="EG75" i="7"/>
  <c r="EH34" i="7"/>
  <c r="EG71" i="7"/>
  <c r="EH40" i="7"/>
  <c r="EH32" i="7"/>
  <c r="EG69" i="7"/>
  <c r="DV8" i="7"/>
  <c r="DV86" i="7"/>
  <c r="DV45" i="7"/>
  <c r="DV76" i="7"/>
  <c r="DV77" i="7"/>
  <c r="EH39" i="7"/>
  <c r="EH36" i="7"/>
  <c r="EG73" i="7"/>
  <c r="DB94" i="7"/>
  <c r="DB95" i="7" s="1"/>
  <c r="DB96" i="7" s="1"/>
  <c r="DB98" i="7" s="1"/>
  <c r="DT169" i="7"/>
  <c r="DV150" i="7"/>
  <c r="DV109" i="7" s="1"/>
  <c r="DO82" i="7"/>
  <c r="DP82" i="7"/>
  <c r="DQ59" i="7"/>
  <c r="DT64" i="7"/>
  <c r="DT56" i="7"/>
  <c r="DU170" i="7"/>
  <c r="DU171" i="7"/>
  <c r="DW5" i="7"/>
  <c r="DU174" i="7"/>
  <c r="DA96" i="7"/>
  <c r="DA98" i="7" s="1"/>
  <c r="DQ66" i="7"/>
  <c r="DV144" i="7"/>
  <c r="DV146" i="7" s="1"/>
  <c r="DC81" i="7"/>
  <c r="DC94" i="7" s="1"/>
  <c r="DD81" i="7"/>
  <c r="DD94" i="7" s="1"/>
  <c r="DS54" i="7"/>
  <c r="DS57" i="7"/>
  <c r="DS52" i="7"/>
  <c r="DS58" i="7" s="1"/>
  <c r="DS53" i="7"/>
  <c r="DR55" i="7"/>
  <c r="DR74" i="7" s="1"/>
  <c r="DR78" i="7" s="1"/>
  <c r="DW6" i="7"/>
  <c r="DU87" i="7"/>
  <c r="DW8" i="7" l="1"/>
  <c r="DW86" i="7"/>
  <c r="DW76" i="7"/>
  <c r="DW45" i="7"/>
  <c r="DW77" i="7"/>
  <c r="EI33" i="7"/>
  <c r="EH70" i="7"/>
  <c r="DV50" i="7"/>
  <c r="DV51" i="7" s="1"/>
  <c r="DV46" i="7"/>
  <c r="EI38" i="7"/>
  <c r="EH75" i="7"/>
  <c r="EI28" i="7"/>
  <c r="EH62" i="7"/>
  <c r="EI40" i="7"/>
  <c r="EI36" i="7"/>
  <c r="EH73" i="7"/>
  <c r="EI39" i="7"/>
  <c r="EI35" i="7"/>
  <c r="EH72" i="7"/>
  <c r="EI34" i="7"/>
  <c r="EH71" i="7"/>
  <c r="EI29" i="7"/>
  <c r="EH63" i="7"/>
  <c r="EH49" i="7"/>
  <c r="EI44" i="7"/>
  <c r="EI32" i="7"/>
  <c r="EH69" i="7"/>
  <c r="EI27" i="7"/>
  <c r="EH61" i="7"/>
  <c r="DU169" i="7"/>
  <c r="DW150" i="7"/>
  <c r="DW109" i="7" s="1"/>
  <c r="DU172" i="7"/>
  <c r="DR59" i="7"/>
  <c r="DT52" i="7"/>
  <c r="DT58" i="7" s="1"/>
  <c r="DU64" i="7"/>
  <c r="DU56" i="7"/>
  <c r="DV170" i="7"/>
  <c r="DV171" i="7"/>
  <c r="DV172" i="7"/>
  <c r="DX5" i="7"/>
  <c r="DQ80" i="7"/>
  <c r="DV174" i="7"/>
  <c r="DT53" i="7"/>
  <c r="DW144" i="7"/>
  <c r="DW146" i="7" s="1"/>
  <c r="DT54" i="7"/>
  <c r="DD95" i="7"/>
  <c r="DD96" i="7" s="1"/>
  <c r="DD98" i="7" s="1"/>
  <c r="DC95" i="7"/>
  <c r="DT57" i="7"/>
  <c r="DS55" i="7"/>
  <c r="DS74" i="7" s="1"/>
  <c r="DS78" i="7" s="1"/>
  <c r="DR66" i="7"/>
  <c r="DV87" i="7"/>
  <c r="DX6" i="7"/>
  <c r="EJ28" i="7" l="1"/>
  <c r="EJ62" i="7" s="1"/>
  <c r="EI62" i="7"/>
  <c r="EJ34" i="7"/>
  <c r="EJ71" i="7" s="1"/>
  <c r="EI71" i="7"/>
  <c r="EJ38" i="7"/>
  <c r="EJ75" i="7" s="1"/>
  <c r="EI75" i="7"/>
  <c r="EJ27" i="7"/>
  <c r="EJ61" i="7" s="1"/>
  <c r="F61" i="7" s="1" a="1"/>
  <c r="F61" i="7" s="1"/>
  <c r="EI61" i="7"/>
  <c r="EJ32" i="7"/>
  <c r="EJ69" i="7" s="1"/>
  <c r="EI69" i="7"/>
  <c r="EJ39" i="7"/>
  <c r="EI49" i="7"/>
  <c r="EJ44" i="7"/>
  <c r="EJ36" i="7"/>
  <c r="EJ73" i="7" s="1"/>
  <c r="EI73" i="7"/>
  <c r="EJ29" i="7"/>
  <c r="EJ63" i="7" s="1"/>
  <c r="F63" i="7" s="1" a="1"/>
  <c r="F63" i="7" s="1"/>
  <c r="EI63" i="7"/>
  <c r="DX8" i="7"/>
  <c r="DX86" i="7"/>
  <c r="DX77" i="7"/>
  <c r="DX76" i="7"/>
  <c r="DX45" i="7"/>
  <c r="EJ35" i="7"/>
  <c r="EJ72" i="7" s="1"/>
  <c r="EI72" i="7"/>
  <c r="EJ33" i="7"/>
  <c r="EJ70" i="7" s="1"/>
  <c r="EI70" i="7"/>
  <c r="DW50" i="7"/>
  <c r="DW51" i="7" s="1"/>
  <c r="DW46" i="7"/>
  <c r="EJ40" i="7"/>
  <c r="DV169" i="7"/>
  <c r="DX150" i="7"/>
  <c r="DX109" i="7" s="1"/>
  <c r="DQ82" i="7"/>
  <c r="DS59" i="7"/>
  <c r="DV64" i="7"/>
  <c r="DV56" i="7"/>
  <c r="DV57" i="7" s="1"/>
  <c r="DU53" i="7"/>
  <c r="DW171" i="7"/>
  <c r="DW172" i="7"/>
  <c r="DW170" i="7"/>
  <c r="DY5" i="7"/>
  <c r="DW174" i="7"/>
  <c r="DC96" i="7"/>
  <c r="DC98" i="7" s="1"/>
  <c r="DU52" i="7"/>
  <c r="DU58" i="7" s="1"/>
  <c r="DE81" i="7"/>
  <c r="DE94" i="7" s="1"/>
  <c r="DT55" i="7"/>
  <c r="DT74" i="7" s="1"/>
  <c r="DT78" i="7" s="1"/>
  <c r="DU54" i="7"/>
  <c r="DU57" i="7"/>
  <c r="DW87" i="7"/>
  <c r="DX144" i="7"/>
  <c r="DX146" i="7" s="1"/>
  <c r="DR80" i="7"/>
  <c r="DS66" i="7"/>
  <c r="DY6" i="7"/>
  <c r="DY94" i="7" s="1"/>
  <c r="F62" i="7" l="1" a="1"/>
  <c r="F62" i="7" s="1"/>
  <c r="DY8" i="7"/>
  <c r="DY86" i="7"/>
  <c r="DY76" i="7"/>
  <c r="DY77" i="7"/>
  <c r="DY45" i="7"/>
  <c r="EJ49" i="7"/>
  <c r="F49" i="7" s="1" a="1"/>
  <c r="F49" i="7" s="1"/>
  <c r="DX46" i="7"/>
  <c r="DX50" i="7"/>
  <c r="DX51" i="7" s="1"/>
  <c r="DW169" i="7"/>
  <c r="DY144" i="7"/>
  <c r="DY146" i="7" s="1"/>
  <c r="DY150" i="7"/>
  <c r="DY109" i="7" s="1"/>
  <c r="DR82" i="7"/>
  <c r="DT59" i="7"/>
  <c r="DW64" i="7"/>
  <c r="DW56" i="7"/>
  <c r="DX171" i="7"/>
  <c r="DX172" i="7"/>
  <c r="DX170" i="7"/>
  <c r="DZ5" i="7"/>
  <c r="DS80" i="7"/>
  <c r="DE95" i="7"/>
  <c r="DX174" i="7"/>
  <c r="DU55" i="7"/>
  <c r="DU74" i="7" s="1"/>
  <c r="DU78" i="7" s="1"/>
  <c r="DV53" i="7"/>
  <c r="DV52" i="7"/>
  <c r="DV58" i="7" s="1"/>
  <c r="DV54" i="7"/>
  <c r="DT66" i="7"/>
  <c r="DF81" i="7"/>
  <c r="DF94" i="7" s="1"/>
  <c r="DX87" i="7"/>
  <c r="DZ6" i="7"/>
  <c r="DZ94" i="7" s="1"/>
  <c r="DY46" i="7" l="1"/>
  <c r="DY50" i="7"/>
  <c r="DY51" i="7" s="1"/>
  <c r="DZ8" i="7"/>
  <c r="DZ86" i="7"/>
  <c r="DZ77" i="7"/>
  <c r="DZ45" i="7"/>
  <c r="DZ76" i="7"/>
  <c r="DX169" i="7"/>
  <c r="DZ144" i="7"/>
  <c r="DZ146" i="7" s="1"/>
  <c r="DZ150" i="7"/>
  <c r="DZ109" i="7" s="1"/>
  <c r="DS82" i="7"/>
  <c r="DU59" i="7"/>
  <c r="DX64" i="7"/>
  <c r="DX56" i="7"/>
  <c r="EA5" i="7"/>
  <c r="DY95" i="7"/>
  <c r="DY174" i="7"/>
  <c r="DE96" i="7"/>
  <c r="DE98" i="7" s="1"/>
  <c r="DU66" i="7"/>
  <c r="DT80" i="7"/>
  <c r="DV55" i="7"/>
  <c r="DV74" i="7" s="1"/>
  <c r="DV78" i="7" s="1"/>
  <c r="DF95" i="7"/>
  <c r="DF96" i="7" s="1"/>
  <c r="DF98" i="7" s="1"/>
  <c r="DG81" i="7"/>
  <c r="DZ95" i="7"/>
  <c r="EA6" i="7"/>
  <c r="EA94" i="7" s="1"/>
  <c r="DW54" i="7"/>
  <c r="DW57" i="7"/>
  <c r="DW52" i="7"/>
  <c r="DW58" i="7" s="1"/>
  <c r="DW53" i="7"/>
  <c r="DY87" i="7"/>
  <c r="DZ46" i="7" l="1"/>
  <c r="DZ50" i="7"/>
  <c r="DZ51" i="7" s="1"/>
  <c r="EA8" i="7"/>
  <c r="EA86" i="7"/>
  <c r="EA77" i="7"/>
  <c r="EA76" i="7"/>
  <c r="EA45" i="7"/>
  <c r="DG94" i="7"/>
  <c r="DG95" i="7" s="1"/>
  <c r="DG96" i="7" s="1"/>
  <c r="DG98" i="7" s="1"/>
  <c r="DY56" i="7"/>
  <c r="DY172" i="7"/>
  <c r="EA150" i="7"/>
  <c r="EA109" i="7" s="1"/>
  <c r="DT82" i="7"/>
  <c r="DV59" i="7"/>
  <c r="DZ170" i="7"/>
  <c r="EB5" i="7"/>
  <c r="DZ174" i="7"/>
  <c r="EA144" i="7"/>
  <c r="EA146" i="7" s="1"/>
  <c r="DU80" i="7"/>
  <c r="DH81" i="7"/>
  <c r="DV66" i="7"/>
  <c r="EA95" i="7"/>
  <c r="DZ87" i="7"/>
  <c r="DX54" i="7"/>
  <c r="DX53" i="7"/>
  <c r="DX57" i="7"/>
  <c r="DX52" i="7"/>
  <c r="DX58" i="7" s="1"/>
  <c r="EB6" i="7"/>
  <c r="EB94" i="7" s="1"/>
  <c r="DW55" i="7"/>
  <c r="DW74" i="7" s="1"/>
  <c r="DW78" i="7" s="1"/>
  <c r="EA46" i="7" l="1"/>
  <c r="EA50" i="7"/>
  <c r="EA51" i="7" s="1"/>
  <c r="EB8" i="7"/>
  <c r="EB86" i="7"/>
  <c r="EB76" i="7"/>
  <c r="EB77" i="7"/>
  <c r="EB45" i="7"/>
  <c r="DH94" i="7"/>
  <c r="DH95" i="7" s="1"/>
  <c r="DH96" i="7" s="1"/>
  <c r="DH98" i="7" s="1"/>
  <c r="DY64" i="7"/>
  <c r="DY169" i="7"/>
  <c r="DZ172" i="7"/>
  <c r="DZ171" i="7"/>
  <c r="DY171" i="7"/>
  <c r="DY96" i="7"/>
  <c r="DY170" i="7"/>
  <c r="DZ169" i="7"/>
  <c r="EB144" i="7"/>
  <c r="EB146" i="7" s="1"/>
  <c r="EB150" i="7"/>
  <c r="EB109" i="7" s="1"/>
  <c r="DU82" i="7"/>
  <c r="DW59" i="7"/>
  <c r="EA170" i="7"/>
  <c r="EA172" i="7"/>
  <c r="EC5" i="7"/>
  <c r="EA174" i="7"/>
  <c r="DZ96" i="7"/>
  <c r="DY53" i="7"/>
  <c r="DI81" i="7"/>
  <c r="DV80" i="7"/>
  <c r="DY52" i="7"/>
  <c r="DY58" i="7" s="1"/>
  <c r="DY54" i="7"/>
  <c r="DY57" i="7"/>
  <c r="EB95" i="7"/>
  <c r="EC6" i="7"/>
  <c r="EC94" i="7" s="1"/>
  <c r="DX55" i="7"/>
  <c r="DX74" i="7" s="1"/>
  <c r="DX78" i="7" s="1"/>
  <c r="DW66" i="7"/>
  <c r="EA87" i="7"/>
  <c r="EC8" i="7" l="1"/>
  <c r="EC86" i="7"/>
  <c r="EC76" i="7"/>
  <c r="EC45" i="7"/>
  <c r="EC77" i="7"/>
  <c r="EB46" i="7"/>
  <c r="EB50" i="7"/>
  <c r="EB51" i="7" s="1"/>
  <c r="DZ64" i="7"/>
  <c r="DI94" i="7"/>
  <c r="DI95" i="7" s="1"/>
  <c r="DI96" i="7" s="1"/>
  <c r="DI98" i="7" s="1"/>
  <c r="DZ56" i="7"/>
  <c r="DZ57" i="7" s="1"/>
  <c r="EA169" i="7"/>
  <c r="EA96" i="7"/>
  <c r="EC150" i="7"/>
  <c r="EC109" i="7" s="1"/>
  <c r="DV82" i="7"/>
  <c r="DX59" i="7"/>
  <c r="ED5" i="7"/>
  <c r="EC144" i="7"/>
  <c r="EC146" i="7" s="1"/>
  <c r="EB174" i="7"/>
  <c r="DJ81" i="7"/>
  <c r="DY55" i="7"/>
  <c r="DY74" i="7" s="1"/>
  <c r="DY78" i="7" s="1"/>
  <c r="DW80" i="7"/>
  <c r="DX66" i="7"/>
  <c r="ED6" i="7"/>
  <c r="ED94" i="7" s="1"/>
  <c r="EB87" i="7"/>
  <c r="ED8" i="7" l="1"/>
  <c r="ED86" i="7"/>
  <c r="ED76" i="7"/>
  <c r="ED45" i="7"/>
  <c r="ED77" i="7"/>
  <c r="EC50" i="7"/>
  <c r="EC51" i="7" s="1"/>
  <c r="EC46" i="7"/>
  <c r="DZ54" i="7"/>
  <c r="DJ94" i="7"/>
  <c r="DJ95" i="7" s="1"/>
  <c r="DJ96" i="7" s="1"/>
  <c r="DJ98" i="7" s="1"/>
  <c r="EA64" i="7"/>
  <c r="DZ53" i="7"/>
  <c r="DZ52" i="7"/>
  <c r="DZ58" i="7" s="1"/>
  <c r="EB169" i="7"/>
  <c r="EA52" i="7"/>
  <c r="EA58" i="7" s="1"/>
  <c r="EB171" i="7"/>
  <c r="EB170" i="7"/>
  <c r="EB172" i="7"/>
  <c r="EA171" i="7"/>
  <c r="ED144" i="7"/>
  <c r="ED146" i="7" s="1"/>
  <c r="ED174" i="7"/>
  <c r="ED150" i="7"/>
  <c r="ED109" i="7" s="1"/>
  <c r="DW82" i="7"/>
  <c r="DY59" i="7"/>
  <c r="EC171" i="7"/>
  <c r="EC170" i="7"/>
  <c r="EE5" i="7"/>
  <c r="EC174" i="7"/>
  <c r="EC95" i="7"/>
  <c r="DY66" i="7"/>
  <c r="DK81" i="7"/>
  <c r="DK94" i="7" s="1"/>
  <c r="ED95" i="7"/>
  <c r="EE6" i="7"/>
  <c r="EE94" i="7" s="1"/>
  <c r="DX80" i="7"/>
  <c r="EC87" i="7"/>
  <c r="ED46" i="7" l="1"/>
  <c r="ED50" i="7"/>
  <c r="ED51" i="7" s="1"/>
  <c r="EE8" i="7"/>
  <c r="EE86" i="7"/>
  <c r="EE45" i="7"/>
  <c r="EE77" i="7"/>
  <c r="EE76" i="7"/>
  <c r="EC172" i="7"/>
  <c r="DZ55" i="7"/>
  <c r="DZ59" i="7" s="1"/>
  <c r="EB64" i="7"/>
  <c r="EA54" i="7"/>
  <c r="EA53" i="7"/>
  <c r="EA56" i="7"/>
  <c r="EA57" i="7" s="1"/>
  <c r="EB56" i="7"/>
  <c r="EB57" i="7" s="1"/>
  <c r="EB96" i="7"/>
  <c r="EC96" i="7"/>
  <c r="EE150" i="7"/>
  <c r="EE109" i="7" s="1"/>
  <c r="DX82" i="7"/>
  <c r="ED170" i="7"/>
  <c r="EF5" i="7"/>
  <c r="EE144" i="7"/>
  <c r="EE146" i="7" s="1"/>
  <c r="DY80" i="7"/>
  <c r="DK95" i="7"/>
  <c r="DK96" i="7" s="1"/>
  <c r="DK98" i="7" s="1"/>
  <c r="DL81" i="7"/>
  <c r="DL94" i="7" s="1"/>
  <c r="EE95" i="7"/>
  <c r="EB52" i="7"/>
  <c r="EB58" i="7" s="1"/>
  <c r="ED87" i="7"/>
  <c r="EF6" i="7"/>
  <c r="EF94" i="7" s="1"/>
  <c r="EE174" i="7"/>
  <c r="EE46" i="7" l="1"/>
  <c r="EE50" i="7"/>
  <c r="EE51" i="7" s="1"/>
  <c r="EF8" i="7"/>
  <c r="EF86" i="7"/>
  <c r="EF76" i="7"/>
  <c r="EF77" i="7"/>
  <c r="EF45" i="7"/>
  <c r="DZ66" i="7"/>
  <c r="DZ74" i="7"/>
  <c r="DZ78" i="7" s="1"/>
  <c r="EA55" i="7"/>
  <c r="EA74" i="7" s="1"/>
  <c r="EA78" i="7" s="1"/>
  <c r="EB54" i="7"/>
  <c r="EB53" i="7"/>
  <c r="DY98" i="7"/>
  <c r="EC56" i="7"/>
  <c r="EC57" i="7" s="1"/>
  <c r="EC64" i="7"/>
  <c r="EC169" i="7"/>
  <c r="ED169" i="7"/>
  <c r="ED172" i="7"/>
  <c r="ED171" i="7"/>
  <c r="EF144" i="7"/>
  <c r="EF146" i="7" s="1"/>
  <c r="EF150" i="7"/>
  <c r="EF109" i="7" s="1"/>
  <c r="DY82" i="7"/>
  <c r="EA59" i="7"/>
  <c r="EG5" i="7"/>
  <c r="DM81" i="7"/>
  <c r="DL95" i="7"/>
  <c r="DL96" i="7" s="1"/>
  <c r="DL98" i="7" s="1"/>
  <c r="EE87" i="7"/>
  <c r="EF95" i="7"/>
  <c r="EG6" i="7"/>
  <c r="EG94" i="7" s="1"/>
  <c r="EC52" i="7"/>
  <c r="EC58" i="7" s="1"/>
  <c r="DZ80" i="7" l="1"/>
  <c r="EA66" i="7"/>
  <c r="EA80" i="7" s="1"/>
  <c r="EF46" i="7"/>
  <c r="EF50" i="7"/>
  <c r="EF51" i="7" s="1"/>
  <c r="EG8" i="7"/>
  <c r="EG86" i="7"/>
  <c r="EG76" i="7"/>
  <c r="EG45" i="7"/>
  <c r="EG77" i="7"/>
  <c r="EB55" i="7"/>
  <c r="EC54" i="7"/>
  <c r="EC53" i="7"/>
  <c r="EC55" i="7" s="1"/>
  <c r="EC74" i="7" s="1"/>
  <c r="EC78" i="7" s="1"/>
  <c r="DZ98" i="7"/>
  <c r="DM94" i="7"/>
  <c r="EE172" i="7"/>
  <c r="ED64" i="7"/>
  <c r="ED56" i="7"/>
  <c r="ED57" i="7" s="1"/>
  <c r="ED96" i="7"/>
  <c r="EE170" i="7"/>
  <c r="EG150" i="7"/>
  <c r="EG109" i="7" s="1"/>
  <c r="DZ82" i="7"/>
  <c r="EB59" i="7"/>
  <c r="EF170" i="7"/>
  <c r="EH5" i="7"/>
  <c r="EF174" i="7"/>
  <c r="EG144" i="7"/>
  <c r="EG146" i="7" s="1"/>
  <c r="DN81" i="7"/>
  <c r="EF87" i="7"/>
  <c r="EG95" i="7"/>
  <c r="EH6" i="7"/>
  <c r="EH94" i="7" s="1"/>
  <c r="EH8" i="7" l="1"/>
  <c r="EH86" i="7"/>
  <c r="EH45" i="7"/>
  <c r="EH76" i="7"/>
  <c r="EH77" i="7"/>
  <c r="EB66" i="7"/>
  <c r="EB74" i="7"/>
  <c r="EB78" i="7" s="1"/>
  <c r="EG50" i="7"/>
  <c r="EG51" i="7" s="1"/>
  <c r="EG46" i="7"/>
  <c r="EF171" i="7"/>
  <c r="EE96" i="7"/>
  <c r="EE56" i="7"/>
  <c r="EE57" i="7" s="1"/>
  <c r="ED54" i="7"/>
  <c r="ED53" i="7"/>
  <c r="ED52" i="7"/>
  <c r="ED58" i="7" s="1"/>
  <c r="DM95" i="7"/>
  <c r="DM96" i="7" s="1"/>
  <c r="DM98" i="7" s="1"/>
  <c r="EA98" i="7"/>
  <c r="DN94" i="7"/>
  <c r="DN95" i="7" s="1"/>
  <c r="DN96" i="7" s="1"/>
  <c r="DN98" i="7" s="1"/>
  <c r="EF56" i="7"/>
  <c r="EF57" i="7" s="1"/>
  <c r="EF64" i="7"/>
  <c r="EE64" i="7"/>
  <c r="EF169" i="7"/>
  <c r="EE169" i="7"/>
  <c r="EF172" i="7"/>
  <c r="EE171" i="7"/>
  <c r="EH144" i="7"/>
  <c r="EH146" i="7" s="1"/>
  <c r="EH150" i="7"/>
  <c r="EH109" i="7" s="1"/>
  <c r="EA82" i="7"/>
  <c r="EC59" i="7"/>
  <c r="DO81" i="7"/>
  <c r="EG171" i="7"/>
  <c r="EI5" i="7"/>
  <c r="EB80" i="7"/>
  <c r="EG174" i="7"/>
  <c r="EE52" i="7"/>
  <c r="EE58" i="7" s="1"/>
  <c r="EH95" i="7"/>
  <c r="EC66" i="7"/>
  <c r="EI6" i="7"/>
  <c r="EI94" i="7" s="1"/>
  <c r="EG87" i="7"/>
  <c r="EH50" i="7" l="1"/>
  <c r="EH51" i="7" s="1"/>
  <c r="EH46" i="7"/>
  <c r="EI8" i="7"/>
  <c r="EI86" i="7"/>
  <c r="EI76" i="7"/>
  <c r="EI77" i="7"/>
  <c r="EI45" i="7"/>
  <c r="EE54" i="7"/>
  <c r="EE53" i="7"/>
  <c r="EG172" i="7"/>
  <c r="ED55" i="7"/>
  <c r="ED59" i="7" s="1"/>
  <c r="EB98" i="7"/>
  <c r="DO94" i="7"/>
  <c r="DO95" i="7" s="1"/>
  <c r="DO96" i="7" s="1"/>
  <c r="DO98" i="7" s="1"/>
  <c r="EG56" i="7"/>
  <c r="EG64" i="7"/>
  <c r="EF96" i="7"/>
  <c r="EG169" i="7"/>
  <c r="EG170" i="7"/>
  <c r="EI144" i="7"/>
  <c r="EI146" i="7" s="1"/>
  <c r="EI150" i="7"/>
  <c r="EI109" i="7" s="1"/>
  <c r="EB82" i="7"/>
  <c r="EH172" i="7"/>
  <c r="EH170" i="7"/>
  <c r="EJ5" i="7"/>
  <c r="EF52" i="7"/>
  <c r="EF58" i="7" s="1"/>
  <c r="EH174" i="7"/>
  <c r="EF53" i="7"/>
  <c r="DP81" i="7"/>
  <c r="DP94" i="7" s="1"/>
  <c r="EF54" i="7"/>
  <c r="EH87" i="7"/>
  <c r="EI95" i="7"/>
  <c r="EC80" i="7"/>
  <c r="EJ6" i="7"/>
  <c r="EJ94" i="7" s="1"/>
  <c r="ED66" i="7" l="1"/>
  <c r="ED74" i="7"/>
  <c r="ED78" i="7" s="1"/>
  <c r="ED80" i="7" s="1"/>
  <c r="EI50" i="7"/>
  <c r="EI51" i="7" s="1"/>
  <c r="EI46" i="7"/>
  <c r="EJ8" i="7"/>
  <c r="EJ86" i="7"/>
  <c r="EJ76" i="7"/>
  <c r="EJ77" i="7"/>
  <c r="EJ45" i="7"/>
  <c r="EE55" i="7"/>
  <c r="EE74" i="7" s="1"/>
  <c r="EE78" i="7" s="1"/>
  <c r="EC98" i="7"/>
  <c r="EH64" i="7"/>
  <c r="EH169" i="7"/>
  <c r="EL29" i="7"/>
  <c r="EM33" i="7"/>
  <c r="EL34" i="7"/>
  <c r="EL38" i="7"/>
  <c r="EM32" i="7"/>
  <c r="EL36" i="7"/>
  <c r="EM28" i="7"/>
  <c r="EM27" i="7"/>
  <c r="EL40" i="7"/>
  <c r="EL41" i="7"/>
  <c r="EM41" i="7"/>
  <c r="EL171" i="7"/>
  <c r="EM35" i="7"/>
  <c r="EL45" i="7"/>
  <c r="EL28" i="7"/>
  <c r="EM44" i="7"/>
  <c r="EL170" i="7"/>
  <c r="EM39" i="7"/>
  <c r="EM36" i="7"/>
  <c r="EM38" i="7"/>
  <c r="EL39" i="7"/>
  <c r="EL172" i="7"/>
  <c r="EL44" i="7"/>
  <c r="EL27" i="7"/>
  <c r="EM29" i="7"/>
  <c r="EN29" i="7"/>
  <c r="EL33" i="7"/>
  <c r="EL32" i="7"/>
  <c r="EO41" i="7"/>
  <c r="EM40" i="7"/>
  <c r="EN41" i="7"/>
  <c r="EL35" i="7"/>
  <c r="EM34" i="7"/>
  <c r="EP27" i="7"/>
  <c r="EO29" i="7"/>
  <c r="EP41" i="7"/>
  <c r="EN28" i="7"/>
  <c r="EN27" i="7"/>
  <c r="EP28" i="7"/>
  <c r="EP29" i="7"/>
  <c r="EO28" i="7"/>
  <c r="EQ29" i="7"/>
  <c r="EQ27" i="7"/>
  <c r="ER27" i="7"/>
  <c r="EQ28" i="7"/>
  <c r="EL37" i="7"/>
  <c r="EO27" i="7"/>
  <c r="ER41" i="7"/>
  <c r="EQ41" i="7"/>
  <c r="ER28" i="7"/>
  <c r="ER29" i="7"/>
  <c r="ES41" i="7"/>
  <c r="ES27" i="7"/>
  <c r="ET27" i="7"/>
  <c r="ET41" i="7"/>
  <c r="ES29" i="7"/>
  <c r="EU41" i="7"/>
  <c r="EU27" i="7"/>
  <c r="ET28" i="7"/>
  <c r="EN37" i="7"/>
  <c r="ES28" i="7"/>
  <c r="EM37" i="7"/>
  <c r="ET29" i="7"/>
  <c r="EV41" i="7"/>
  <c r="EU29" i="7"/>
  <c r="EU28" i="7"/>
  <c r="EO37" i="7"/>
  <c r="EV28" i="7"/>
  <c r="EP37" i="7"/>
  <c r="EW41" i="7"/>
  <c r="EV27" i="7"/>
  <c r="EW28" i="7"/>
  <c r="EV29" i="7"/>
  <c r="EW27" i="7"/>
  <c r="EW29" i="7"/>
  <c r="EQ37" i="7"/>
  <c r="ER37" i="7"/>
  <c r="EN32" i="7"/>
  <c r="EN34" i="7"/>
  <c r="EN40" i="7"/>
  <c r="EN39" i="7"/>
  <c r="EN38" i="7"/>
  <c r="EN33" i="7"/>
  <c r="EM172" i="7"/>
  <c r="EN44" i="7"/>
  <c r="EM45" i="7"/>
  <c r="EM171" i="7"/>
  <c r="ET37" i="7"/>
  <c r="ES37" i="7"/>
  <c r="EN36" i="7"/>
  <c r="EN35" i="7"/>
  <c r="EM170" i="7"/>
  <c r="EU37" i="7"/>
  <c r="EW37" i="7"/>
  <c r="EV37" i="7"/>
  <c r="EO36" i="7"/>
  <c r="EO32" i="7"/>
  <c r="EO40" i="7"/>
  <c r="EO44" i="7"/>
  <c r="EO35" i="7"/>
  <c r="EO33" i="7"/>
  <c r="EO39" i="7"/>
  <c r="EO38" i="7"/>
  <c r="EO34" i="7"/>
  <c r="EN170" i="7"/>
  <c r="EN45" i="7"/>
  <c r="EN172" i="7"/>
  <c r="EN171" i="7"/>
  <c r="EP33" i="7"/>
  <c r="EP40" i="7"/>
  <c r="EP32" i="7"/>
  <c r="EP44" i="7"/>
  <c r="EP36" i="7"/>
  <c r="EP38" i="7"/>
  <c r="EP35" i="7"/>
  <c r="EP34" i="7"/>
  <c r="EO45" i="7"/>
  <c r="EP39" i="7"/>
  <c r="F172" i="7"/>
  <c r="H11" i="14" s="1"/>
  <c r="J11" i="14" s="1"/>
  <c r="F170" i="7"/>
  <c r="H9" i="14" s="1"/>
  <c r="J9" i="14" s="1"/>
  <c r="F171" i="7"/>
  <c r="H10" i="14" s="1"/>
  <c r="J10" i="14" s="1"/>
  <c r="EO170" i="7"/>
  <c r="EO171" i="7"/>
  <c r="EO172" i="7"/>
  <c r="EP45" i="7"/>
  <c r="EQ32" i="7"/>
  <c r="EQ44" i="7"/>
  <c r="EQ39" i="7"/>
  <c r="EQ35" i="7"/>
  <c r="EQ38" i="7"/>
  <c r="EQ33" i="7"/>
  <c r="EQ40" i="7"/>
  <c r="EQ34" i="7"/>
  <c r="EQ36" i="7"/>
  <c r="EP170" i="7"/>
  <c r="EP172" i="7"/>
  <c r="EP171" i="7"/>
  <c r="ER38" i="7"/>
  <c r="ER44" i="7"/>
  <c r="ER39" i="7"/>
  <c r="ER33" i="7"/>
  <c r="ER36" i="7"/>
  <c r="ER35" i="7"/>
  <c r="ER40" i="7"/>
  <c r="ER34" i="7"/>
  <c r="ER32" i="7"/>
  <c r="EQ170" i="7"/>
  <c r="EQ172" i="7"/>
  <c r="EQ45" i="7"/>
  <c r="EQ171" i="7"/>
  <c r="ES35" i="7"/>
  <c r="ES39" i="7"/>
  <c r="ES44" i="7"/>
  <c r="ES34" i="7"/>
  <c r="ES36" i="7"/>
  <c r="ES38" i="7"/>
  <c r="ES32" i="7"/>
  <c r="ES33" i="7"/>
  <c r="ES40" i="7"/>
  <c r="ER172" i="7"/>
  <c r="ER171" i="7"/>
  <c r="ER170" i="7"/>
  <c r="ER45" i="7"/>
  <c r="ET36" i="7"/>
  <c r="ET32" i="7"/>
  <c r="ET35" i="7"/>
  <c r="ET40" i="7"/>
  <c r="ET39" i="7"/>
  <c r="ET44" i="7"/>
  <c r="ET33" i="7"/>
  <c r="ES171" i="7"/>
  <c r="ES172" i="7"/>
  <c r="ET38" i="7"/>
  <c r="ET34" i="7"/>
  <c r="ES45" i="7"/>
  <c r="ES170" i="7"/>
  <c r="EU38" i="7"/>
  <c r="EU36" i="7"/>
  <c r="EU33" i="7"/>
  <c r="EU32" i="7"/>
  <c r="ET171" i="7"/>
  <c r="EU44" i="7"/>
  <c r="EU39" i="7"/>
  <c r="EU40" i="7"/>
  <c r="EU34" i="7"/>
  <c r="EU35" i="7"/>
  <c r="ET170" i="7"/>
  <c r="ET172" i="7"/>
  <c r="ET45" i="7"/>
  <c r="EV36" i="7"/>
  <c r="EV40" i="7"/>
  <c r="EV33" i="7"/>
  <c r="EV34" i="7"/>
  <c r="EU171" i="7"/>
  <c r="EV39" i="7"/>
  <c r="EV44" i="7"/>
  <c r="EV35" i="7"/>
  <c r="EU45" i="7"/>
  <c r="EV32" i="7"/>
  <c r="EU170" i="7"/>
  <c r="EU172" i="7"/>
  <c r="EV38" i="7"/>
  <c r="EW36" i="7"/>
  <c r="EW32" i="7"/>
  <c r="EW40" i="7"/>
  <c r="EW35" i="7"/>
  <c r="EW34" i="7"/>
  <c r="EV45" i="7"/>
  <c r="EW39" i="7"/>
  <c r="EW38" i="7"/>
  <c r="EV170" i="7"/>
  <c r="EV171" i="7"/>
  <c r="EV172" i="7"/>
  <c r="EW44" i="7"/>
  <c r="EW33" i="7"/>
  <c r="EH171" i="7"/>
  <c r="F87" i="7"/>
  <c r="F174" i="7"/>
  <c r="H13" i="14" s="1"/>
  <c r="J13" i="14" s="1"/>
  <c r="F169" i="7"/>
  <c r="EJ150" i="7"/>
  <c r="EC82" i="7"/>
  <c r="EG96" i="7"/>
  <c r="EE59" i="7"/>
  <c r="EH56" i="7"/>
  <c r="EI170" i="7"/>
  <c r="EI171" i="7"/>
  <c r="EI172" i="7"/>
  <c r="EH96" i="7"/>
  <c r="EI174" i="7"/>
  <c r="C42" i="14"/>
  <c r="E42" i="14" s="1"/>
  <c r="EL174" i="7"/>
  <c r="EL169" i="7"/>
  <c r="EN169" i="7"/>
  <c r="EM169" i="7"/>
  <c r="EM174" i="7"/>
  <c r="EN174" i="7"/>
  <c r="EP169" i="7"/>
  <c r="EO169" i="7"/>
  <c r="EP174" i="7"/>
  <c r="EO174" i="7"/>
  <c r="EQ174" i="7"/>
  <c r="ER169" i="7"/>
  <c r="EQ169" i="7"/>
  <c r="ET174" i="7"/>
  <c r="ET169" i="7"/>
  <c r="ER174" i="7"/>
  <c r="ES174" i="7"/>
  <c r="ES169" i="7"/>
  <c r="EU174" i="7"/>
  <c r="EV169" i="7"/>
  <c r="EU169" i="7"/>
  <c r="EV174" i="7"/>
  <c r="DP95" i="7"/>
  <c r="EJ144" i="7"/>
  <c r="EJ146" i="7" s="1"/>
  <c r="EF55" i="7"/>
  <c r="EF74" i="7" s="1"/>
  <c r="EF78" i="7" s="1"/>
  <c r="DQ81" i="7"/>
  <c r="DQ94" i="7" s="1"/>
  <c r="EI87" i="7"/>
  <c r="EG57" i="7"/>
  <c r="EG54" i="7"/>
  <c r="EG52" i="7"/>
  <c r="EG58" i="7" s="1"/>
  <c r="EG53" i="7"/>
  <c r="EJ50" i="7" l="1"/>
  <c r="EJ46" i="7"/>
  <c r="EE66" i="7"/>
  <c r="F150" i="7"/>
  <c r="EJ109" i="7"/>
  <c r="EM46" i="7"/>
  <c r="EM56" i="7" s="1"/>
  <c r="EP46" i="7"/>
  <c r="EP56" i="7" s="1"/>
  <c r="ED98" i="7"/>
  <c r="ES46" i="7"/>
  <c r="ES56" i="7" s="1"/>
  <c r="ET46" i="7"/>
  <c r="ET56" i="7" s="1"/>
  <c r="EN46" i="7"/>
  <c r="EN56" i="7" s="1"/>
  <c r="ER46" i="7"/>
  <c r="ER56" i="7" s="1"/>
  <c r="EQ46" i="7"/>
  <c r="EQ56" i="7" s="1"/>
  <c r="EV46" i="7"/>
  <c r="EV56" i="7" s="1"/>
  <c r="EO46" i="7"/>
  <c r="EO56" i="7" s="1"/>
  <c r="EI169" i="7"/>
  <c r="EU46" i="7"/>
  <c r="EU56" i="7" s="1"/>
  <c r="EL46" i="7"/>
  <c r="EW94" i="7"/>
  <c r="EW45" i="7"/>
  <c r="EW46" i="7" s="1"/>
  <c r="EW56" i="7" s="1"/>
  <c r="EM16" i="7"/>
  <c r="EN16" i="7"/>
  <c r="EO16" i="7"/>
  <c r="EP16" i="7"/>
  <c r="EQ16" i="7"/>
  <c r="ER16" i="7"/>
  <c r="ES16" i="7"/>
  <c r="ET16" i="7"/>
  <c r="EU16" i="7"/>
  <c r="EV16" i="7"/>
  <c r="EW16" i="7"/>
  <c r="EM17" i="7"/>
  <c r="EN17" i="7"/>
  <c r="EO17" i="7"/>
  <c r="EP17" i="7"/>
  <c r="EQ17" i="7"/>
  <c r="ER17" i="7"/>
  <c r="ES17" i="7"/>
  <c r="ET17" i="7"/>
  <c r="EU17" i="7"/>
  <c r="EV17" i="7"/>
  <c r="EW17" i="7"/>
  <c r="EM15" i="7"/>
  <c r="EN15" i="7"/>
  <c r="EO15" i="7"/>
  <c r="EP15" i="7"/>
  <c r="EQ15" i="7"/>
  <c r="ER15" i="7"/>
  <c r="ES15" i="7"/>
  <c r="ET15" i="7"/>
  <c r="EU15" i="7"/>
  <c r="EV15" i="7"/>
  <c r="EW15" i="7"/>
  <c r="EN86" i="7"/>
  <c r="EU86" i="7"/>
  <c r="EV86" i="7"/>
  <c r="EW86" i="7"/>
  <c r="ED82" i="7"/>
  <c r="EF59" i="7"/>
  <c r="EN76" i="7"/>
  <c r="EO76" i="7"/>
  <c r="EP76" i="7"/>
  <c r="EQ76" i="7"/>
  <c r="ER76" i="7"/>
  <c r="ES76" i="7"/>
  <c r="ET76" i="7"/>
  <c r="EU76" i="7"/>
  <c r="EV76" i="7"/>
  <c r="EW76" i="7"/>
  <c r="EN77" i="7"/>
  <c r="EO77" i="7"/>
  <c r="EP77" i="7"/>
  <c r="EQ77" i="7"/>
  <c r="ER77" i="7"/>
  <c r="ES77" i="7"/>
  <c r="ET77" i="7"/>
  <c r="EU77" i="7"/>
  <c r="EV77" i="7"/>
  <c r="EW77" i="7"/>
  <c r="EI64" i="7"/>
  <c r="EI56" i="7"/>
  <c r="DR81" i="7"/>
  <c r="EM90" i="7"/>
  <c r="EN90" i="7"/>
  <c r="EO90" i="7"/>
  <c r="EP90" i="7"/>
  <c r="EQ90" i="7"/>
  <c r="ER90" i="7"/>
  <c r="ES90" i="7"/>
  <c r="ET90" i="7"/>
  <c r="EU90" i="7"/>
  <c r="EV90" i="7"/>
  <c r="EJ174" i="7"/>
  <c r="E43" i="14"/>
  <c r="E44" i="14" s="1"/>
  <c r="F42" i="14"/>
  <c r="EE80" i="7"/>
  <c r="DP96" i="7"/>
  <c r="DP98" i="7" s="1"/>
  <c r="EI96" i="7"/>
  <c r="EF66" i="7"/>
  <c r="EJ87" i="7"/>
  <c r="DQ95" i="7"/>
  <c r="DQ96" i="7" s="1"/>
  <c r="DQ98" i="7" s="1"/>
  <c r="EJ95" i="7"/>
  <c r="EH54" i="7"/>
  <c r="EH53" i="7"/>
  <c r="EH52" i="7"/>
  <c r="EH58" i="7" s="1"/>
  <c r="EH57" i="7"/>
  <c r="EG55" i="7"/>
  <c r="EG74" i="7" s="1"/>
  <c r="EG78" i="7" s="1"/>
  <c r="EJ51" i="7" l="1"/>
  <c r="F50" i="7" a="1"/>
  <c r="F50" i="7" s="1"/>
  <c r="F51" i="7" s="1"/>
  <c r="EE98" i="7"/>
  <c r="DR94" i="7"/>
  <c r="DR95" i="7" s="1"/>
  <c r="DR96" i="7" s="1"/>
  <c r="DR98" i="7" s="1"/>
  <c r="F64" i="7"/>
  <c r="EJ172" i="7"/>
  <c r="EW172" i="7" s="1"/>
  <c r="EW95" i="7"/>
  <c r="EM62" i="7"/>
  <c r="EN62" i="7"/>
  <c r="EO62" i="7"/>
  <c r="EP62" i="7"/>
  <c r="EQ62" i="7"/>
  <c r="ER62" i="7"/>
  <c r="ES62" i="7"/>
  <c r="ET62" i="7"/>
  <c r="EU62" i="7"/>
  <c r="EV62" i="7"/>
  <c r="EW62" i="7"/>
  <c r="EM14" i="7"/>
  <c r="EN14" i="7"/>
  <c r="EO14" i="7"/>
  <c r="EP14" i="7"/>
  <c r="EQ14" i="7"/>
  <c r="ER14" i="7"/>
  <c r="ES14" i="7"/>
  <c r="ET14" i="7"/>
  <c r="EU14" i="7"/>
  <c r="EV14" i="7"/>
  <c r="EW14" i="7"/>
  <c r="EM50" i="7"/>
  <c r="EN50" i="7"/>
  <c r="EO50" i="7"/>
  <c r="EP50" i="7"/>
  <c r="EQ50" i="7"/>
  <c r="ER50" i="7"/>
  <c r="ES50" i="7"/>
  <c r="ET50" i="7"/>
  <c r="EU50" i="7"/>
  <c r="EV50" i="7"/>
  <c r="EW50" i="7"/>
  <c r="EM49" i="7"/>
  <c r="EN49" i="7"/>
  <c r="EO49" i="7"/>
  <c r="EP49" i="7"/>
  <c r="EQ49" i="7"/>
  <c r="ER49" i="7"/>
  <c r="ES49" i="7"/>
  <c r="ET49" i="7"/>
  <c r="EU49" i="7"/>
  <c r="EV49" i="7"/>
  <c r="EW49" i="7"/>
  <c r="EJ170" i="7"/>
  <c r="EW170" i="7" s="1"/>
  <c r="EM91" i="7"/>
  <c r="EN91" i="7"/>
  <c r="EO91" i="7"/>
  <c r="EP91" i="7"/>
  <c r="EQ91" i="7"/>
  <c r="ER91" i="7"/>
  <c r="ES91" i="7"/>
  <c r="ET91" i="7"/>
  <c r="EU91" i="7"/>
  <c r="EV91" i="7"/>
  <c r="EW91" i="7"/>
  <c r="EJ171" i="7"/>
  <c r="EW171" i="7" s="1"/>
  <c r="EM92" i="7"/>
  <c r="EN92" i="7"/>
  <c r="EO92" i="7"/>
  <c r="EP92" i="7"/>
  <c r="EQ92" i="7"/>
  <c r="ER92" i="7"/>
  <c r="ES92" i="7"/>
  <c r="ET92" i="7"/>
  <c r="EU92" i="7"/>
  <c r="EV92" i="7"/>
  <c r="EW92" i="7"/>
  <c r="EE82" i="7"/>
  <c r="EN75" i="7"/>
  <c r="EO75" i="7"/>
  <c r="EP75" i="7"/>
  <c r="EQ75" i="7"/>
  <c r="ER75" i="7"/>
  <c r="ES75" i="7"/>
  <c r="ET75" i="7"/>
  <c r="EU75" i="7"/>
  <c r="EV75" i="7"/>
  <c r="EW75" i="7"/>
  <c r="EN72" i="7"/>
  <c r="EO72" i="7"/>
  <c r="EP72" i="7"/>
  <c r="EQ72" i="7"/>
  <c r="ER72" i="7"/>
  <c r="ES72" i="7"/>
  <c r="ET72" i="7"/>
  <c r="EU72" i="7"/>
  <c r="EV72" i="7"/>
  <c r="EW72" i="7"/>
  <c r="EN71" i="7"/>
  <c r="EO71" i="7"/>
  <c r="EP71" i="7"/>
  <c r="EQ71" i="7"/>
  <c r="ER71" i="7"/>
  <c r="ES71" i="7"/>
  <c r="ET71" i="7"/>
  <c r="EU71" i="7"/>
  <c r="EV71" i="7"/>
  <c r="EW71" i="7"/>
  <c r="EN70" i="7"/>
  <c r="EO70" i="7"/>
  <c r="EP70" i="7"/>
  <c r="EQ70" i="7"/>
  <c r="ER70" i="7"/>
  <c r="ES70" i="7"/>
  <c r="ET70" i="7"/>
  <c r="EU70" i="7"/>
  <c r="EV70" i="7"/>
  <c r="EW70" i="7"/>
  <c r="EG59" i="7"/>
  <c r="EO69" i="7"/>
  <c r="EP69" i="7"/>
  <c r="EU69" i="7"/>
  <c r="EV69" i="7"/>
  <c r="EW69" i="7"/>
  <c r="EN73" i="7"/>
  <c r="EO73" i="7"/>
  <c r="EP73" i="7"/>
  <c r="EQ73" i="7"/>
  <c r="ER73" i="7"/>
  <c r="ES73" i="7"/>
  <c r="ET73" i="7"/>
  <c r="EU73" i="7"/>
  <c r="EV73" i="7"/>
  <c r="EW73" i="7"/>
  <c r="EJ64" i="7"/>
  <c r="EN61" i="7"/>
  <c r="EV61" i="7"/>
  <c r="EW61" i="7"/>
  <c r="EJ56" i="7"/>
  <c r="EP87" i="7"/>
  <c r="EW87" i="7"/>
  <c r="EO87" i="7"/>
  <c r="EM93" i="7"/>
  <c r="EN93" i="7"/>
  <c r="EO93" i="7"/>
  <c r="EP93" i="7"/>
  <c r="EQ93" i="7"/>
  <c r="ER93" i="7"/>
  <c r="ES93" i="7"/>
  <c r="ET93" i="7"/>
  <c r="EU93" i="7"/>
  <c r="EV93" i="7"/>
  <c r="EW93" i="7"/>
  <c r="EV87" i="7"/>
  <c r="EN87" i="7"/>
  <c r="EU87" i="7"/>
  <c r="EM87" i="7"/>
  <c r="ET87" i="7"/>
  <c r="ES87" i="7"/>
  <c r="EW174" i="7"/>
  <c r="ER87" i="7"/>
  <c r="EQ87" i="7"/>
  <c r="H8" i="14"/>
  <c r="EM63" i="7"/>
  <c r="EN63" i="7"/>
  <c r="EO63" i="7"/>
  <c r="EP63" i="7"/>
  <c r="EQ63" i="7"/>
  <c r="ER63" i="7"/>
  <c r="ES63" i="7"/>
  <c r="ET63" i="7"/>
  <c r="EU63" i="7"/>
  <c r="EV63" i="7"/>
  <c r="EW63" i="7"/>
  <c r="EF80" i="7"/>
  <c r="DS81" i="7"/>
  <c r="DS94" i="7" s="1"/>
  <c r="EJ96" i="7"/>
  <c r="EG66" i="7"/>
  <c r="EH55" i="7"/>
  <c r="EH74" i="7" s="1"/>
  <c r="EH78" i="7" s="1"/>
  <c r="EI57" i="7"/>
  <c r="EI52" i="7"/>
  <c r="EI58" i="7" s="1"/>
  <c r="EI54" i="7"/>
  <c r="EI53" i="7"/>
  <c r="EQ64" i="7" l="1"/>
  <c r="ER51" i="7"/>
  <c r="ER64" i="7"/>
  <c r="EP64" i="7"/>
  <c r="EM64" i="7"/>
  <c r="EF98" i="7"/>
  <c r="EU64" i="7"/>
  <c r="EV51" i="7"/>
  <c r="EO64" i="7"/>
  <c r="EP51" i="7"/>
  <c r="EO51" i="7"/>
  <c r="EN51" i="7"/>
  <c r="ES51" i="7"/>
  <c r="EQ51" i="7"/>
  <c r="ES64" i="7"/>
  <c r="ET64" i="7"/>
  <c r="EW51" i="7"/>
  <c r="ET51" i="7"/>
  <c r="EM23" i="7"/>
  <c r="EM24" i="7" s="1"/>
  <c r="EN22" i="7" s="1"/>
  <c r="EN23" i="7"/>
  <c r="EO23" i="7"/>
  <c r="EP23" i="7"/>
  <c r="EQ23" i="7"/>
  <c r="ER23" i="7"/>
  <c r="ES23" i="7"/>
  <c r="ET23" i="7"/>
  <c r="EU23" i="7"/>
  <c r="EV23" i="7"/>
  <c r="EW23" i="7"/>
  <c r="EJ169" i="7"/>
  <c r="EW169" i="7" s="1"/>
  <c r="EW90" i="7"/>
  <c r="EW96" i="7" s="1"/>
  <c r="EU51" i="7"/>
  <c r="EM51" i="7"/>
  <c r="EF82" i="7"/>
  <c r="EW57" i="7"/>
  <c r="EH59" i="7"/>
  <c r="EJ52" i="7"/>
  <c r="F52" i="7" s="1" a="1"/>
  <c r="F52" i="7" s="1"/>
  <c r="F55" i="7" s="1"/>
  <c r="EV64" i="7"/>
  <c r="EN64" i="7"/>
  <c r="EW64" i="7"/>
  <c r="EJ53" i="7"/>
  <c r="F53" i="7" s="1" a="1"/>
  <c r="F53" i="7" s="1"/>
  <c r="EJ57" i="7"/>
  <c r="EJ54" i="7"/>
  <c r="F54" i="7" s="1" a="1"/>
  <c r="F54" i="7" s="1"/>
  <c r="J8" i="14"/>
  <c r="EO57" i="7"/>
  <c r="EM53" i="7"/>
  <c r="EN53" i="7"/>
  <c r="EO53" i="7"/>
  <c r="EP53" i="7"/>
  <c r="EQ53" i="7"/>
  <c r="ER53" i="7"/>
  <c r="ES53" i="7"/>
  <c r="ET53" i="7"/>
  <c r="EU53" i="7"/>
  <c r="EV53" i="7"/>
  <c r="EV57" i="7"/>
  <c r="EN57" i="7"/>
  <c r="EM54" i="7"/>
  <c r="EN54" i="7"/>
  <c r="EO54" i="7"/>
  <c r="EP54" i="7"/>
  <c r="EQ54" i="7"/>
  <c r="ER54" i="7"/>
  <c r="ES54" i="7"/>
  <c r="ET54" i="7"/>
  <c r="EU54" i="7"/>
  <c r="EV54" i="7"/>
  <c r="EU57" i="7"/>
  <c r="EM57" i="7"/>
  <c r="EP57" i="7"/>
  <c r="ES57" i="7"/>
  <c r="ER57" i="7"/>
  <c r="ET57" i="7"/>
  <c r="EM52" i="7"/>
  <c r="EN52" i="7"/>
  <c r="EO52" i="7"/>
  <c r="EP52" i="7"/>
  <c r="EQ52" i="7"/>
  <c r="ER52" i="7"/>
  <c r="ES52" i="7"/>
  <c r="ET52" i="7"/>
  <c r="EU52" i="7"/>
  <c r="EU58" i="7" s="1"/>
  <c r="EV52" i="7"/>
  <c r="EV58" i="7" s="1"/>
  <c r="DS95" i="7"/>
  <c r="EQ57" i="7"/>
  <c r="DT81" i="7"/>
  <c r="EH66" i="7"/>
  <c r="EI55" i="7"/>
  <c r="EI74" i="7" s="1"/>
  <c r="EI78" i="7" s="1"/>
  <c r="EG80" i="7"/>
  <c r="ER58" i="7" l="1"/>
  <c r="ES58" i="7"/>
  <c r="ET58" i="7"/>
  <c r="DT94" i="7"/>
  <c r="DT95" i="7" s="1"/>
  <c r="DT96" i="7" s="1"/>
  <c r="DT98" i="7" s="1"/>
  <c r="EG98" i="7"/>
  <c r="EP58" i="7"/>
  <c r="EJ58" i="7"/>
  <c r="EW54" i="7"/>
  <c r="EW53" i="7"/>
  <c r="EO58" i="7"/>
  <c r="EN24" i="7"/>
  <c r="EO22" i="7" s="1"/>
  <c r="EO24" i="7" s="1"/>
  <c r="EP22" i="7" s="1"/>
  <c r="EP24" i="7" s="1"/>
  <c r="EQ22" i="7" s="1"/>
  <c r="EQ24" i="7" s="1"/>
  <c r="ER22" i="7" s="1"/>
  <c r="ER24" i="7" s="1"/>
  <c r="ES22" i="7" s="1"/>
  <c r="ES24" i="7" s="1"/>
  <c r="ET22" i="7" s="1"/>
  <c r="ET24" i="7" s="1"/>
  <c r="EU22" i="7" s="1"/>
  <c r="EU24" i="7" s="1"/>
  <c r="EV22" i="7" s="1"/>
  <c r="EV24" i="7" s="1"/>
  <c r="EW22" i="7" s="1"/>
  <c r="EW24" i="7" s="1"/>
  <c r="EN58" i="7"/>
  <c r="EM58" i="7"/>
  <c r="EQ58" i="7"/>
  <c r="EW52" i="7"/>
  <c r="EW58" i="7" s="1"/>
  <c r="EG82" i="7"/>
  <c r="EJ55" i="7"/>
  <c r="EI59" i="7"/>
  <c r="EQ55" i="7"/>
  <c r="EV55" i="7"/>
  <c r="EV59" i="7" s="1"/>
  <c r="EU55" i="7"/>
  <c r="EU59" i="7" s="1"/>
  <c r="ES55" i="7"/>
  <c r="ES59" i="7" s="1"/>
  <c r="ET55" i="7"/>
  <c r="ET59" i="7" s="1"/>
  <c r="DS96" i="7"/>
  <c r="DS98" i="7" s="1"/>
  <c r="EP55" i="7"/>
  <c r="EP59" i="7" s="1"/>
  <c r="EO55" i="7"/>
  <c r="EO59" i="7" s="1"/>
  <c r="ER55" i="7"/>
  <c r="ER59" i="7" s="1"/>
  <c r="EN55" i="7"/>
  <c r="EN59" i="7" s="1"/>
  <c r="EM55" i="7"/>
  <c r="EM59" i="7" s="1"/>
  <c r="DU81" i="7"/>
  <c r="DU94" i="7" s="1"/>
  <c r="EI66" i="7"/>
  <c r="EH80" i="7"/>
  <c r="EJ59" i="7" l="1"/>
  <c r="EJ74" i="7"/>
  <c r="EJ78" i="7" s="1"/>
  <c r="EH98" i="7"/>
  <c r="F66" i="7"/>
  <c r="EQ66" i="7"/>
  <c r="EQ59" i="7"/>
  <c r="EW55" i="7"/>
  <c r="EW59" i="7" s="1"/>
  <c r="EH82" i="7"/>
  <c r="EJ66" i="7"/>
  <c r="ES66" i="7"/>
  <c r="EU66" i="7"/>
  <c r="EM74" i="7"/>
  <c r="EM78" i="7" s="1"/>
  <c r="EN74" i="7"/>
  <c r="EN78" i="7" s="1"/>
  <c r="EO74" i="7"/>
  <c r="EO78" i="7" s="1"/>
  <c r="EP74" i="7"/>
  <c r="EP78" i="7" s="1"/>
  <c r="EQ74" i="7"/>
  <c r="EQ78" i="7" s="1"/>
  <c r="ER74" i="7"/>
  <c r="ER78" i="7" s="1"/>
  <c r="ES74" i="7"/>
  <c r="ES78" i="7" s="1"/>
  <c r="ET74" i="7"/>
  <c r="ET78" i="7" s="1"/>
  <c r="EU74" i="7"/>
  <c r="EU78" i="7" s="1"/>
  <c r="EV74" i="7"/>
  <c r="EV78" i="7" s="1"/>
  <c r="EV66" i="7"/>
  <c r="EM66" i="7"/>
  <c r="EN66" i="7"/>
  <c r="ER66" i="7"/>
  <c r="ET66" i="7"/>
  <c r="EO66" i="7"/>
  <c r="EP66" i="7"/>
  <c r="DU95" i="7"/>
  <c r="DV81" i="7"/>
  <c r="DV94" i="7" s="1"/>
  <c r="EI80" i="7"/>
  <c r="EW66" i="7" l="1"/>
  <c r="EI98" i="7"/>
  <c r="EJ80" i="7"/>
  <c r="F78" i="7"/>
  <c r="EW74" i="7"/>
  <c r="EW78" i="7" s="1"/>
  <c r="EI82" i="7"/>
  <c r="EQ80" i="7"/>
  <c r="ER80" i="7"/>
  <c r="EP80" i="7"/>
  <c r="EN80" i="7"/>
  <c r="ET80" i="7"/>
  <c r="EM80" i="7"/>
  <c r="EO80" i="7"/>
  <c r="EU80" i="7"/>
  <c r="DU96" i="7"/>
  <c r="DU98" i="7" s="1"/>
  <c r="EV80" i="7"/>
  <c r="ES80" i="7"/>
  <c r="DV95" i="7"/>
  <c r="DV96" i="7" s="1"/>
  <c r="DV98" i="7" s="1"/>
  <c r="DW81" i="7"/>
  <c r="EW80" i="7" l="1"/>
  <c r="EW82" i="7" s="1"/>
  <c r="EO82" i="7"/>
  <c r="DX81" i="7"/>
  <c r="DX94" i="7" s="1"/>
  <c r="EJ98" i="7"/>
  <c r="EP82" i="7"/>
  <c r="EV82" i="7"/>
  <c r="ER82" i="7"/>
  <c r="EM82" i="7"/>
  <c r="EQ82" i="7"/>
  <c r="DW94" i="7"/>
  <c r="DW95" i="7" s="1"/>
  <c r="DW96" i="7" s="1"/>
  <c r="DW98" i="7" s="1"/>
  <c r="ET82" i="7"/>
  <c r="EN82" i="7"/>
  <c r="ES82" i="7"/>
  <c r="EU82" i="7"/>
  <c r="F80" i="7"/>
  <c r="EJ82" i="7"/>
  <c r="C33" i="14" a="1"/>
  <c r="C34" i="14" s="1"/>
  <c r="EM94" i="7"/>
  <c r="EN94" i="7"/>
  <c r="EO94" i="7"/>
  <c r="EP94" i="7"/>
  <c r="EQ94" i="7"/>
  <c r="ER94" i="7"/>
  <c r="ES94" i="7"/>
  <c r="ET94" i="7"/>
  <c r="EU94" i="7"/>
  <c r="DX95" i="7" l="1"/>
  <c r="E17" i="6"/>
  <c r="D17" i="6" s="1"/>
  <c r="EW98" i="7"/>
  <c r="EV94" i="7"/>
  <c r="C33" i="14"/>
  <c r="D34" i="14" s="1"/>
  <c r="C38" i="14"/>
  <c r="C36" i="14"/>
  <c r="C37" i="14"/>
  <c r="C35" i="14"/>
  <c r="D35" i="14" s="1"/>
  <c r="DX96" i="7"/>
  <c r="DX98" i="7" s="1"/>
  <c r="EM95" i="7"/>
  <c r="EM96" i="7" s="1"/>
  <c r="EN95" i="7"/>
  <c r="EN96" i="7" s="1"/>
  <c r="EO95" i="7"/>
  <c r="EO96" i="7" s="1"/>
  <c r="EP95" i="7"/>
  <c r="EP96" i="7" s="1"/>
  <c r="EQ95" i="7"/>
  <c r="EQ96" i="7" s="1"/>
  <c r="ER95" i="7"/>
  <c r="ER96" i="7" s="1"/>
  <c r="ER98" i="7" s="1"/>
  <c r="ES95" i="7"/>
  <c r="ES96" i="7" s="1"/>
  <c r="ES98" i="7" s="1"/>
  <c r="ET95" i="7"/>
  <c r="ET96" i="7" s="1"/>
  <c r="ET98" i="7" s="1"/>
  <c r="EU95" i="7"/>
  <c r="EU96" i="7" s="1"/>
  <c r="EU98" i="7" s="1"/>
  <c r="EV95" i="7"/>
  <c r="EV96" i="7" l="1"/>
  <c r="EV98" i="7" s="1"/>
  <c r="F96" i="7"/>
  <c r="F98" i="7" s="1"/>
  <c r="EQ98" i="7"/>
  <c r="EP98" i="7"/>
  <c r="EO98" i="7"/>
  <c r="EN98" i="7"/>
  <c r="EM98" i="7"/>
  <c r="D37" i="14"/>
  <c r="D36" i="14"/>
  <c r="D38" i="14"/>
  <c r="C102" i="7"/>
  <c r="C100" i="7"/>
  <c r="C103" i="7" s="1"/>
  <c r="C101" i="7"/>
  <c r="C24" i="14" l="1" a="1"/>
  <c r="D24" i="14" s="1"/>
  <c r="C24" i="14" l="1"/>
  <c r="E24" i="14"/>
  <c r="F24" i="14"/>
  <c r="T6" i="6" l="1"/>
  <c r="Y9" i="6"/>
  <c r="V10" i="6" s="1"/>
  <c r="J32" i="14"/>
  <c r="W10" i="6" l="1"/>
  <c r="Y10" i="6" s="1"/>
  <c r="V11" i="6" s="1"/>
  <c r="X11" i="6" s="1"/>
  <c r="U11" i="6" s="1"/>
  <c r="W11" i="6" s="1"/>
  <c r="I153" i="7"/>
  <c r="J153" i="7" l="1"/>
  <c r="Y11" i="6" l="1"/>
  <c r="V12" i="6" s="1"/>
  <c r="X12" i="6" s="1"/>
  <c r="U12" i="6" s="1"/>
  <c r="W12" i="6" s="1"/>
  <c r="K153" i="7" l="1"/>
  <c r="Y12" i="6" l="1"/>
  <c r="V13" i="6" s="1"/>
  <c r="X13" i="6" s="1"/>
  <c r="U13" i="6" s="1"/>
  <c r="W13" i="6" s="1"/>
  <c r="L153" i="7" l="1"/>
  <c r="Y13" i="6" l="1"/>
  <c r="V14" i="6" l="1"/>
  <c r="X14" i="6" s="1"/>
  <c r="U14" i="6" s="1"/>
  <c r="W14" i="6" s="1"/>
  <c r="M153" i="7" s="1"/>
  <c r="Y14" i="6" l="1"/>
  <c r="V15" i="6" s="1"/>
  <c r="X15" i="6" s="1"/>
  <c r="U15" i="6" s="1"/>
  <c r="W15" i="6" s="1"/>
  <c r="N153" i="7"/>
  <c r="Y15" i="6" l="1"/>
  <c r="V16" i="6" s="1"/>
  <c r="X16" i="6" s="1"/>
  <c r="U16" i="6" s="1"/>
  <c r="W16" i="6" s="1"/>
  <c r="O153" i="7" l="1"/>
  <c r="Y16" i="6" l="1"/>
  <c r="V17" i="6" l="1"/>
  <c r="X17" i="6" s="1"/>
  <c r="U17" i="6" s="1"/>
  <c r="W17" i="6" s="1"/>
  <c r="P153" i="7" s="1"/>
  <c r="Y17" i="6" l="1"/>
  <c r="V18" i="6" s="1"/>
  <c r="X18" i="6" s="1"/>
  <c r="U18" i="6" s="1"/>
  <c r="W18" i="6" s="1"/>
  <c r="Q153" i="7"/>
  <c r="Y18" i="6" l="1"/>
  <c r="V19" i="6" s="1"/>
  <c r="X19" i="6" s="1"/>
  <c r="U19" i="6" s="1"/>
  <c r="W19" i="6" s="1"/>
  <c r="R153" i="7" l="1"/>
  <c r="Y19" i="6" l="1"/>
  <c r="V20" i="6" s="1"/>
  <c r="X20" i="6" s="1"/>
  <c r="U20" i="6" s="1"/>
  <c r="W20" i="6" s="1"/>
  <c r="S153" i="7" l="1"/>
  <c r="Y20" i="6" l="1"/>
  <c r="V21" i="6" s="1"/>
  <c r="X21" i="6" s="1"/>
  <c r="U21" i="6" s="1"/>
  <c r="W21" i="6" s="1"/>
  <c r="T153" i="7" l="1"/>
  <c r="Y21" i="6" l="1"/>
  <c r="U153" i="7" l="1"/>
  <c r="V22" i="6"/>
  <c r="X22" i="6" s="1"/>
  <c r="U22" i="6" s="1"/>
  <c r="W22" i="6" s="1"/>
  <c r="Y22" i="6" s="1"/>
  <c r="V23" i="6" s="1"/>
  <c r="X23" i="6" s="1"/>
  <c r="U23" i="6" s="1"/>
  <c r="W23" i="6" s="1"/>
  <c r="V153" i="7" l="1"/>
  <c r="Y23" i="6" l="1"/>
  <c r="V24" i="6" s="1"/>
  <c r="X24" i="6" s="1"/>
  <c r="U24" i="6" s="1"/>
  <c r="W24" i="6" s="1"/>
  <c r="W153" i="7" l="1"/>
  <c r="Y24" i="6" l="1"/>
  <c r="V25" i="6" l="1"/>
  <c r="X25" i="6" s="1"/>
  <c r="U25" i="6" s="1"/>
  <c r="W25" i="6" s="1"/>
  <c r="X153" i="7" s="1"/>
  <c r="Y25" i="6" l="1"/>
  <c r="V26" i="6" s="1"/>
  <c r="X26" i="6" s="1"/>
  <c r="U26" i="6" s="1"/>
  <c r="W26" i="6" s="1"/>
  <c r="Y153" i="7"/>
  <c r="Y26" i="6" l="1"/>
  <c r="V27" i="6" l="1"/>
  <c r="X27" i="6" s="1"/>
  <c r="U27" i="6" s="1"/>
  <c r="W27" i="6" s="1"/>
  <c r="Z153" i="7" s="1"/>
  <c r="Y27" i="6" l="1"/>
  <c r="V28" i="6" s="1"/>
  <c r="X28" i="6" s="1"/>
  <c r="U28" i="6" s="1"/>
  <c r="W28" i="6" s="1"/>
  <c r="AA153" i="7"/>
  <c r="Y28" i="6" l="1"/>
  <c r="V29" i="6" l="1"/>
  <c r="X29" i="6" s="1"/>
  <c r="U29" i="6" s="1"/>
  <c r="W29" i="6" s="1"/>
  <c r="AB153" i="7" s="1"/>
  <c r="Y29" i="6" l="1"/>
  <c r="V30" i="6" l="1"/>
  <c r="X30" i="6" l="1"/>
  <c r="U30" i="6" s="1"/>
  <c r="W30" i="6" s="1"/>
  <c r="AC153" i="7" s="1"/>
  <c r="Y30" i="6" l="1"/>
  <c r="V31" i="6" l="1"/>
  <c r="X31" i="6" l="1"/>
  <c r="U31" i="6" s="1"/>
  <c r="W31" i="6" s="1"/>
  <c r="AD153" i="7" s="1"/>
  <c r="Y31" i="6" l="1"/>
  <c r="V32" i="6" l="1"/>
  <c r="X32" i="6" l="1"/>
  <c r="U32" i="6" s="1"/>
  <c r="W32" i="6" s="1"/>
  <c r="AE153" i="7" s="1"/>
  <c r="Y32" i="6" l="1"/>
  <c r="V33" i="6" l="1"/>
  <c r="X33" i="6" l="1"/>
  <c r="U33" i="6" s="1"/>
  <c r="W33" i="6" s="1"/>
  <c r="AF153" i="7" s="1"/>
  <c r="Y33" i="6" l="1"/>
  <c r="V34" i="6" l="1"/>
  <c r="X34" i="6" l="1"/>
  <c r="U34" i="6" s="1"/>
  <c r="W34" i="6" s="1"/>
  <c r="AG153" i="7" s="1"/>
  <c r="Y34" i="6" l="1"/>
  <c r="V35" i="6" l="1"/>
  <c r="X35" i="6" l="1"/>
  <c r="U35" i="6" s="1"/>
  <c r="W35" i="6" s="1"/>
  <c r="AH153" i="7" s="1"/>
  <c r="Y35" i="6" l="1"/>
  <c r="V36" i="6" l="1"/>
  <c r="X36" i="6" l="1"/>
  <c r="U36" i="6" s="1"/>
  <c r="W36" i="6" s="1"/>
  <c r="AI153" i="7" s="1"/>
  <c r="Y36" i="6" l="1"/>
  <c r="V37" i="6" l="1"/>
  <c r="X37" i="6" l="1"/>
  <c r="U37" i="6" s="1"/>
  <c r="W37" i="6" s="1"/>
  <c r="AJ153" i="7" s="1"/>
  <c r="Y37" i="6" l="1"/>
  <c r="V38" i="6" l="1"/>
  <c r="X38" i="6" l="1"/>
  <c r="U38" i="6" s="1"/>
  <c r="W38" i="6" s="1"/>
  <c r="AK153" i="7" s="1"/>
  <c r="Y38" i="6" l="1"/>
  <c r="V39" i="6" s="1"/>
  <c r="X39" i="6" l="1"/>
  <c r="U39" i="6" s="1"/>
  <c r="W39" i="6" s="1"/>
  <c r="AL153" i="7" s="1"/>
  <c r="Y39" i="6" l="1"/>
  <c r="V40" i="6" l="1"/>
  <c r="X40" i="6" l="1"/>
  <c r="U40" i="6" s="1"/>
  <c r="W40" i="6" s="1"/>
  <c r="AM153" i="7" s="1"/>
  <c r="Y40" i="6" l="1"/>
  <c r="V41" i="6" l="1"/>
  <c r="X41" i="6" l="1"/>
  <c r="U41" i="6" s="1"/>
  <c r="W41" i="6" s="1"/>
  <c r="AN153" i="7" s="1"/>
  <c r="Y41" i="6" l="1"/>
  <c r="V42" i="6" l="1"/>
  <c r="X42" i="6" l="1"/>
  <c r="U42" i="6" s="1"/>
  <c r="W42" i="6" s="1"/>
  <c r="AO153" i="7" s="1"/>
  <c r="Y42" i="6" l="1"/>
  <c r="V43" i="6" s="1"/>
  <c r="X43" i="6" l="1"/>
  <c r="U43" i="6" s="1"/>
  <c r="W43" i="6" s="1"/>
  <c r="AP153" i="7" s="1"/>
  <c r="Y43" i="6" l="1"/>
  <c r="V44" i="6" s="1"/>
  <c r="X44" i="6" l="1"/>
  <c r="U44" i="6" s="1"/>
  <c r="W44" i="6" s="1"/>
  <c r="AQ153" i="7" s="1"/>
  <c r="Y44" i="6" l="1"/>
  <c r="V45" i="6" s="1"/>
  <c r="X45" i="6" l="1"/>
  <c r="U45" i="6" s="1"/>
  <c r="W45" i="6" s="1"/>
  <c r="AR153" i="7" s="1"/>
  <c r="Y45" i="6" l="1"/>
  <c r="V46" i="6" s="1"/>
  <c r="X46" i="6" l="1"/>
  <c r="W46" i="6" s="1"/>
  <c r="AS153" i="7" s="1"/>
  <c r="Y46" i="6" l="1"/>
  <c r="V47" i="6" l="1"/>
  <c r="X47" i="6" l="1"/>
  <c r="W47" i="6" s="1"/>
  <c r="AT153" i="7" s="1"/>
  <c r="Y47" i="6" l="1"/>
  <c r="V48" i="6" s="1"/>
  <c r="X48" i="6" l="1"/>
  <c r="W48" i="6" s="1"/>
  <c r="AU153" i="7" s="1"/>
  <c r="Y48" i="6" l="1"/>
  <c r="V49" i="6" l="1"/>
  <c r="X49" i="6" l="1"/>
  <c r="W49" i="6" s="1"/>
  <c r="AV153" i="7" s="1"/>
  <c r="Y49" i="6" l="1"/>
  <c r="V50" i="6" s="1"/>
  <c r="X50" i="6" l="1"/>
  <c r="W50" i="6" s="1"/>
  <c r="AW153" i="7" s="1"/>
  <c r="Y50" i="6"/>
  <c r="V51" i="6" s="1"/>
  <c r="X51" i="6" l="1"/>
  <c r="W51" i="6" s="1"/>
  <c r="AX153" i="7" s="1"/>
  <c r="Y51" i="6" l="1"/>
  <c r="V52" i="6" s="1"/>
  <c r="X52" i="6" l="1"/>
  <c r="W52" i="6" s="1"/>
  <c r="AY153" i="7" s="1"/>
  <c r="Y52" i="6"/>
  <c r="V53" i="6" s="1"/>
  <c r="X53" i="6" l="1"/>
  <c r="W53" i="6" s="1"/>
  <c r="AZ153" i="7" s="1"/>
  <c r="Y53" i="6" l="1"/>
  <c r="V54" i="6" l="1"/>
  <c r="X54" i="6" l="1"/>
  <c r="W54" i="6" s="1"/>
  <c r="BA153" i="7" s="1"/>
  <c r="Y54" i="6" l="1"/>
  <c r="V55" i="6" l="1"/>
  <c r="X55" i="6" l="1"/>
  <c r="W55" i="6" s="1"/>
  <c r="BB153" i="7" s="1"/>
  <c r="Y55" i="6" l="1"/>
  <c r="V56" i="6" l="1"/>
  <c r="X56" i="6" l="1"/>
  <c r="W56" i="6" s="1"/>
  <c r="BC153" i="7" s="1"/>
  <c r="Y56" i="6" l="1"/>
  <c r="V57" i="6" l="1"/>
  <c r="X57" i="6" l="1"/>
  <c r="W57" i="6" s="1"/>
  <c r="BD153" i="7" s="1"/>
  <c r="Y57" i="6" l="1"/>
  <c r="V58" i="6" l="1"/>
  <c r="X58" i="6" l="1"/>
  <c r="W58" i="6" s="1"/>
  <c r="BE153" i="7" s="1"/>
  <c r="Y58" i="6" l="1"/>
  <c r="V59" i="6" s="1"/>
  <c r="X59" i="6" l="1"/>
  <c r="W59" i="6" s="1"/>
  <c r="BF153" i="7" s="1"/>
  <c r="Y59" i="6"/>
  <c r="V60" i="6" s="1"/>
  <c r="X60" i="6" l="1"/>
  <c r="W60" i="6" s="1"/>
  <c r="BG153" i="7" s="1"/>
  <c r="Y60" i="6" l="1"/>
  <c r="V61" i="6" s="1"/>
  <c r="X61" i="6" l="1"/>
  <c r="W61" i="6" s="1"/>
  <c r="BH153" i="7" s="1"/>
  <c r="Y61" i="6"/>
  <c r="V62" i="6" l="1"/>
  <c r="X62" i="6" l="1"/>
  <c r="W62" i="6" s="1"/>
  <c r="BI153" i="7" s="1"/>
  <c r="Y62" i="6"/>
  <c r="V63" i="6" s="1"/>
  <c r="X63" i="6" l="1"/>
  <c r="W63" i="6" s="1"/>
  <c r="BJ153" i="7" s="1"/>
  <c r="Y63" i="6"/>
  <c r="V64" i="6" s="1"/>
  <c r="X64" i="6" l="1"/>
  <c r="W64" i="6" s="1"/>
  <c r="BK153" i="7" s="1"/>
  <c r="Y64" i="6"/>
  <c r="V65" i="6" l="1"/>
  <c r="X65" i="6" l="1"/>
  <c r="W65" i="6" s="1"/>
  <c r="BL153" i="7" s="1"/>
  <c r="Y65" i="6" l="1"/>
  <c r="V66" i="6" l="1"/>
  <c r="X66" i="6" l="1"/>
  <c r="W66" i="6" s="1"/>
  <c r="BM153" i="7" s="1"/>
  <c r="Y66" i="6" l="1"/>
  <c r="V67" i="6" s="1"/>
  <c r="X67" i="6" l="1"/>
  <c r="W67" i="6" s="1"/>
  <c r="BN153" i="7" s="1"/>
  <c r="Y67" i="6"/>
  <c r="V68" i="6" s="1"/>
  <c r="X68" i="6" l="1"/>
  <c r="W68" i="6" s="1"/>
  <c r="BO153" i="7" s="1"/>
  <c r="Y68" i="6" l="1"/>
  <c r="V69" i="6" s="1"/>
  <c r="X69" i="6" l="1"/>
  <c r="W69" i="6" s="1"/>
  <c r="BP153" i="7" s="1"/>
  <c r="Y69" i="6"/>
  <c r="V70" i="6" l="1"/>
  <c r="X70" i="6" l="1"/>
  <c r="W70" i="6" s="1"/>
  <c r="BQ153" i="7" s="1"/>
  <c r="Y70" i="6" l="1"/>
  <c r="V71" i="6" s="1"/>
  <c r="X71" i="6" l="1"/>
  <c r="W71" i="6" s="1"/>
  <c r="BR153" i="7" s="1"/>
  <c r="Y71" i="6" l="1"/>
  <c r="V72" i="6" l="1"/>
  <c r="X72" i="6" l="1"/>
  <c r="W72" i="6" s="1"/>
  <c r="BS153" i="7" s="1"/>
  <c r="Y72" i="6" l="1"/>
  <c r="V73" i="6" s="1"/>
  <c r="X73" i="6" l="1"/>
  <c r="W73" i="6" s="1"/>
  <c r="BT153" i="7" s="1"/>
  <c r="Y73" i="6" l="1"/>
  <c r="V74" i="6" s="1"/>
  <c r="X74" i="6" l="1"/>
  <c r="W74" i="6" s="1"/>
  <c r="BU153" i="7" s="1"/>
  <c r="Y74" i="6" l="1"/>
  <c r="V75" i="6" s="1"/>
  <c r="X75" i="6" l="1"/>
  <c r="W75" i="6" s="1"/>
  <c r="BV153" i="7" s="1"/>
  <c r="Y75" i="6" l="1"/>
  <c r="V76" i="6" l="1"/>
  <c r="X76" i="6" l="1"/>
  <c r="W76" i="6" s="1"/>
  <c r="BW153" i="7" s="1"/>
  <c r="Y76" i="6" l="1"/>
  <c r="V77" i="6" s="1"/>
  <c r="X77" i="6" l="1"/>
  <c r="W77" i="6" s="1"/>
  <c r="BX153" i="7" s="1"/>
  <c r="Y77" i="6"/>
  <c r="V78" i="6" s="1"/>
  <c r="X78" i="6" l="1"/>
  <c r="W78" i="6" s="1"/>
  <c r="BY153" i="7" s="1"/>
  <c r="Y78" i="6" l="1"/>
  <c r="V79" i="6" l="1"/>
  <c r="X79" i="6" l="1"/>
  <c r="W79" i="6" s="1"/>
  <c r="BZ153" i="7" s="1"/>
  <c r="Y79" i="6" l="1"/>
  <c r="V80" i="6" s="1"/>
  <c r="X80" i="6" l="1"/>
  <c r="W80" i="6" s="1"/>
  <c r="CA153" i="7" s="1"/>
  <c r="Y80" i="6" l="1"/>
  <c r="V81" i="6" s="1"/>
  <c r="X81" i="6" l="1"/>
  <c r="W81" i="6" s="1"/>
  <c r="CB153" i="7" s="1"/>
  <c r="Y81" i="6" l="1"/>
  <c r="V82" i="6" l="1"/>
  <c r="X82" i="6" l="1"/>
  <c r="W82" i="6" s="1"/>
  <c r="CC153" i="7" s="1"/>
  <c r="Y82" i="6" l="1"/>
  <c r="V83" i="6" s="1"/>
  <c r="X83" i="6" l="1"/>
  <c r="W83" i="6" s="1"/>
  <c r="CD153" i="7" s="1"/>
  <c r="Y83" i="6" l="1"/>
  <c r="V84" i="6" s="1"/>
  <c r="X84" i="6" l="1"/>
  <c r="W84" i="6" s="1"/>
  <c r="CE153" i="7" s="1"/>
  <c r="Y84" i="6" l="1"/>
  <c r="V85" i="6" l="1"/>
  <c r="X85" i="6" l="1"/>
  <c r="W85" i="6" s="1"/>
  <c r="CF153" i="7" s="1"/>
  <c r="Y85" i="6"/>
  <c r="V86" i="6" l="1"/>
  <c r="X86" i="6" l="1"/>
  <c r="W86" i="6" s="1"/>
  <c r="CG153" i="7" s="1"/>
  <c r="Y86" i="6" l="1"/>
  <c r="V87" i="6" s="1"/>
  <c r="X87" i="6" l="1"/>
  <c r="W87" i="6" s="1"/>
  <c r="CH153" i="7" s="1"/>
  <c r="Y87" i="6" l="1"/>
  <c r="V88" i="6" s="1"/>
  <c r="X88" i="6" l="1"/>
  <c r="W88" i="6" s="1"/>
  <c r="CI153" i="7" s="1"/>
  <c r="Y88" i="6"/>
  <c r="V89" i="6" s="1"/>
  <c r="X89" i="6" l="1"/>
  <c r="W89" i="6" s="1"/>
  <c r="CJ153" i="7" s="1"/>
  <c r="Y89" i="6" l="1"/>
  <c r="V90" i="6" l="1"/>
  <c r="X90" i="6" l="1"/>
  <c r="W90" i="6" s="1"/>
  <c r="CK153" i="7" s="1"/>
  <c r="Y90" i="6" l="1"/>
  <c r="V91" i="6" s="1"/>
  <c r="X91" i="6" l="1"/>
  <c r="W91" i="6" s="1"/>
  <c r="CL153" i="7" s="1"/>
  <c r="Y91" i="6"/>
  <c r="V92" i="6" s="1"/>
  <c r="X92" i="6" l="1"/>
  <c r="W92" i="6" s="1"/>
  <c r="CM153" i="7" s="1"/>
  <c r="Y92" i="6" l="1"/>
  <c r="V93" i="6" l="1"/>
  <c r="X93" i="6" l="1"/>
  <c r="W93" i="6" s="1"/>
  <c r="CN153" i="7" s="1"/>
  <c r="Y93" i="6"/>
  <c r="V94" i="6" s="1"/>
  <c r="X94" i="6" l="1"/>
  <c r="W94" i="6" s="1"/>
  <c r="CO153" i="7" s="1"/>
  <c r="Y94" i="6" l="1"/>
  <c r="V95" i="6" s="1"/>
  <c r="X95" i="6" l="1"/>
  <c r="W95" i="6" s="1"/>
  <c r="CP153" i="7" s="1"/>
  <c r="Y95" i="6" l="1"/>
  <c r="V96" i="6" l="1"/>
  <c r="X96" i="6" l="1"/>
  <c r="W96" i="6" s="1"/>
  <c r="CQ153" i="7" s="1"/>
  <c r="Y96" i="6"/>
  <c r="EM153" i="7"/>
  <c r="EN153" i="7"/>
  <c r="EO153" i="7"/>
  <c r="EP153" i="7"/>
  <c r="EQ153" i="7"/>
  <c r="ER153" i="7"/>
  <c r="ES153" i="7"/>
  <c r="EL150" i="7"/>
  <c r="V97" i="6" l="1"/>
  <c r="EM150" i="7"/>
  <c r="EN150" i="7"/>
  <c r="EO150" i="7"/>
  <c r="EP150" i="7"/>
  <c r="EQ150" i="7"/>
  <c r="ER150" i="7"/>
  <c r="ES150" i="7"/>
  <c r="ET150" i="7"/>
  <c r="EU150" i="7"/>
  <c r="EV150" i="7"/>
  <c r="EW150" i="7"/>
  <c r="X97" i="6" l="1"/>
  <c r="W97" i="6" s="1"/>
  <c r="CR153" i="7" s="1"/>
  <c r="Y97" i="6"/>
  <c r="V98" i="6" l="1"/>
  <c r="X98" i="6" l="1"/>
  <c r="W98" i="6" s="1"/>
  <c r="CS153" i="7" s="1"/>
  <c r="Y98" i="6" l="1"/>
  <c r="V99" i="6" l="1"/>
  <c r="X99" i="6" l="1"/>
  <c r="W99" i="6" s="1"/>
  <c r="CT153" i="7" s="1"/>
  <c r="Y99" i="6" l="1"/>
  <c r="V100" i="6" s="1"/>
  <c r="X100" i="6" l="1"/>
  <c r="W100" i="6" s="1"/>
  <c r="CU153" i="7" s="1"/>
  <c r="Y100" i="6" l="1"/>
  <c r="V101" i="6" s="1"/>
  <c r="X101" i="6" l="1"/>
  <c r="W101" i="6" s="1"/>
  <c r="CV153" i="7" s="1"/>
  <c r="Y101" i="6" l="1"/>
  <c r="V102" i="6" l="1"/>
  <c r="X102" i="6" l="1"/>
  <c r="W102" i="6" s="1"/>
  <c r="CW153" i="7" s="1"/>
  <c r="Y102" i="6" l="1"/>
  <c r="V103" i="6" s="1"/>
  <c r="X103" i="6" l="1"/>
  <c r="W103" i="6" s="1"/>
  <c r="CX153" i="7" s="1"/>
  <c r="Y103" i="6" l="1"/>
  <c r="V104" i="6" s="1"/>
  <c r="X104" i="6" l="1"/>
  <c r="W104" i="6" s="1"/>
  <c r="CY153" i="7" s="1"/>
  <c r="Y104" i="6"/>
  <c r="V105" i="6" l="1"/>
  <c r="X105" i="6" l="1"/>
  <c r="W105" i="6" s="1"/>
  <c r="CZ153" i="7" s="1"/>
  <c r="Y105" i="6"/>
  <c r="V106" i="6" l="1"/>
  <c r="X106" i="6" l="1"/>
  <c r="W106" i="6" s="1"/>
  <c r="DA153" i="7" s="1"/>
  <c r="Y106" i="6" l="1"/>
  <c r="V107" i="6" s="1"/>
  <c r="X107" i="6" l="1"/>
  <c r="W107" i="6" s="1"/>
  <c r="DB153" i="7" s="1"/>
  <c r="Y107" i="6" l="1"/>
  <c r="V108" i="6" l="1"/>
  <c r="X108" i="6" l="1"/>
  <c r="W108" i="6" s="1"/>
  <c r="DC153" i="7" s="1"/>
  <c r="Y108" i="6"/>
  <c r="V109" i="6" l="1"/>
  <c r="X109" i="6" l="1"/>
  <c r="W109" i="6" s="1"/>
  <c r="DD153" i="7" s="1"/>
  <c r="Y109" i="6" l="1"/>
  <c r="V110" i="6" l="1"/>
  <c r="X110" i="6" l="1"/>
  <c r="W110" i="6" s="1"/>
  <c r="DE153" i="7" s="1"/>
  <c r="Y110" i="6" l="1"/>
  <c r="V111" i="6" s="1"/>
  <c r="X111" i="6" l="1"/>
  <c r="W111" i="6" s="1"/>
  <c r="DF153" i="7" s="1"/>
  <c r="Y111" i="6" l="1"/>
  <c r="V112" i="6" l="1"/>
  <c r="X112" i="6" l="1"/>
  <c r="W112" i="6" s="1"/>
  <c r="DG153" i="7" s="1"/>
  <c r="Y112" i="6" l="1"/>
  <c r="V113" i="6" s="1"/>
  <c r="X113" i="6" l="1"/>
  <c r="W113" i="6" s="1"/>
  <c r="DH153" i="7" s="1"/>
  <c r="Y113" i="6" l="1"/>
  <c r="V114" i="6" s="1"/>
  <c r="X114" i="6" l="1"/>
  <c r="W114" i="6" s="1"/>
  <c r="DI153" i="7" s="1"/>
  <c r="Y114" i="6" l="1"/>
  <c r="V115" i="6" s="1"/>
  <c r="X115" i="6" l="1"/>
  <c r="W115" i="6" s="1"/>
  <c r="DJ153" i="7" s="1"/>
  <c r="Y115" i="6" l="1"/>
  <c r="V116" i="6" s="1"/>
  <c r="X116" i="6" l="1"/>
  <c r="W116" i="6" s="1"/>
  <c r="DK153" i="7" s="1"/>
  <c r="Y116" i="6"/>
  <c r="V117" i="6" l="1"/>
  <c r="X117" i="6" l="1"/>
  <c r="W117" i="6" s="1"/>
  <c r="DL153" i="7" s="1"/>
  <c r="Y117" i="6" l="1"/>
  <c r="V118" i="6" s="1"/>
  <c r="X118" i="6" l="1"/>
  <c r="W118" i="6" s="1"/>
  <c r="DM153" i="7" s="1"/>
  <c r="Y118" i="6"/>
  <c r="V119" i="6" s="1"/>
  <c r="X119" i="6" l="1"/>
  <c r="W119" i="6" s="1"/>
  <c r="DN153" i="7" s="1"/>
  <c r="Y119" i="6" l="1"/>
  <c r="V120" i="6" s="1"/>
  <c r="X120" i="6" l="1"/>
  <c r="W120" i="6" s="1"/>
  <c r="DO153" i="7" s="1"/>
  <c r="Y120" i="6" l="1"/>
  <c r="V121" i="6" s="1"/>
  <c r="X121" i="6" l="1"/>
  <c r="W121" i="6" s="1"/>
  <c r="DP153" i="7" s="1"/>
  <c r="Y121" i="6" l="1"/>
  <c r="V122" i="6" l="1"/>
  <c r="X122" i="6" l="1"/>
  <c r="W122" i="6" s="1"/>
  <c r="DQ153" i="7" s="1"/>
  <c r="Y122" i="6"/>
  <c r="V123" i="6" l="1"/>
  <c r="X123" i="6" l="1"/>
  <c r="W123" i="6" s="1"/>
  <c r="DR153" i="7" s="1"/>
  <c r="Y123" i="6"/>
  <c r="V124" i="6" s="1"/>
  <c r="X124" i="6" l="1"/>
  <c r="W124" i="6" s="1"/>
  <c r="DS153" i="7" s="1"/>
  <c r="Y124" i="6" l="1"/>
  <c r="V125" i="6" l="1"/>
  <c r="X125" i="6" l="1"/>
  <c r="W125" i="6" s="1"/>
  <c r="DT153" i="7" s="1"/>
  <c r="Y125" i="6"/>
  <c r="V126" i="6" l="1"/>
  <c r="X126" i="6" l="1"/>
  <c r="W126" i="6" s="1"/>
  <c r="DU153" i="7" s="1"/>
  <c r="Y126" i="6"/>
  <c r="V127" i="6" l="1"/>
  <c r="X127" i="6" l="1"/>
  <c r="W127" i="6" s="1"/>
  <c r="DV153" i="7" s="1"/>
  <c r="Y127" i="6" l="1"/>
  <c r="V128" i="6" s="1"/>
  <c r="X128" i="6" l="1"/>
  <c r="W128" i="6" s="1"/>
  <c r="DW153" i="7" s="1"/>
  <c r="Y128" i="6" l="1"/>
  <c r="V129" i="6" s="1"/>
  <c r="X129" i="6" l="1"/>
  <c r="W129" i="6" s="1"/>
  <c r="Y129" i="6" s="1"/>
  <c r="EC153" i="7" l="1"/>
  <c r="EG153" i="7"/>
  <c r="ED153" i="7"/>
  <c r="EE153" i="7"/>
  <c r="EJ153" i="7"/>
  <c r="DZ153" i="7"/>
  <c r="EF153" i="7"/>
  <c r="EH153" i="7"/>
  <c r="DX153" i="7"/>
  <c r="DY153" i="7"/>
  <c r="EA153" i="7"/>
  <c r="EI153" i="7"/>
  <c r="EB153" i="7"/>
  <c r="EW153" i="7" l="1"/>
  <c r="F153" i="7"/>
  <c r="ET153" i="7"/>
  <c r="EU153" i="7"/>
  <c r="EV153" i="7"/>
  <c r="N13" i="6" l="1"/>
  <c r="D6" i="15"/>
  <c r="D7" i="15"/>
  <c r="D8" i="15"/>
  <c r="D9" i="15"/>
  <c r="D11" i="15"/>
  <c r="D12" i="15"/>
  <c r="D13" i="15"/>
  <c r="D14" i="15"/>
  <c r="D15" i="15"/>
  <c r="D17" i="15"/>
  <c r="D18" i="15"/>
  <c r="D19" i="15"/>
  <c r="D20" i="15"/>
  <c r="D21" i="15"/>
  <c r="D23" i="15"/>
  <c r="D24" i="15"/>
  <c r="D25" i="15"/>
  <c r="D27" i="15"/>
  <c r="D29" i="15"/>
  <c r="D30" i="15"/>
  <c r="E30" i="15"/>
  <c r="F30" i="15"/>
  <c r="D31" i="15"/>
  <c r="D32" i="15"/>
  <c r="E32" i="15"/>
  <c r="F32" i="15"/>
  <c r="D34" i="15"/>
  <c r="E34" i="15"/>
  <c r="F34" i="15"/>
  <c r="F37" i="15"/>
  <c r="F38" i="15"/>
  <c r="F39" i="15"/>
  <c r="F40" i="15"/>
  <c r="F46" i="15"/>
  <c r="F48" i="15"/>
  <c r="N5" i="6"/>
  <c r="N6" i="6"/>
  <c r="N7" i="6"/>
  <c r="AA7" i="6"/>
  <c r="N8" i="6"/>
  <c r="N10" i="6"/>
  <c r="N11" i="6"/>
  <c r="N12" i="6"/>
  <c r="N14" i="6"/>
  <c r="N15" i="6"/>
  <c r="N16" i="6"/>
  <c r="J17" i="6"/>
  <c r="N17" i="6"/>
  <c r="D18" i="6"/>
  <c r="E18" i="6"/>
  <c r="N18" i="6"/>
  <c r="E19" i="6"/>
  <c r="AA19" i="6"/>
  <c r="E20" i="6"/>
  <c r="N21" i="6"/>
  <c r="N22" i="6"/>
  <c r="N23" i="6"/>
  <c r="J25" i="6"/>
  <c r="N26" i="6"/>
  <c r="N27" i="6"/>
  <c r="N28" i="6"/>
  <c r="N31" i="6"/>
  <c r="AA31" i="6"/>
  <c r="N32" i="6"/>
  <c r="N33" i="6"/>
  <c r="I83" i="7"/>
  <c r="J83" i="7"/>
  <c r="K83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AJ83" i="7"/>
  <c r="AK83" i="7"/>
  <c r="AL83" i="7"/>
  <c r="AM83" i="7"/>
  <c r="AN83" i="7"/>
  <c r="AO83" i="7"/>
  <c r="AP83" i="7"/>
  <c r="AQ83" i="7"/>
  <c r="AR83" i="7"/>
  <c r="AS83" i="7"/>
  <c r="AT83" i="7"/>
  <c r="AU83" i="7"/>
  <c r="AV83" i="7"/>
  <c r="AW83" i="7"/>
  <c r="AX83" i="7"/>
  <c r="AY83" i="7"/>
  <c r="AZ83" i="7"/>
  <c r="BA83" i="7"/>
  <c r="BB83" i="7"/>
  <c r="BC83" i="7"/>
  <c r="BD83" i="7"/>
  <c r="BE83" i="7"/>
  <c r="BF83" i="7"/>
  <c r="BG83" i="7"/>
  <c r="BH83" i="7"/>
  <c r="BI83" i="7"/>
  <c r="BJ83" i="7"/>
  <c r="BK83" i="7"/>
  <c r="BL83" i="7"/>
  <c r="BM83" i="7"/>
  <c r="BN83" i="7"/>
  <c r="BO83" i="7"/>
  <c r="BP83" i="7"/>
  <c r="BQ83" i="7"/>
  <c r="BR83" i="7"/>
  <c r="BS83" i="7"/>
  <c r="BT83" i="7"/>
  <c r="BU83" i="7"/>
  <c r="BV83" i="7"/>
  <c r="BW83" i="7"/>
  <c r="BX83" i="7"/>
  <c r="BY83" i="7"/>
  <c r="BZ83" i="7"/>
  <c r="CA83" i="7"/>
  <c r="CB83" i="7"/>
  <c r="CC83" i="7"/>
  <c r="CD83" i="7"/>
  <c r="CE83" i="7"/>
  <c r="CF83" i="7"/>
  <c r="CG83" i="7"/>
  <c r="CH83" i="7"/>
  <c r="CI83" i="7"/>
  <c r="CJ83" i="7"/>
  <c r="CK83" i="7"/>
  <c r="CL83" i="7"/>
  <c r="CM83" i="7"/>
  <c r="CN83" i="7"/>
  <c r="CO83" i="7"/>
  <c r="CP83" i="7"/>
  <c r="CQ83" i="7"/>
  <c r="CR83" i="7"/>
  <c r="CS83" i="7"/>
  <c r="CT83" i="7"/>
  <c r="CU83" i="7"/>
  <c r="CV83" i="7"/>
  <c r="CW83" i="7"/>
  <c r="CX83" i="7"/>
  <c r="CY83" i="7"/>
  <c r="CZ83" i="7"/>
  <c r="DA83" i="7"/>
  <c r="DB83" i="7"/>
  <c r="DC83" i="7"/>
  <c r="DD83" i="7"/>
  <c r="DE83" i="7"/>
  <c r="DF83" i="7"/>
  <c r="DG83" i="7"/>
  <c r="DH83" i="7"/>
  <c r="DI83" i="7"/>
  <c r="DJ83" i="7"/>
  <c r="DK83" i="7"/>
  <c r="DL83" i="7"/>
  <c r="DM83" i="7"/>
  <c r="DN83" i="7"/>
  <c r="DO83" i="7"/>
  <c r="DP83" i="7"/>
  <c r="DQ83" i="7"/>
  <c r="DR83" i="7"/>
  <c r="DS83" i="7"/>
  <c r="DT83" i="7"/>
  <c r="DU83" i="7"/>
  <c r="DV83" i="7"/>
  <c r="DW83" i="7"/>
  <c r="DX83" i="7"/>
  <c r="DY83" i="7"/>
  <c r="DZ83" i="7"/>
  <c r="EA83" i="7"/>
  <c r="EB83" i="7"/>
  <c r="EC83" i="7"/>
  <c r="ED83" i="7"/>
  <c r="EE83" i="7"/>
  <c r="EF83" i="7"/>
  <c r="EG83" i="7"/>
  <c r="EH83" i="7"/>
  <c r="EI83" i="7"/>
  <c r="EJ83" i="7"/>
  <c r="EM83" i="7"/>
  <c r="EN83" i="7"/>
  <c r="EO83" i="7"/>
  <c r="EP83" i="7"/>
  <c r="EQ83" i="7"/>
  <c r="ER83" i="7"/>
  <c r="ES83" i="7"/>
  <c r="ET83" i="7"/>
  <c r="EU83" i="7"/>
  <c r="EV83" i="7"/>
  <c r="EW83" i="7"/>
  <c r="I110" i="7"/>
  <c r="J110" i="7"/>
  <c r="K110" i="7"/>
  <c r="L110" i="7"/>
  <c r="M110" i="7"/>
  <c r="N110" i="7"/>
  <c r="O110" i="7"/>
  <c r="P110" i="7"/>
  <c r="Q110" i="7"/>
  <c r="R110" i="7"/>
  <c r="S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AJ110" i="7"/>
  <c r="AK110" i="7"/>
  <c r="AL110" i="7"/>
  <c r="AM110" i="7"/>
  <c r="AN110" i="7"/>
  <c r="AO110" i="7"/>
  <c r="AP110" i="7"/>
  <c r="AQ110" i="7"/>
  <c r="AR110" i="7"/>
  <c r="AS110" i="7"/>
  <c r="AT110" i="7"/>
  <c r="AU110" i="7"/>
  <c r="AV110" i="7"/>
  <c r="AW110" i="7"/>
  <c r="AX110" i="7"/>
  <c r="AY110" i="7"/>
  <c r="AZ110" i="7"/>
  <c r="BA110" i="7"/>
  <c r="BB110" i="7"/>
  <c r="BC110" i="7"/>
  <c r="BD110" i="7"/>
  <c r="BE110" i="7"/>
  <c r="BF110" i="7"/>
  <c r="BG110" i="7"/>
  <c r="BH110" i="7"/>
  <c r="BI110" i="7"/>
  <c r="BJ110" i="7"/>
  <c r="BK110" i="7"/>
  <c r="BL110" i="7"/>
  <c r="BM110" i="7"/>
  <c r="BN110" i="7"/>
  <c r="BO110" i="7"/>
  <c r="BP110" i="7"/>
  <c r="BQ110" i="7"/>
  <c r="BR110" i="7"/>
  <c r="BS110" i="7"/>
  <c r="BT110" i="7"/>
  <c r="BU110" i="7"/>
  <c r="BV110" i="7"/>
  <c r="BW110" i="7"/>
  <c r="BX110" i="7"/>
  <c r="BY110" i="7"/>
  <c r="BZ110" i="7"/>
  <c r="CA110" i="7"/>
  <c r="CB110" i="7"/>
  <c r="CC110" i="7"/>
  <c r="CD110" i="7"/>
  <c r="CE110" i="7"/>
  <c r="CF110" i="7"/>
  <c r="CG110" i="7"/>
  <c r="CH110" i="7"/>
  <c r="CI110" i="7"/>
  <c r="CJ110" i="7"/>
  <c r="CK110" i="7"/>
  <c r="CL110" i="7"/>
  <c r="CM110" i="7"/>
  <c r="CN110" i="7"/>
  <c r="CO110" i="7"/>
  <c r="CP110" i="7"/>
  <c r="CQ110" i="7"/>
  <c r="CR110" i="7"/>
  <c r="CS110" i="7"/>
  <c r="CT110" i="7"/>
  <c r="CU110" i="7"/>
  <c r="CV110" i="7"/>
  <c r="CW110" i="7"/>
  <c r="CX110" i="7"/>
  <c r="CY110" i="7"/>
  <c r="CZ110" i="7"/>
  <c r="DA110" i="7"/>
  <c r="DB110" i="7"/>
  <c r="DC110" i="7"/>
  <c r="DD110" i="7"/>
  <c r="DE110" i="7"/>
  <c r="DF110" i="7"/>
  <c r="DG110" i="7"/>
  <c r="DH110" i="7"/>
  <c r="DI110" i="7"/>
  <c r="DJ110" i="7"/>
  <c r="DK110" i="7"/>
  <c r="DL110" i="7"/>
  <c r="DM110" i="7"/>
  <c r="DN110" i="7"/>
  <c r="DO110" i="7"/>
  <c r="DP110" i="7"/>
  <c r="DQ110" i="7"/>
  <c r="DR110" i="7"/>
  <c r="DS110" i="7"/>
  <c r="DT110" i="7"/>
  <c r="DU110" i="7"/>
  <c r="DV110" i="7"/>
  <c r="DW110" i="7"/>
  <c r="DX110" i="7"/>
  <c r="DY110" i="7"/>
  <c r="DZ110" i="7"/>
  <c r="EA110" i="7"/>
  <c r="EB110" i="7"/>
  <c r="EC110" i="7"/>
  <c r="ED110" i="7"/>
  <c r="EE110" i="7"/>
  <c r="EF110" i="7"/>
  <c r="EG110" i="7"/>
  <c r="EH110" i="7"/>
  <c r="EI110" i="7"/>
  <c r="EJ110" i="7"/>
  <c r="I112" i="7"/>
  <c r="J112" i="7"/>
  <c r="K112" i="7"/>
  <c r="L112" i="7"/>
  <c r="M112" i="7"/>
  <c r="N112" i="7"/>
  <c r="O112" i="7"/>
  <c r="P112" i="7"/>
  <c r="Q112" i="7"/>
  <c r="R112" i="7"/>
  <c r="S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AJ112" i="7"/>
  <c r="AK112" i="7"/>
  <c r="AL112" i="7"/>
  <c r="AM112" i="7"/>
  <c r="AN112" i="7"/>
  <c r="AO112" i="7"/>
  <c r="AP112" i="7"/>
  <c r="AQ112" i="7"/>
  <c r="AR112" i="7"/>
  <c r="AS112" i="7"/>
  <c r="AT112" i="7"/>
  <c r="AU112" i="7"/>
  <c r="AV112" i="7"/>
  <c r="AW112" i="7"/>
  <c r="AX112" i="7"/>
  <c r="AY112" i="7"/>
  <c r="AZ112" i="7"/>
  <c r="BA112" i="7"/>
  <c r="BB112" i="7"/>
  <c r="BC112" i="7"/>
  <c r="BD112" i="7"/>
  <c r="BE112" i="7"/>
  <c r="BF112" i="7"/>
  <c r="BG112" i="7"/>
  <c r="BH112" i="7"/>
  <c r="BI112" i="7"/>
  <c r="BJ112" i="7"/>
  <c r="BK112" i="7"/>
  <c r="BL112" i="7"/>
  <c r="BM112" i="7"/>
  <c r="BN112" i="7"/>
  <c r="BO112" i="7"/>
  <c r="BP112" i="7"/>
  <c r="BQ112" i="7"/>
  <c r="BR112" i="7"/>
  <c r="BS112" i="7"/>
  <c r="BT112" i="7"/>
  <c r="BU112" i="7"/>
  <c r="BV112" i="7"/>
  <c r="BW112" i="7"/>
  <c r="BX112" i="7"/>
  <c r="BY112" i="7"/>
  <c r="BZ112" i="7"/>
  <c r="CA112" i="7"/>
  <c r="CB112" i="7"/>
  <c r="CC112" i="7"/>
  <c r="CD112" i="7"/>
  <c r="CE112" i="7"/>
  <c r="CF112" i="7"/>
  <c r="CG112" i="7"/>
  <c r="CH112" i="7"/>
  <c r="CI112" i="7"/>
  <c r="CJ112" i="7"/>
  <c r="CK112" i="7"/>
  <c r="CL112" i="7"/>
  <c r="CM112" i="7"/>
  <c r="CN112" i="7"/>
  <c r="CO112" i="7"/>
  <c r="CP112" i="7"/>
  <c r="CQ112" i="7"/>
  <c r="CR112" i="7"/>
  <c r="CS112" i="7"/>
  <c r="CT112" i="7"/>
  <c r="CU112" i="7"/>
  <c r="CV112" i="7"/>
  <c r="CW112" i="7"/>
  <c r="CX112" i="7"/>
  <c r="CY112" i="7"/>
  <c r="CZ112" i="7"/>
  <c r="DA112" i="7"/>
  <c r="DB112" i="7"/>
  <c r="DC112" i="7"/>
  <c r="DD112" i="7"/>
  <c r="DE112" i="7"/>
  <c r="DF112" i="7"/>
  <c r="DG112" i="7"/>
  <c r="DH112" i="7"/>
  <c r="DI112" i="7"/>
  <c r="DJ112" i="7"/>
  <c r="DK112" i="7"/>
  <c r="DL112" i="7"/>
  <c r="DM112" i="7"/>
  <c r="DN112" i="7"/>
  <c r="DO112" i="7"/>
  <c r="DP112" i="7"/>
  <c r="DQ112" i="7"/>
  <c r="DR112" i="7"/>
  <c r="DS112" i="7"/>
  <c r="DT112" i="7"/>
  <c r="DU112" i="7"/>
  <c r="DV112" i="7"/>
  <c r="DW112" i="7"/>
  <c r="DX112" i="7"/>
  <c r="DY112" i="7"/>
  <c r="DZ112" i="7"/>
  <c r="EA112" i="7"/>
  <c r="EB112" i="7"/>
  <c r="EC112" i="7"/>
  <c r="ED112" i="7"/>
  <c r="EE112" i="7"/>
  <c r="EF112" i="7"/>
  <c r="EG112" i="7"/>
  <c r="EH112" i="7"/>
  <c r="EI112" i="7"/>
  <c r="EJ112" i="7"/>
  <c r="H115" i="7"/>
  <c r="I115" i="7"/>
  <c r="J115" i="7"/>
  <c r="K115" i="7"/>
  <c r="L115" i="7"/>
  <c r="M115" i="7"/>
  <c r="N115" i="7"/>
  <c r="O115" i="7"/>
  <c r="P115" i="7"/>
  <c r="Q115" i="7"/>
  <c r="R115" i="7"/>
  <c r="S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AJ115" i="7"/>
  <c r="AK115" i="7"/>
  <c r="AL115" i="7"/>
  <c r="AM115" i="7"/>
  <c r="AN115" i="7"/>
  <c r="AO115" i="7"/>
  <c r="AP115" i="7"/>
  <c r="AQ115" i="7"/>
  <c r="AR115" i="7"/>
  <c r="AS115" i="7"/>
  <c r="AT115" i="7"/>
  <c r="AU115" i="7"/>
  <c r="AV115" i="7"/>
  <c r="AW115" i="7"/>
  <c r="AX115" i="7"/>
  <c r="AY115" i="7"/>
  <c r="AZ115" i="7"/>
  <c r="BA115" i="7"/>
  <c r="BB115" i="7"/>
  <c r="BC115" i="7"/>
  <c r="BD115" i="7"/>
  <c r="BE115" i="7"/>
  <c r="BF115" i="7"/>
  <c r="BG115" i="7"/>
  <c r="BH115" i="7"/>
  <c r="BI115" i="7"/>
  <c r="BJ115" i="7"/>
  <c r="BK115" i="7"/>
  <c r="BL115" i="7"/>
  <c r="BM115" i="7"/>
  <c r="BN115" i="7"/>
  <c r="BO115" i="7"/>
  <c r="BP115" i="7"/>
  <c r="BQ115" i="7"/>
  <c r="BR115" i="7"/>
  <c r="BS115" i="7"/>
  <c r="BT115" i="7"/>
  <c r="BU115" i="7"/>
  <c r="BV115" i="7"/>
  <c r="BW115" i="7"/>
  <c r="BX115" i="7"/>
  <c r="BY115" i="7"/>
  <c r="BZ115" i="7"/>
  <c r="CA115" i="7"/>
  <c r="CB115" i="7"/>
  <c r="CC115" i="7"/>
  <c r="CD115" i="7"/>
  <c r="CE115" i="7"/>
  <c r="CF115" i="7"/>
  <c r="CG115" i="7"/>
  <c r="CH115" i="7"/>
  <c r="CI115" i="7"/>
  <c r="CJ115" i="7"/>
  <c r="CK115" i="7"/>
  <c r="CL115" i="7"/>
  <c r="CM115" i="7"/>
  <c r="CN115" i="7"/>
  <c r="CO115" i="7"/>
  <c r="CP115" i="7"/>
  <c r="CQ115" i="7"/>
  <c r="CR115" i="7"/>
  <c r="CS115" i="7"/>
  <c r="CT115" i="7"/>
  <c r="CU115" i="7"/>
  <c r="CV115" i="7"/>
  <c r="CW115" i="7"/>
  <c r="CX115" i="7"/>
  <c r="CY115" i="7"/>
  <c r="CZ115" i="7"/>
  <c r="DA115" i="7"/>
  <c r="DB115" i="7"/>
  <c r="DC115" i="7"/>
  <c r="DD115" i="7"/>
  <c r="DE115" i="7"/>
  <c r="DF115" i="7"/>
  <c r="DG115" i="7"/>
  <c r="DH115" i="7"/>
  <c r="DI115" i="7"/>
  <c r="DJ115" i="7"/>
  <c r="DK115" i="7"/>
  <c r="DL115" i="7"/>
  <c r="DM115" i="7"/>
  <c r="DN115" i="7"/>
  <c r="DO115" i="7"/>
  <c r="DP115" i="7"/>
  <c r="DQ115" i="7"/>
  <c r="DR115" i="7"/>
  <c r="DS115" i="7"/>
  <c r="DT115" i="7"/>
  <c r="DU115" i="7"/>
  <c r="DV115" i="7"/>
  <c r="DW115" i="7"/>
  <c r="DX115" i="7"/>
  <c r="DY115" i="7"/>
  <c r="DZ115" i="7"/>
  <c r="EA115" i="7"/>
  <c r="EB115" i="7"/>
  <c r="EC115" i="7"/>
  <c r="ED115" i="7"/>
  <c r="EE115" i="7"/>
  <c r="EF115" i="7"/>
  <c r="EG115" i="7"/>
  <c r="EH115" i="7"/>
  <c r="EI115" i="7"/>
  <c r="EJ115" i="7"/>
  <c r="H116" i="7"/>
  <c r="I116" i="7"/>
  <c r="J116" i="7"/>
  <c r="K116" i="7"/>
  <c r="L116" i="7"/>
  <c r="M116" i="7"/>
  <c r="N116" i="7"/>
  <c r="O116" i="7"/>
  <c r="P116" i="7"/>
  <c r="Q116" i="7"/>
  <c r="R116" i="7"/>
  <c r="S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AJ116" i="7"/>
  <c r="AK116" i="7"/>
  <c r="AL116" i="7"/>
  <c r="AM116" i="7"/>
  <c r="AN116" i="7"/>
  <c r="AO116" i="7"/>
  <c r="AP116" i="7"/>
  <c r="AQ116" i="7"/>
  <c r="AR116" i="7"/>
  <c r="AS116" i="7"/>
  <c r="AT116" i="7"/>
  <c r="AU116" i="7"/>
  <c r="AV116" i="7"/>
  <c r="AW116" i="7"/>
  <c r="AX116" i="7"/>
  <c r="AY116" i="7"/>
  <c r="AZ116" i="7"/>
  <c r="BA116" i="7"/>
  <c r="BB116" i="7"/>
  <c r="BC116" i="7"/>
  <c r="BD116" i="7"/>
  <c r="BE116" i="7"/>
  <c r="BF116" i="7"/>
  <c r="BG116" i="7"/>
  <c r="BH116" i="7"/>
  <c r="BI116" i="7"/>
  <c r="BJ116" i="7"/>
  <c r="BK116" i="7"/>
  <c r="BL116" i="7"/>
  <c r="BM116" i="7"/>
  <c r="BN116" i="7"/>
  <c r="BO116" i="7"/>
  <c r="BP116" i="7"/>
  <c r="BQ116" i="7"/>
  <c r="BR116" i="7"/>
  <c r="BS116" i="7"/>
  <c r="BT116" i="7"/>
  <c r="BU116" i="7"/>
  <c r="BV116" i="7"/>
  <c r="BW116" i="7"/>
  <c r="BX116" i="7"/>
  <c r="BY116" i="7"/>
  <c r="BZ116" i="7"/>
  <c r="CA116" i="7"/>
  <c r="CB116" i="7"/>
  <c r="CC116" i="7"/>
  <c r="CD116" i="7"/>
  <c r="CE116" i="7"/>
  <c r="CF116" i="7"/>
  <c r="CG116" i="7"/>
  <c r="CH116" i="7"/>
  <c r="CI116" i="7"/>
  <c r="CJ116" i="7"/>
  <c r="CK116" i="7"/>
  <c r="CL116" i="7"/>
  <c r="CM116" i="7"/>
  <c r="CN116" i="7"/>
  <c r="CO116" i="7"/>
  <c r="CP116" i="7"/>
  <c r="CQ116" i="7"/>
  <c r="CR116" i="7"/>
  <c r="CS116" i="7"/>
  <c r="CT116" i="7"/>
  <c r="CU116" i="7"/>
  <c r="CV116" i="7"/>
  <c r="CW116" i="7"/>
  <c r="CX116" i="7"/>
  <c r="CY116" i="7"/>
  <c r="CZ116" i="7"/>
  <c r="DA116" i="7"/>
  <c r="DB116" i="7"/>
  <c r="DC116" i="7"/>
  <c r="DD116" i="7"/>
  <c r="DE116" i="7"/>
  <c r="DF116" i="7"/>
  <c r="DG116" i="7"/>
  <c r="DH116" i="7"/>
  <c r="DI116" i="7"/>
  <c r="DJ116" i="7"/>
  <c r="DK116" i="7"/>
  <c r="DL116" i="7"/>
  <c r="DM116" i="7"/>
  <c r="DN116" i="7"/>
  <c r="DO116" i="7"/>
  <c r="DP116" i="7"/>
  <c r="DQ116" i="7"/>
  <c r="DR116" i="7"/>
  <c r="DS116" i="7"/>
  <c r="DT116" i="7"/>
  <c r="DU116" i="7"/>
  <c r="DV116" i="7"/>
  <c r="DW116" i="7"/>
  <c r="DX116" i="7"/>
  <c r="DY116" i="7"/>
  <c r="DZ116" i="7"/>
  <c r="EA116" i="7"/>
  <c r="EB116" i="7"/>
  <c r="EC116" i="7"/>
  <c r="ED116" i="7"/>
  <c r="EE116" i="7"/>
  <c r="EF116" i="7"/>
  <c r="EG116" i="7"/>
  <c r="EH116" i="7"/>
  <c r="EI116" i="7"/>
  <c r="EJ116" i="7"/>
  <c r="H117" i="7"/>
  <c r="I117" i="7"/>
  <c r="J117" i="7"/>
  <c r="K117" i="7"/>
  <c r="L117" i="7"/>
  <c r="M117" i="7"/>
  <c r="N117" i="7"/>
  <c r="O117" i="7"/>
  <c r="P117" i="7"/>
  <c r="Q117" i="7"/>
  <c r="R117" i="7"/>
  <c r="S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AJ117" i="7"/>
  <c r="AK117" i="7"/>
  <c r="AL117" i="7"/>
  <c r="AM117" i="7"/>
  <c r="AN117" i="7"/>
  <c r="AO117" i="7"/>
  <c r="AP117" i="7"/>
  <c r="AQ117" i="7"/>
  <c r="AR117" i="7"/>
  <c r="AS117" i="7"/>
  <c r="AT117" i="7"/>
  <c r="AU117" i="7"/>
  <c r="AV117" i="7"/>
  <c r="AW117" i="7"/>
  <c r="AX117" i="7"/>
  <c r="AY117" i="7"/>
  <c r="AZ117" i="7"/>
  <c r="BA117" i="7"/>
  <c r="BB117" i="7"/>
  <c r="BC117" i="7"/>
  <c r="BD117" i="7"/>
  <c r="BE117" i="7"/>
  <c r="BF117" i="7"/>
  <c r="BG117" i="7"/>
  <c r="BH117" i="7"/>
  <c r="BI117" i="7"/>
  <c r="BJ117" i="7"/>
  <c r="BK117" i="7"/>
  <c r="BL117" i="7"/>
  <c r="BM117" i="7"/>
  <c r="BN117" i="7"/>
  <c r="BO117" i="7"/>
  <c r="BP117" i="7"/>
  <c r="BQ117" i="7"/>
  <c r="BR117" i="7"/>
  <c r="BS117" i="7"/>
  <c r="BT117" i="7"/>
  <c r="BU117" i="7"/>
  <c r="BV117" i="7"/>
  <c r="BW117" i="7"/>
  <c r="BX117" i="7"/>
  <c r="BY117" i="7"/>
  <c r="BZ117" i="7"/>
  <c r="CA117" i="7"/>
  <c r="CB117" i="7"/>
  <c r="CC117" i="7"/>
  <c r="CD117" i="7"/>
  <c r="CE117" i="7"/>
  <c r="CF117" i="7"/>
  <c r="CG117" i="7"/>
  <c r="CH117" i="7"/>
  <c r="CI117" i="7"/>
  <c r="CJ117" i="7"/>
  <c r="CK117" i="7"/>
  <c r="CL117" i="7"/>
  <c r="CM117" i="7"/>
  <c r="CN117" i="7"/>
  <c r="CO117" i="7"/>
  <c r="CP117" i="7"/>
  <c r="CQ117" i="7"/>
  <c r="CR117" i="7"/>
  <c r="CS117" i="7"/>
  <c r="CT117" i="7"/>
  <c r="CU117" i="7"/>
  <c r="CV117" i="7"/>
  <c r="CW117" i="7"/>
  <c r="CX117" i="7"/>
  <c r="CY117" i="7"/>
  <c r="CZ117" i="7"/>
  <c r="DA117" i="7"/>
  <c r="DB117" i="7"/>
  <c r="DC117" i="7"/>
  <c r="DD117" i="7"/>
  <c r="DE117" i="7"/>
  <c r="DF117" i="7"/>
  <c r="DG117" i="7"/>
  <c r="DH117" i="7"/>
  <c r="DI117" i="7"/>
  <c r="DJ117" i="7"/>
  <c r="DK117" i="7"/>
  <c r="DL117" i="7"/>
  <c r="DM117" i="7"/>
  <c r="DN117" i="7"/>
  <c r="DO117" i="7"/>
  <c r="DP117" i="7"/>
  <c r="DQ117" i="7"/>
  <c r="DR117" i="7"/>
  <c r="DS117" i="7"/>
  <c r="DT117" i="7"/>
  <c r="DU117" i="7"/>
  <c r="DV117" i="7"/>
  <c r="DW117" i="7"/>
  <c r="DX117" i="7"/>
  <c r="DY117" i="7"/>
  <c r="DZ117" i="7"/>
  <c r="EA117" i="7"/>
  <c r="EB117" i="7"/>
  <c r="EC117" i="7"/>
  <c r="ED117" i="7"/>
  <c r="EE117" i="7"/>
  <c r="EF117" i="7"/>
  <c r="EG117" i="7"/>
  <c r="EH117" i="7"/>
  <c r="EI117" i="7"/>
  <c r="EJ117" i="7"/>
  <c r="I120" i="7"/>
  <c r="J120" i="7"/>
  <c r="K120" i="7"/>
  <c r="L120" i="7"/>
  <c r="M120" i="7"/>
  <c r="N120" i="7"/>
  <c r="O120" i="7"/>
  <c r="P120" i="7"/>
  <c r="Q120" i="7"/>
  <c r="R120" i="7"/>
  <c r="S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AJ120" i="7"/>
  <c r="AK120" i="7"/>
  <c r="AL120" i="7"/>
  <c r="AM120" i="7"/>
  <c r="AN120" i="7"/>
  <c r="AO120" i="7"/>
  <c r="AP120" i="7"/>
  <c r="AQ120" i="7"/>
  <c r="AR120" i="7"/>
  <c r="AS120" i="7"/>
  <c r="AT120" i="7"/>
  <c r="AU120" i="7"/>
  <c r="AV120" i="7"/>
  <c r="AW120" i="7"/>
  <c r="AX120" i="7"/>
  <c r="AY120" i="7"/>
  <c r="AZ120" i="7"/>
  <c r="BA120" i="7"/>
  <c r="BB120" i="7"/>
  <c r="BC120" i="7"/>
  <c r="BD120" i="7"/>
  <c r="BE120" i="7"/>
  <c r="BF120" i="7"/>
  <c r="BG120" i="7"/>
  <c r="BH120" i="7"/>
  <c r="BI120" i="7"/>
  <c r="BJ120" i="7"/>
  <c r="BK120" i="7"/>
  <c r="BL120" i="7"/>
  <c r="BM120" i="7"/>
  <c r="BN120" i="7"/>
  <c r="BO120" i="7"/>
  <c r="BP120" i="7"/>
  <c r="BQ120" i="7"/>
  <c r="BR120" i="7"/>
  <c r="BS120" i="7"/>
  <c r="BT120" i="7"/>
  <c r="BU120" i="7"/>
  <c r="BV120" i="7"/>
  <c r="BW120" i="7"/>
  <c r="BX120" i="7"/>
  <c r="BY120" i="7"/>
  <c r="BZ120" i="7"/>
  <c r="CA120" i="7"/>
  <c r="CB120" i="7"/>
  <c r="CC120" i="7"/>
  <c r="CD120" i="7"/>
  <c r="CE120" i="7"/>
  <c r="CF120" i="7"/>
  <c r="CG120" i="7"/>
  <c r="CH120" i="7"/>
  <c r="CI120" i="7"/>
  <c r="CJ120" i="7"/>
  <c r="CK120" i="7"/>
  <c r="CL120" i="7"/>
  <c r="CM120" i="7"/>
  <c r="CN120" i="7"/>
  <c r="CO120" i="7"/>
  <c r="CP120" i="7"/>
  <c r="CQ120" i="7"/>
  <c r="CR120" i="7"/>
  <c r="CS120" i="7"/>
  <c r="CT120" i="7"/>
  <c r="CU120" i="7"/>
  <c r="CV120" i="7"/>
  <c r="CW120" i="7"/>
  <c r="CX120" i="7"/>
  <c r="CY120" i="7"/>
  <c r="CZ120" i="7"/>
  <c r="DA120" i="7"/>
  <c r="DB120" i="7"/>
  <c r="DC120" i="7"/>
  <c r="DD120" i="7"/>
  <c r="DE120" i="7"/>
  <c r="DF120" i="7"/>
  <c r="DG120" i="7"/>
  <c r="DH120" i="7"/>
  <c r="DI120" i="7"/>
  <c r="DJ120" i="7"/>
  <c r="DK120" i="7"/>
  <c r="DL120" i="7"/>
  <c r="DM120" i="7"/>
  <c r="DN120" i="7"/>
  <c r="DO120" i="7"/>
  <c r="DP120" i="7"/>
  <c r="DQ120" i="7"/>
  <c r="DR120" i="7"/>
  <c r="DS120" i="7"/>
  <c r="DT120" i="7"/>
  <c r="DU120" i="7"/>
  <c r="DV120" i="7"/>
  <c r="DW120" i="7"/>
  <c r="DX120" i="7"/>
  <c r="DY120" i="7"/>
  <c r="DZ120" i="7"/>
  <c r="EA120" i="7"/>
  <c r="EB120" i="7"/>
  <c r="EC120" i="7"/>
  <c r="ED120" i="7"/>
  <c r="EE120" i="7"/>
  <c r="EF120" i="7"/>
  <c r="EG120" i="7"/>
  <c r="EH120" i="7"/>
  <c r="EI120" i="7"/>
  <c r="EJ120" i="7"/>
  <c r="H121" i="7"/>
  <c r="I121" i="7"/>
  <c r="J121" i="7"/>
  <c r="K121" i="7"/>
  <c r="L121" i="7"/>
  <c r="M121" i="7"/>
  <c r="N121" i="7"/>
  <c r="O121" i="7"/>
  <c r="P121" i="7"/>
  <c r="Q121" i="7"/>
  <c r="R121" i="7"/>
  <c r="S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AJ121" i="7"/>
  <c r="AK121" i="7"/>
  <c r="AL121" i="7"/>
  <c r="AM121" i="7"/>
  <c r="AN121" i="7"/>
  <c r="AO121" i="7"/>
  <c r="AP121" i="7"/>
  <c r="AQ121" i="7"/>
  <c r="AR121" i="7"/>
  <c r="AS121" i="7"/>
  <c r="AT121" i="7"/>
  <c r="AU121" i="7"/>
  <c r="AV121" i="7"/>
  <c r="AW121" i="7"/>
  <c r="AX121" i="7"/>
  <c r="AY121" i="7"/>
  <c r="AZ121" i="7"/>
  <c r="BA121" i="7"/>
  <c r="BB121" i="7"/>
  <c r="BC121" i="7"/>
  <c r="BD121" i="7"/>
  <c r="BE121" i="7"/>
  <c r="BF121" i="7"/>
  <c r="BG121" i="7"/>
  <c r="BH121" i="7"/>
  <c r="BI121" i="7"/>
  <c r="BJ121" i="7"/>
  <c r="BK121" i="7"/>
  <c r="BL121" i="7"/>
  <c r="BM121" i="7"/>
  <c r="BN121" i="7"/>
  <c r="BO121" i="7"/>
  <c r="BP121" i="7"/>
  <c r="BQ121" i="7"/>
  <c r="BR121" i="7"/>
  <c r="BS121" i="7"/>
  <c r="BT121" i="7"/>
  <c r="BU121" i="7"/>
  <c r="BV121" i="7"/>
  <c r="BW121" i="7"/>
  <c r="BX121" i="7"/>
  <c r="BY121" i="7"/>
  <c r="BZ121" i="7"/>
  <c r="CA121" i="7"/>
  <c r="CB121" i="7"/>
  <c r="CC121" i="7"/>
  <c r="CD121" i="7"/>
  <c r="CE121" i="7"/>
  <c r="CF121" i="7"/>
  <c r="CG121" i="7"/>
  <c r="CH121" i="7"/>
  <c r="CI121" i="7"/>
  <c r="CJ121" i="7"/>
  <c r="CK121" i="7"/>
  <c r="CL121" i="7"/>
  <c r="CM121" i="7"/>
  <c r="CN121" i="7"/>
  <c r="CO121" i="7"/>
  <c r="CP121" i="7"/>
  <c r="CQ121" i="7"/>
  <c r="CR121" i="7"/>
  <c r="CS121" i="7"/>
  <c r="CT121" i="7"/>
  <c r="CU121" i="7"/>
  <c r="CV121" i="7"/>
  <c r="CW121" i="7"/>
  <c r="CX121" i="7"/>
  <c r="CY121" i="7"/>
  <c r="CZ121" i="7"/>
  <c r="DA121" i="7"/>
  <c r="DB121" i="7"/>
  <c r="DC121" i="7"/>
  <c r="DD121" i="7"/>
  <c r="DE121" i="7"/>
  <c r="DF121" i="7"/>
  <c r="DG121" i="7"/>
  <c r="DH121" i="7"/>
  <c r="DI121" i="7"/>
  <c r="DJ121" i="7"/>
  <c r="DK121" i="7"/>
  <c r="DL121" i="7"/>
  <c r="DM121" i="7"/>
  <c r="DN121" i="7"/>
  <c r="DO121" i="7"/>
  <c r="DP121" i="7"/>
  <c r="DQ121" i="7"/>
  <c r="DR121" i="7"/>
  <c r="DS121" i="7"/>
  <c r="DT121" i="7"/>
  <c r="DU121" i="7"/>
  <c r="DV121" i="7"/>
  <c r="DW121" i="7"/>
  <c r="DX121" i="7"/>
  <c r="DY121" i="7"/>
  <c r="DZ121" i="7"/>
  <c r="EA121" i="7"/>
  <c r="EB121" i="7"/>
  <c r="EC121" i="7"/>
  <c r="ED121" i="7"/>
  <c r="EE121" i="7"/>
  <c r="EF121" i="7"/>
  <c r="EG121" i="7"/>
  <c r="EH121" i="7"/>
  <c r="EI121" i="7"/>
  <c r="EJ121" i="7"/>
  <c r="H122" i="7"/>
  <c r="I122" i="7"/>
  <c r="J122" i="7"/>
  <c r="K122" i="7"/>
  <c r="L122" i="7"/>
  <c r="M122" i="7"/>
  <c r="N122" i="7"/>
  <c r="O122" i="7"/>
  <c r="P122" i="7"/>
  <c r="Q122" i="7"/>
  <c r="R122" i="7"/>
  <c r="S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AJ122" i="7"/>
  <c r="AK122" i="7"/>
  <c r="AL122" i="7"/>
  <c r="AM122" i="7"/>
  <c r="AN122" i="7"/>
  <c r="AO122" i="7"/>
  <c r="AP122" i="7"/>
  <c r="AQ122" i="7"/>
  <c r="AR122" i="7"/>
  <c r="AS122" i="7"/>
  <c r="AT122" i="7"/>
  <c r="AU122" i="7"/>
  <c r="AV122" i="7"/>
  <c r="AW122" i="7"/>
  <c r="AX122" i="7"/>
  <c r="AY122" i="7"/>
  <c r="AZ122" i="7"/>
  <c r="BA122" i="7"/>
  <c r="BB122" i="7"/>
  <c r="BC122" i="7"/>
  <c r="BD122" i="7"/>
  <c r="BE122" i="7"/>
  <c r="BF122" i="7"/>
  <c r="BG122" i="7"/>
  <c r="BH122" i="7"/>
  <c r="BI122" i="7"/>
  <c r="BJ122" i="7"/>
  <c r="BK122" i="7"/>
  <c r="BL122" i="7"/>
  <c r="BM122" i="7"/>
  <c r="BN122" i="7"/>
  <c r="BO122" i="7"/>
  <c r="BP122" i="7"/>
  <c r="BQ122" i="7"/>
  <c r="BR122" i="7"/>
  <c r="BS122" i="7"/>
  <c r="BT122" i="7"/>
  <c r="BU122" i="7"/>
  <c r="BV122" i="7"/>
  <c r="BW122" i="7"/>
  <c r="BX122" i="7"/>
  <c r="BY122" i="7"/>
  <c r="BZ122" i="7"/>
  <c r="CA122" i="7"/>
  <c r="CB122" i="7"/>
  <c r="CC122" i="7"/>
  <c r="CD122" i="7"/>
  <c r="CE122" i="7"/>
  <c r="CF122" i="7"/>
  <c r="CG122" i="7"/>
  <c r="CH122" i="7"/>
  <c r="CI122" i="7"/>
  <c r="CJ122" i="7"/>
  <c r="CK122" i="7"/>
  <c r="CL122" i="7"/>
  <c r="CM122" i="7"/>
  <c r="CN122" i="7"/>
  <c r="CO122" i="7"/>
  <c r="CP122" i="7"/>
  <c r="CQ122" i="7"/>
  <c r="CR122" i="7"/>
  <c r="CS122" i="7"/>
  <c r="CT122" i="7"/>
  <c r="CU122" i="7"/>
  <c r="CV122" i="7"/>
  <c r="CW122" i="7"/>
  <c r="CX122" i="7"/>
  <c r="CY122" i="7"/>
  <c r="CZ122" i="7"/>
  <c r="DA122" i="7"/>
  <c r="DB122" i="7"/>
  <c r="DC122" i="7"/>
  <c r="DD122" i="7"/>
  <c r="DE122" i="7"/>
  <c r="DF122" i="7"/>
  <c r="DG122" i="7"/>
  <c r="DH122" i="7"/>
  <c r="DI122" i="7"/>
  <c r="DJ122" i="7"/>
  <c r="DK122" i="7"/>
  <c r="DL122" i="7"/>
  <c r="DM122" i="7"/>
  <c r="DN122" i="7"/>
  <c r="DO122" i="7"/>
  <c r="DP122" i="7"/>
  <c r="DQ122" i="7"/>
  <c r="DR122" i="7"/>
  <c r="DS122" i="7"/>
  <c r="DT122" i="7"/>
  <c r="DU122" i="7"/>
  <c r="DV122" i="7"/>
  <c r="DW122" i="7"/>
  <c r="DX122" i="7"/>
  <c r="DY122" i="7"/>
  <c r="DZ122" i="7"/>
  <c r="EA122" i="7"/>
  <c r="EB122" i="7"/>
  <c r="EC122" i="7"/>
  <c r="ED122" i="7"/>
  <c r="EE122" i="7"/>
  <c r="EF122" i="7"/>
  <c r="EG122" i="7"/>
  <c r="EH122" i="7"/>
  <c r="EI122" i="7"/>
  <c r="EJ122" i="7"/>
  <c r="F127" i="7"/>
  <c r="I127" i="7"/>
  <c r="J127" i="7"/>
  <c r="K127" i="7"/>
  <c r="L127" i="7"/>
  <c r="M127" i="7"/>
  <c r="N127" i="7"/>
  <c r="O127" i="7"/>
  <c r="P127" i="7"/>
  <c r="Q127" i="7"/>
  <c r="R127" i="7"/>
  <c r="S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AJ127" i="7"/>
  <c r="AK127" i="7"/>
  <c r="AL127" i="7"/>
  <c r="AM127" i="7"/>
  <c r="AN127" i="7"/>
  <c r="AO127" i="7"/>
  <c r="AP127" i="7"/>
  <c r="AQ127" i="7"/>
  <c r="AR127" i="7"/>
  <c r="AS127" i="7"/>
  <c r="AT127" i="7"/>
  <c r="AU127" i="7"/>
  <c r="AV127" i="7"/>
  <c r="AW127" i="7"/>
  <c r="AX127" i="7"/>
  <c r="AY127" i="7"/>
  <c r="AZ127" i="7"/>
  <c r="BA127" i="7"/>
  <c r="BB127" i="7"/>
  <c r="BC127" i="7"/>
  <c r="BD127" i="7"/>
  <c r="BE127" i="7"/>
  <c r="BF127" i="7"/>
  <c r="BG127" i="7"/>
  <c r="BH127" i="7"/>
  <c r="BI127" i="7"/>
  <c r="BJ127" i="7"/>
  <c r="BK127" i="7"/>
  <c r="BL127" i="7"/>
  <c r="BM127" i="7"/>
  <c r="BN127" i="7"/>
  <c r="BO127" i="7"/>
  <c r="BP127" i="7"/>
  <c r="BQ127" i="7"/>
  <c r="BR127" i="7"/>
  <c r="BS127" i="7"/>
  <c r="BT127" i="7"/>
  <c r="BU127" i="7"/>
  <c r="BV127" i="7"/>
  <c r="BW127" i="7"/>
  <c r="BX127" i="7"/>
  <c r="BY127" i="7"/>
  <c r="BZ127" i="7"/>
  <c r="CA127" i="7"/>
  <c r="CB127" i="7"/>
  <c r="CC127" i="7"/>
  <c r="CD127" i="7"/>
  <c r="CE127" i="7"/>
  <c r="CF127" i="7"/>
  <c r="CG127" i="7"/>
  <c r="CH127" i="7"/>
  <c r="CI127" i="7"/>
  <c r="CJ127" i="7"/>
  <c r="CK127" i="7"/>
  <c r="CL127" i="7"/>
  <c r="CM127" i="7"/>
  <c r="CN127" i="7"/>
  <c r="CO127" i="7"/>
  <c r="CP127" i="7"/>
  <c r="CQ127" i="7"/>
  <c r="CR127" i="7"/>
  <c r="CS127" i="7"/>
  <c r="CT127" i="7"/>
  <c r="CU127" i="7"/>
  <c r="CV127" i="7"/>
  <c r="CW127" i="7"/>
  <c r="CX127" i="7"/>
  <c r="CY127" i="7"/>
  <c r="CZ127" i="7"/>
  <c r="DA127" i="7"/>
  <c r="DB127" i="7"/>
  <c r="DC127" i="7"/>
  <c r="DD127" i="7"/>
  <c r="DE127" i="7"/>
  <c r="DF127" i="7"/>
  <c r="DG127" i="7"/>
  <c r="DH127" i="7"/>
  <c r="DI127" i="7"/>
  <c r="DJ127" i="7"/>
  <c r="DK127" i="7"/>
  <c r="DL127" i="7"/>
  <c r="DM127" i="7"/>
  <c r="DN127" i="7"/>
  <c r="DO127" i="7"/>
  <c r="DP127" i="7"/>
  <c r="DQ127" i="7"/>
  <c r="DR127" i="7"/>
  <c r="DS127" i="7"/>
  <c r="DT127" i="7"/>
  <c r="DU127" i="7"/>
  <c r="DV127" i="7"/>
  <c r="DW127" i="7"/>
  <c r="DX127" i="7"/>
  <c r="DY127" i="7"/>
  <c r="DZ127" i="7"/>
  <c r="EA127" i="7"/>
  <c r="EB127" i="7"/>
  <c r="EC127" i="7"/>
  <c r="ED127" i="7"/>
  <c r="EE127" i="7"/>
  <c r="EF127" i="7"/>
  <c r="EG127" i="7"/>
  <c r="EH127" i="7"/>
  <c r="EI127" i="7"/>
  <c r="EJ127" i="7"/>
  <c r="I129" i="7"/>
  <c r="J129" i="7"/>
  <c r="K129" i="7"/>
  <c r="L129" i="7"/>
  <c r="M129" i="7"/>
  <c r="N129" i="7"/>
  <c r="O129" i="7"/>
  <c r="P129" i="7"/>
  <c r="Q129" i="7"/>
  <c r="R129" i="7"/>
  <c r="S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AJ129" i="7"/>
  <c r="AK129" i="7"/>
  <c r="AL129" i="7"/>
  <c r="AM129" i="7"/>
  <c r="AN129" i="7"/>
  <c r="AO129" i="7"/>
  <c r="AP129" i="7"/>
  <c r="AQ129" i="7"/>
  <c r="AR129" i="7"/>
  <c r="AS129" i="7"/>
  <c r="AT129" i="7"/>
  <c r="AU129" i="7"/>
  <c r="AV129" i="7"/>
  <c r="AW129" i="7"/>
  <c r="AX129" i="7"/>
  <c r="AY129" i="7"/>
  <c r="AZ129" i="7"/>
  <c r="BA129" i="7"/>
  <c r="BB129" i="7"/>
  <c r="BC129" i="7"/>
  <c r="BD129" i="7"/>
  <c r="BE129" i="7"/>
  <c r="BF129" i="7"/>
  <c r="BG129" i="7"/>
  <c r="BH129" i="7"/>
  <c r="BI129" i="7"/>
  <c r="BJ129" i="7"/>
  <c r="BK129" i="7"/>
  <c r="BL129" i="7"/>
  <c r="BM129" i="7"/>
  <c r="BN129" i="7"/>
  <c r="BO129" i="7"/>
  <c r="BP129" i="7"/>
  <c r="BQ129" i="7"/>
  <c r="BR129" i="7"/>
  <c r="BS129" i="7"/>
  <c r="BT129" i="7"/>
  <c r="BU129" i="7"/>
  <c r="BV129" i="7"/>
  <c r="BW129" i="7"/>
  <c r="BX129" i="7"/>
  <c r="BY129" i="7"/>
  <c r="BZ129" i="7"/>
  <c r="CA129" i="7"/>
  <c r="CB129" i="7"/>
  <c r="CC129" i="7"/>
  <c r="CD129" i="7"/>
  <c r="CE129" i="7"/>
  <c r="CF129" i="7"/>
  <c r="CG129" i="7"/>
  <c r="CH129" i="7"/>
  <c r="CI129" i="7"/>
  <c r="CJ129" i="7"/>
  <c r="CK129" i="7"/>
  <c r="CL129" i="7"/>
  <c r="CM129" i="7"/>
  <c r="CN129" i="7"/>
  <c r="CO129" i="7"/>
  <c r="CP129" i="7"/>
  <c r="CQ129" i="7"/>
  <c r="CR129" i="7"/>
  <c r="CS129" i="7"/>
  <c r="CT129" i="7"/>
  <c r="CU129" i="7"/>
  <c r="CV129" i="7"/>
  <c r="CW129" i="7"/>
  <c r="CX129" i="7"/>
  <c r="CY129" i="7"/>
  <c r="CZ129" i="7"/>
  <c r="DA129" i="7"/>
  <c r="DB129" i="7"/>
  <c r="DC129" i="7"/>
  <c r="DD129" i="7"/>
  <c r="DE129" i="7"/>
  <c r="DF129" i="7"/>
  <c r="DG129" i="7"/>
  <c r="DH129" i="7"/>
  <c r="DI129" i="7"/>
  <c r="DJ129" i="7"/>
  <c r="DK129" i="7"/>
  <c r="DL129" i="7"/>
  <c r="DM129" i="7"/>
  <c r="DN129" i="7"/>
  <c r="DO129" i="7"/>
  <c r="DP129" i="7"/>
  <c r="DQ129" i="7"/>
  <c r="DR129" i="7"/>
  <c r="DS129" i="7"/>
  <c r="DT129" i="7"/>
  <c r="DU129" i="7"/>
  <c r="DV129" i="7"/>
  <c r="DW129" i="7"/>
  <c r="DX129" i="7"/>
  <c r="DY129" i="7"/>
  <c r="DZ129" i="7"/>
  <c r="EA129" i="7"/>
  <c r="EB129" i="7"/>
  <c r="EC129" i="7"/>
  <c r="ED129" i="7"/>
  <c r="EE129" i="7"/>
  <c r="EF129" i="7"/>
  <c r="EG129" i="7"/>
  <c r="EH129" i="7"/>
  <c r="EI129" i="7"/>
  <c r="EJ129" i="7"/>
  <c r="H130" i="7"/>
  <c r="F131" i="7"/>
  <c r="I131" i="7"/>
  <c r="J131" i="7"/>
  <c r="K131" i="7"/>
  <c r="L131" i="7"/>
  <c r="M131" i="7"/>
  <c r="N131" i="7"/>
  <c r="O131" i="7"/>
  <c r="P131" i="7"/>
  <c r="Q131" i="7"/>
  <c r="R131" i="7"/>
  <c r="S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AJ131" i="7"/>
  <c r="AK131" i="7"/>
  <c r="AL131" i="7"/>
  <c r="AM131" i="7"/>
  <c r="AN131" i="7"/>
  <c r="AO131" i="7"/>
  <c r="AP131" i="7"/>
  <c r="AQ131" i="7"/>
  <c r="AR131" i="7"/>
  <c r="AS131" i="7"/>
  <c r="AT131" i="7"/>
  <c r="AU131" i="7"/>
  <c r="AV131" i="7"/>
  <c r="AW131" i="7"/>
  <c r="AX131" i="7"/>
  <c r="AY131" i="7"/>
  <c r="AZ131" i="7"/>
  <c r="BA131" i="7"/>
  <c r="BB131" i="7"/>
  <c r="BC131" i="7"/>
  <c r="BD131" i="7"/>
  <c r="BE131" i="7"/>
  <c r="BF131" i="7"/>
  <c r="BG131" i="7"/>
  <c r="BH131" i="7"/>
  <c r="BI131" i="7"/>
  <c r="BJ131" i="7"/>
  <c r="BK131" i="7"/>
  <c r="BL131" i="7"/>
  <c r="BM131" i="7"/>
  <c r="BN131" i="7"/>
  <c r="BO131" i="7"/>
  <c r="BP131" i="7"/>
  <c r="BQ131" i="7"/>
  <c r="BR131" i="7"/>
  <c r="BS131" i="7"/>
  <c r="BT131" i="7"/>
  <c r="BU131" i="7"/>
  <c r="BV131" i="7"/>
  <c r="BW131" i="7"/>
  <c r="BX131" i="7"/>
  <c r="BY131" i="7"/>
  <c r="BZ131" i="7"/>
  <c r="CA131" i="7"/>
  <c r="CB131" i="7"/>
  <c r="CC131" i="7"/>
  <c r="CD131" i="7"/>
  <c r="CE131" i="7"/>
  <c r="CF131" i="7"/>
  <c r="CG131" i="7"/>
  <c r="CH131" i="7"/>
  <c r="CI131" i="7"/>
  <c r="CJ131" i="7"/>
  <c r="CK131" i="7"/>
  <c r="CL131" i="7"/>
  <c r="CM131" i="7"/>
  <c r="CN131" i="7"/>
  <c r="CO131" i="7"/>
  <c r="CP131" i="7"/>
  <c r="CQ131" i="7"/>
  <c r="CR131" i="7"/>
  <c r="CS131" i="7"/>
  <c r="CT131" i="7"/>
  <c r="CU131" i="7"/>
  <c r="CV131" i="7"/>
  <c r="CW131" i="7"/>
  <c r="CX131" i="7"/>
  <c r="CY131" i="7"/>
  <c r="CZ131" i="7"/>
  <c r="DA131" i="7"/>
  <c r="DB131" i="7"/>
  <c r="DC131" i="7"/>
  <c r="DD131" i="7"/>
  <c r="DE131" i="7"/>
  <c r="DF131" i="7"/>
  <c r="DG131" i="7"/>
  <c r="DH131" i="7"/>
  <c r="DI131" i="7"/>
  <c r="DJ131" i="7"/>
  <c r="DK131" i="7"/>
  <c r="DL131" i="7"/>
  <c r="DM131" i="7"/>
  <c r="DN131" i="7"/>
  <c r="DO131" i="7"/>
  <c r="DP131" i="7"/>
  <c r="DQ131" i="7"/>
  <c r="DR131" i="7"/>
  <c r="DS131" i="7"/>
  <c r="DT131" i="7"/>
  <c r="DU131" i="7"/>
  <c r="DV131" i="7"/>
  <c r="DW131" i="7"/>
  <c r="DX131" i="7"/>
  <c r="DY131" i="7"/>
  <c r="DZ131" i="7"/>
  <c r="EA131" i="7"/>
  <c r="EB131" i="7"/>
  <c r="EC131" i="7"/>
  <c r="ED131" i="7"/>
  <c r="EE131" i="7"/>
  <c r="EF131" i="7"/>
  <c r="EG131" i="7"/>
  <c r="EH131" i="7"/>
  <c r="EI131" i="7"/>
  <c r="EJ131" i="7"/>
  <c r="H132" i="7"/>
  <c r="I132" i="7"/>
  <c r="J132" i="7"/>
  <c r="K132" i="7"/>
  <c r="L132" i="7"/>
  <c r="M132" i="7"/>
  <c r="N132" i="7"/>
  <c r="O132" i="7"/>
  <c r="P132" i="7"/>
  <c r="Q132" i="7"/>
  <c r="R132" i="7"/>
  <c r="S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AJ132" i="7"/>
  <c r="AK132" i="7"/>
  <c r="AL132" i="7"/>
  <c r="AM132" i="7"/>
  <c r="AN132" i="7"/>
  <c r="AO132" i="7"/>
  <c r="AP132" i="7"/>
  <c r="AQ132" i="7"/>
  <c r="AR132" i="7"/>
  <c r="AS132" i="7"/>
  <c r="AT132" i="7"/>
  <c r="AU132" i="7"/>
  <c r="AV132" i="7"/>
  <c r="AW132" i="7"/>
  <c r="AX132" i="7"/>
  <c r="AY132" i="7"/>
  <c r="AZ132" i="7"/>
  <c r="BA132" i="7"/>
  <c r="BB132" i="7"/>
  <c r="BC132" i="7"/>
  <c r="BD132" i="7"/>
  <c r="BE132" i="7"/>
  <c r="BF132" i="7"/>
  <c r="BG132" i="7"/>
  <c r="BH132" i="7"/>
  <c r="BI132" i="7"/>
  <c r="BJ132" i="7"/>
  <c r="BK132" i="7"/>
  <c r="BL132" i="7"/>
  <c r="BM132" i="7"/>
  <c r="BN132" i="7"/>
  <c r="BO132" i="7"/>
  <c r="BP132" i="7"/>
  <c r="BQ132" i="7"/>
  <c r="BR132" i="7"/>
  <c r="BS132" i="7"/>
  <c r="BT132" i="7"/>
  <c r="BU132" i="7"/>
  <c r="BV132" i="7"/>
  <c r="BW132" i="7"/>
  <c r="BX132" i="7"/>
  <c r="BY132" i="7"/>
  <c r="BZ132" i="7"/>
  <c r="CA132" i="7"/>
  <c r="CB132" i="7"/>
  <c r="CC132" i="7"/>
  <c r="CD132" i="7"/>
  <c r="CE132" i="7"/>
  <c r="CF132" i="7"/>
  <c r="CG132" i="7"/>
  <c r="CH132" i="7"/>
  <c r="CI132" i="7"/>
  <c r="CJ132" i="7"/>
  <c r="CK132" i="7"/>
  <c r="CL132" i="7"/>
  <c r="CM132" i="7"/>
  <c r="CN132" i="7"/>
  <c r="CO132" i="7"/>
  <c r="CP132" i="7"/>
  <c r="CQ132" i="7"/>
  <c r="CR132" i="7"/>
  <c r="CS132" i="7"/>
  <c r="CT132" i="7"/>
  <c r="CU132" i="7"/>
  <c r="CV132" i="7"/>
  <c r="CW132" i="7"/>
  <c r="CX132" i="7"/>
  <c r="CY132" i="7"/>
  <c r="CZ132" i="7"/>
  <c r="DA132" i="7"/>
  <c r="DB132" i="7"/>
  <c r="DC132" i="7"/>
  <c r="DD132" i="7"/>
  <c r="DE132" i="7"/>
  <c r="DF132" i="7"/>
  <c r="DG132" i="7"/>
  <c r="DH132" i="7"/>
  <c r="DI132" i="7"/>
  <c r="DJ132" i="7"/>
  <c r="DK132" i="7"/>
  <c r="DL132" i="7"/>
  <c r="DM132" i="7"/>
  <c r="DN132" i="7"/>
  <c r="DO132" i="7"/>
  <c r="DP132" i="7"/>
  <c r="DQ132" i="7"/>
  <c r="DR132" i="7"/>
  <c r="DS132" i="7"/>
  <c r="DT132" i="7"/>
  <c r="DU132" i="7"/>
  <c r="DV132" i="7"/>
  <c r="DW132" i="7"/>
  <c r="DX132" i="7"/>
  <c r="DY132" i="7"/>
  <c r="DZ132" i="7"/>
  <c r="EA132" i="7"/>
  <c r="EB132" i="7"/>
  <c r="EC132" i="7"/>
  <c r="ED132" i="7"/>
  <c r="EE132" i="7"/>
  <c r="EF132" i="7"/>
  <c r="EG132" i="7"/>
  <c r="EH132" i="7"/>
  <c r="EI132" i="7"/>
  <c r="EJ132" i="7"/>
  <c r="F148" i="7"/>
  <c r="I148" i="7"/>
  <c r="J148" i="7"/>
  <c r="K148" i="7"/>
  <c r="L148" i="7"/>
  <c r="M148" i="7"/>
  <c r="N148" i="7"/>
  <c r="O148" i="7"/>
  <c r="P148" i="7"/>
  <c r="Q148" i="7"/>
  <c r="R148" i="7"/>
  <c r="S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AJ148" i="7"/>
  <c r="AK148" i="7"/>
  <c r="AL148" i="7"/>
  <c r="AM148" i="7"/>
  <c r="AN148" i="7"/>
  <c r="AO148" i="7"/>
  <c r="AP148" i="7"/>
  <c r="AQ148" i="7"/>
  <c r="AR148" i="7"/>
  <c r="AS148" i="7"/>
  <c r="AT148" i="7"/>
  <c r="AU148" i="7"/>
  <c r="AV148" i="7"/>
  <c r="AW148" i="7"/>
  <c r="AX148" i="7"/>
  <c r="AY148" i="7"/>
  <c r="AZ148" i="7"/>
  <c r="BA148" i="7"/>
  <c r="BB148" i="7"/>
  <c r="BC148" i="7"/>
  <c r="BD148" i="7"/>
  <c r="BE148" i="7"/>
  <c r="BF148" i="7"/>
  <c r="BG148" i="7"/>
  <c r="BH148" i="7"/>
  <c r="BI148" i="7"/>
  <c r="BJ148" i="7"/>
  <c r="BK148" i="7"/>
  <c r="BL148" i="7"/>
  <c r="BM148" i="7"/>
  <c r="BN148" i="7"/>
  <c r="BO148" i="7"/>
  <c r="BP148" i="7"/>
  <c r="BQ148" i="7"/>
  <c r="BR148" i="7"/>
  <c r="BS148" i="7"/>
  <c r="BT148" i="7"/>
  <c r="BU148" i="7"/>
  <c r="BV148" i="7"/>
  <c r="BW148" i="7"/>
  <c r="BX148" i="7"/>
  <c r="BY148" i="7"/>
  <c r="BZ148" i="7"/>
  <c r="CA148" i="7"/>
  <c r="CB148" i="7"/>
  <c r="CC148" i="7"/>
  <c r="CD148" i="7"/>
  <c r="CE148" i="7"/>
  <c r="CF148" i="7"/>
  <c r="CG148" i="7"/>
  <c r="CH148" i="7"/>
  <c r="CI148" i="7"/>
  <c r="CJ148" i="7"/>
  <c r="CK148" i="7"/>
  <c r="CL148" i="7"/>
  <c r="CM148" i="7"/>
  <c r="CN148" i="7"/>
  <c r="CO148" i="7"/>
  <c r="CP148" i="7"/>
  <c r="CQ148" i="7"/>
  <c r="CR148" i="7"/>
  <c r="CS148" i="7"/>
  <c r="CT148" i="7"/>
  <c r="CU148" i="7"/>
  <c r="CV148" i="7"/>
  <c r="CW148" i="7"/>
  <c r="CX148" i="7"/>
  <c r="CY148" i="7"/>
  <c r="CZ148" i="7"/>
  <c r="DA148" i="7"/>
  <c r="DB148" i="7"/>
  <c r="DC148" i="7"/>
  <c r="DD148" i="7"/>
  <c r="DE148" i="7"/>
  <c r="DF148" i="7"/>
  <c r="DG148" i="7"/>
  <c r="DH148" i="7"/>
  <c r="DI148" i="7"/>
  <c r="DJ148" i="7"/>
  <c r="DK148" i="7"/>
  <c r="DL148" i="7"/>
  <c r="DM148" i="7"/>
  <c r="DN148" i="7"/>
  <c r="DO148" i="7"/>
  <c r="DP148" i="7"/>
  <c r="DQ148" i="7"/>
  <c r="DR148" i="7"/>
  <c r="DS148" i="7"/>
  <c r="DT148" i="7"/>
  <c r="DU148" i="7"/>
  <c r="DV148" i="7"/>
  <c r="DW148" i="7"/>
  <c r="DX148" i="7"/>
  <c r="DY148" i="7"/>
  <c r="DZ148" i="7"/>
  <c r="EA148" i="7"/>
  <c r="EB148" i="7"/>
  <c r="EC148" i="7"/>
  <c r="ED148" i="7"/>
  <c r="EE148" i="7"/>
  <c r="EF148" i="7"/>
  <c r="EG148" i="7"/>
  <c r="EH148" i="7"/>
  <c r="EI148" i="7"/>
  <c r="EJ148" i="7"/>
  <c r="EM148" i="7"/>
  <c r="EN148" i="7"/>
  <c r="EO148" i="7"/>
  <c r="EP148" i="7"/>
  <c r="EQ148" i="7"/>
  <c r="ER148" i="7"/>
  <c r="ES148" i="7"/>
  <c r="ET148" i="7"/>
  <c r="EU148" i="7"/>
  <c r="EV148" i="7"/>
  <c r="EW148" i="7"/>
  <c r="I151" i="7"/>
  <c r="J151" i="7"/>
  <c r="K151" i="7"/>
  <c r="L151" i="7"/>
  <c r="M151" i="7"/>
  <c r="N151" i="7"/>
  <c r="O151" i="7"/>
  <c r="P151" i="7"/>
  <c r="Q151" i="7"/>
  <c r="R151" i="7"/>
  <c r="S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AJ151" i="7"/>
  <c r="AK151" i="7"/>
  <c r="AL151" i="7"/>
  <c r="AM151" i="7"/>
  <c r="AN151" i="7"/>
  <c r="AO151" i="7"/>
  <c r="AP151" i="7"/>
  <c r="AQ151" i="7"/>
  <c r="AR151" i="7"/>
  <c r="AS151" i="7"/>
  <c r="AT151" i="7"/>
  <c r="AU151" i="7"/>
  <c r="AV151" i="7"/>
  <c r="AW151" i="7"/>
  <c r="AX151" i="7"/>
  <c r="AY151" i="7"/>
  <c r="AZ151" i="7"/>
  <c r="BA151" i="7"/>
  <c r="BB151" i="7"/>
  <c r="BC151" i="7"/>
  <c r="BD151" i="7"/>
  <c r="BE151" i="7"/>
  <c r="BF151" i="7"/>
  <c r="BG151" i="7"/>
  <c r="BH151" i="7"/>
  <c r="BI151" i="7"/>
  <c r="BJ151" i="7"/>
  <c r="BK151" i="7"/>
  <c r="BL151" i="7"/>
  <c r="BM151" i="7"/>
  <c r="BN151" i="7"/>
  <c r="BO151" i="7"/>
  <c r="BP151" i="7"/>
  <c r="BQ151" i="7"/>
  <c r="BR151" i="7"/>
  <c r="BS151" i="7"/>
  <c r="BT151" i="7"/>
  <c r="BU151" i="7"/>
  <c r="BV151" i="7"/>
  <c r="BW151" i="7"/>
  <c r="BX151" i="7"/>
  <c r="BY151" i="7"/>
  <c r="BZ151" i="7"/>
  <c r="CA151" i="7"/>
  <c r="CB151" i="7"/>
  <c r="CC151" i="7"/>
  <c r="CD151" i="7"/>
  <c r="CE151" i="7"/>
  <c r="CF151" i="7"/>
  <c r="CG151" i="7"/>
  <c r="CH151" i="7"/>
  <c r="CI151" i="7"/>
  <c r="CJ151" i="7"/>
  <c r="CK151" i="7"/>
  <c r="CL151" i="7"/>
  <c r="CM151" i="7"/>
  <c r="CN151" i="7"/>
  <c r="CO151" i="7"/>
  <c r="CP151" i="7"/>
  <c r="CQ151" i="7"/>
  <c r="CR151" i="7"/>
  <c r="CS151" i="7"/>
  <c r="CT151" i="7"/>
  <c r="CU151" i="7"/>
  <c r="CV151" i="7"/>
  <c r="CW151" i="7"/>
  <c r="CX151" i="7"/>
  <c r="CY151" i="7"/>
  <c r="CZ151" i="7"/>
  <c r="DA151" i="7"/>
  <c r="DB151" i="7"/>
  <c r="DC151" i="7"/>
  <c r="DD151" i="7"/>
  <c r="DE151" i="7"/>
  <c r="DF151" i="7"/>
  <c r="DG151" i="7"/>
  <c r="DH151" i="7"/>
  <c r="DI151" i="7"/>
  <c r="DJ151" i="7"/>
  <c r="DK151" i="7"/>
  <c r="DL151" i="7"/>
  <c r="DM151" i="7"/>
  <c r="DN151" i="7"/>
  <c r="DO151" i="7"/>
  <c r="DP151" i="7"/>
  <c r="DQ151" i="7"/>
  <c r="DR151" i="7"/>
  <c r="DS151" i="7"/>
  <c r="DT151" i="7"/>
  <c r="DU151" i="7"/>
  <c r="DV151" i="7"/>
  <c r="DW151" i="7"/>
  <c r="DX151" i="7"/>
  <c r="DY151" i="7"/>
  <c r="DZ151" i="7"/>
  <c r="EA151" i="7"/>
  <c r="EB151" i="7"/>
  <c r="EC151" i="7"/>
  <c r="ED151" i="7"/>
  <c r="EE151" i="7"/>
  <c r="EF151" i="7"/>
  <c r="EG151" i="7"/>
  <c r="EH151" i="7"/>
  <c r="EI151" i="7"/>
  <c r="EJ151" i="7"/>
  <c r="EM151" i="7"/>
  <c r="EN151" i="7"/>
  <c r="EO151" i="7"/>
  <c r="EP151" i="7"/>
  <c r="EQ151" i="7"/>
  <c r="ER151" i="7"/>
  <c r="ES151" i="7"/>
  <c r="ET151" i="7"/>
  <c r="EU151" i="7"/>
  <c r="EV151" i="7"/>
  <c r="EW151" i="7"/>
  <c r="F152" i="7"/>
  <c r="H152" i="7"/>
  <c r="I152" i="7"/>
  <c r="J152" i="7"/>
  <c r="K152" i="7"/>
  <c r="L152" i="7"/>
  <c r="M152" i="7"/>
  <c r="N152" i="7"/>
  <c r="O152" i="7"/>
  <c r="P152" i="7"/>
  <c r="Q152" i="7"/>
  <c r="R152" i="7"/>
  <c r="S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AJ152" i="7"/>
  <c r="AK152" i="7"/>
  <c r="AL152" i="7"/>
  <c r="AM152" i="7"/>
  <c r="AN152" i="7"/>
  <c r="AO152" i="7"/>
  <c r="AP152" i="7"/>
  <c r="AQ152" i="7"/>
  <c r="AR152" i="7"/>
  <c r="AS152" i="7"/>
  <c r="AT152" i="7"/>
  <c r="AU152" i="7"/>
  <c r="AV152" i="7"/>
  <c r="AW152" i="7"/>
  <c r="AX152" i="7"/>
  <c r="AY152" i="7"/>
  <c r="AZ152" i="7"/>
  <c r="BA152" i="7"/>
  <c r="BB152" i="7"/>
  <c r="BC152" i="7"/>
  <c r="BD152" i="7"/>
  <c r="BE152" i="7"/>
  <c r="BF152" i="7"/>
  <c r="BG152" i="7"/>
  <c r="BH152" i="7"/>
  <c r="BI152" i="7"/>
  <c r="BJ152" i="7"/>
  <c r="BK152" i="7"/>
  <c r="BL152" i="7"/>
  <c r="BM152" i="7"/>
  <c r="BN152" i="7"/>
  <c r="BO152" i="7"/>
  <c r="BP152" i="7"/>
  <c r="BQ152" i="7"/>
  <c r="BR152" i="7"/>
  <c r="BS152" i="7"/>
  <c r="BT152" i="7"/>
  <c r="BU152" i="7"/>
  <c r="BV152" i="7"/>
  <c r="BW152" i="7"/>
  <c r="BX152" i="7"/>
  <c r="BY152" i="7"/>
  <c r="BZ152" i="7"/>
  <c r="CA152" i="7"/>
  <c r="CB152" i="7"/>
  <c r="CC152" i="7"/>
  <c r="CD152" i="7"/>
  <c r="CE152" i="7"/>
  <c r="CF152" i="7"/>
  <c r="CG152" i="7"/>
  <c r="CH152" i="7"/>
  <c r="CI152" i="7"/>
  <c r="CJ152" i="7"/>
  <c r="CK152" i="7"/>
  <c r="CL152" i="7"/>
  <c r="CM152" i="7"/>
  <c r="CN152" i="7"/>
  <c r="CO152" i="7"/>
  <c r="CP152" i="7"/>
  <c r="CQ152" i="7"/>
  <c r="CR152" i="7"/>
  <c r="CS152" i="7"/>
  <c r="CT152" i="7"/>
  <c r="CU152" i="7"/>
  <c r="CV152" i="7"/>
  <c r="CW152" i="7"/>
  <c r="CX152" i="7"/>
  <c r="CY152" i="7"/>
  <c r="CZ152" i="7"/>
  <c r="DA152" i="7"/>
  <c r="DB152" i="7"/>
  <c r="DC152" i="7"/>
  <c r="DD152" i="7"/>
  <c r="DE152" i="7"/>
  <c r="DF152" i="7"/>
  <c r="DG152" i="7"/>
  <c r="DH152" i="7"/>
  <c r="DI152" i="7"/>
  <c r="DJ152" i="7"/>
  <c r="DK152" i="7"/>
  <c r="DL152" i="7"/>
  <c r="DM152" i="7"/>
  <c r="DN152" i="7"/>
  <c r="DO152" i="7"/>
  <c r="DP152" i="7"/>
  <c r="DQ152" i="7"/>
  <c r="DR152" i="7"/>
  <c r="DS152" i="7"/>
  <c r="DT152" i="7"/>
  <c r="DU152" i="7"/>
  <c r="DV152" i="7"/>
  <c r="DW152" i="7"/>
  <c r="DX152" i="7"/>
  <c r="DY152" i="7"/>
  <c r="DZ152" i="7"/>
  <c r="EA152" i="7"/>
  <c r="EB152" i="7"/>
  <c r="EC152" i="7"/>
  <c r="ED152" i="7"/>
  <c r="EE152" i="7"/>
  <c r="EF152" i="7"/>
  <c r="EG152" i="7"/>
  <c r="EH152" i="7"/>
  <c r="EI152" i="7"/>
  <c r="EJ152" i="7"/>
  <c r="EL152" i="7"/>
  <c r="EM152" i="7"/>
  <c r="EN152" i="7"/>
  <c r="EO152" i="7"/>
  <c r="EP152" i="7"/>
  <c r="EQ152" i="7"/>
  <c r="ER152" i="7"/>
  <c r="ES152" i="7"/>
  <c r="ET152" i="7"/>
  <c r="EU152" i="7"/>
  <c r="EV152" i="7"/>
  <c r="EW152" i="7"/>
  <c r="F154" i="7"/>
  <c r="H154" i="7"/>
  <c r="I154" i="7"/>
  <c r="J154" i="7"/>
  <c r="K154" i="7"/>
  <c r="L154" i="7"/>
  <c r="M154" i="7"/>
  <c r="N154" i="7"/>
  <c r="O154" i="7"/>
  <c r="P154" i="7"/>
  <c r="Q154" i="7"/>
  <c r="R154" i="7"/>
  <c r="S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AJ154" i="7"/>
  <c r="AK154" i="7"/>
  <c r="AL154" i="7"/>
  <c r="AM154" i="7"/>
  <c r="AN154" i="7"/>
  <c r="AO154" i="7"/>
  <c r="AP154" i="7"/>
  <c r="AQ154" i="7"/>
  <c r="AR154" i="7"/>
  <c r="AS154" i="7"/>
  <c r="AT154" i="7"/>
  <c r="AU154" i="7"/>
  <c r="AV154" i="7"/>
  <c r="AW154" i="7"/>
  <c r="AX154" i="7"/>
  <c r="AY154" i="7"/>
  <c r="AZ154" i="7"/>
  <c r="BA154" i="7"/>
  <c r="BB154" i="7"/>
  <c r="BC154" i="7"/>
  <c r="BD154" i="7"/>
  <c r="BE154" i="7"/>
  <c r="BF154" i="7"/>
  <c r="BG154" i="7"/>
  <c r="BH154" i="7"/>
  <c r="BI154" i="7"/>
  <c r="BJ154" i="7"/>
  <c r="BK154" i="7"/>
  <c r="BL154" i="7"/>
  <c r="BM154" i="7"/>
  <c r="BN154" i="7"/>
  <c r="BO154" i="7"/>
  <c r="BP154" i="7"/>
  <c r="BQ154" i="7"/>
  <c r="BR154" i="7"/>
  <c r="BS154" i="7"/>
  <c r="BT154" i="7"/>
  <c r="BU154" i="7"/>
  <c r="BV154" i="7"/>
  <c r="BW154" i="7"/>
  <c r="BX154" i="7"/>
  <c r="BY154" i="7"/>
  <c r="BZ154" i="7"/>
  <c r="CA154" i="7"/>
  <c r="CB154" i="7"/>
  <c r="CC154" i="7"/>
  <c r="CD154" i="7"/>
  <c r="CE154" i="7"/>
  <c r="CF154" i="7"/>
  <c r="CG154" i="7"/>
  <c r="CH154" i="7"/>
  <c r="CI154" i="7"/>
  <c r="CJ154" i="7"/>
  <c r="CK154" i="7"/>
  <c r="CL154" i="7"/>
  <c r="CM154" i="7"/>
  <c r="CN154" i="7"/>
  <c r="CO154" i="7"/>
  <c r="CP154" i="7"/>
  <c r="CQ154" i="7"/>
  <c r="CR154" i="7"/>
  <c r="CS154" i="7"/>
  <c r="CT154" i="7"/>
  <c r="CU154" i="7"/>
  <c r="CV154" i="7"/>
  <c r="CW154" i="7"/>
  <c r="CX154" i="7"/>
  <c r="CY154" i="7"/>
  <c r="CZ154" i="7"/>
  <c r="DA154" i="7"/>
  <c r="DB154" i="7"/>
  <c r="DC154" i="7"/>
  <c r="DD154" i="7"/>
  <c r="DE154" i="7"/>
  <c r="DF154" i="7"/>
  <c r="DG154" i="7"/>
  <c r="DH154" i="7"/>
  <c r="DI154" i="7"/>
  <c r="DJ154" i="7"/>
  <c r="DK154" i="7"/>
  <c r="DL154" i="7"/>
  <c r="DM154" i="7"/>
  <c r="DN154" i="7"/>
  <c r="DO154" i="7"/>
  <c r="DP154" i="7"/>
  <c r="DQ154" i="7"/>
  <c r="DR154" i="7"/>
  <c r="DS154" i="7"/>
  <c r="DT154" i="7"/>
  <c r="DU154" i="7"/>
  <c r="DV154" i="7"/>
  <c r="DW154" i="7"/>
  <c r="DX154" i="7"/>
  <c r="DY154" i="7"/>
  <c r="DZ154" i="7"/>
  <c r="EA154" i="7"/>
  <c r="EB154" i="7"/>
  <c r="EC154" i="7"/>
  <c r="ED154" i="7"/>
  <c r="EE154" i="7"/>
  <c r="EF154" i="7"/>
  <c r="EG154" i="7"/>
  <c r="EH154" i="7"/>
  <c r="EI154" i="7"/>
  <c r="EJ154" i="7"/>
  <c r="EL154" i="7"/>
  <c r="EM154" i="7"/>
  <c r="EN154" i="7"/>
  <c r="EO154" i="7"/>
  <c r="EP154" i="7"/>
  <c r="EQ154" i="7"/>
  <c r="ER154" i="7"/>
  <c r="ES154" i="7"/>
  <c r="ET154" i="7"/>
  <c r="EU154" i="7"/>
  <c r="EV154" i="7"/>
  <c r="EW154" i="7"/>
  <c r="F155" i="7"/>
  <c r="H155" i="7"/>
  <c r="I155" i="7"/>
  <c r="J155" i="7"/>
  <c r="K155" i="7"/>
  <c r="L155" i="7"/>
  <c r="M155" i="7"/>
  <c r="N155" i="7"/>
  <c r="O155" i="7"/>
  <c r="P155" i="7"/>
  <c r="Q155" i="7"/>
  <c r="R155" i="7"/>
  <c r="S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AJ155" i="7"/>
  <c r="AK155" i="7"/>
  <c r="AL155" i="7"/>
  <c r="AM155" i="7"/>
  <c r="AN155" i="7"/>
  <c r="AO155" i="7"/>
  <c r="AP155" i="7"/>
  <c r="AQ155" i="7"/>
  <c r="AR155" i="7"/>
  <c r="AS155" i="7"/>
  <c r="AT155" i="7"/>
  <c r="AU155" i="7"/>
  <c r="AV155" i="7"/>
  <c r="AW155" i="7"/>
  <c r="AX155" i="7"/>
  <c r="AY155" i="7"/>
  <c r="AZ155" i="7"/>
  <c r="BA155" i="7"/>
  <c r="BB155" i="7"/>
  <c r="BC155" i="7"/>
  <c r="BD155" i="7"/>
  <c r="BE155" i="7"/>
  <c r="BF155" i="7"/>
  <c r="BG155" i="7"/>
  <c r="BH155" i="7"/>
  <c r="BI155" i="7"/>
  <c r="BJ155" i="7"/>
  <c r="BK155" i="7"/>
  <c r="BL155" i="7"/>
  <c r="BM155" i="7"/>
  <c r="BN155" i="7"/>
  <c r="BO155" i="7"/>
  <c r="BP155" i="7"/>
  <c r="BQ155" i="7"/>
  <c r="BR155" i="7"/>
  <c r="BS155" i="7"/>
  <c r="BT155" i="7"/>
  <c r="BU155" i="7"/>
  <c r="BV155" i="7"/>
  <c r="BW155" i="7"/>
  <c r="BX155" i="7"/>
  <c r="BY155" i="7"/>
  <c r="BZ155" i="7"/>
  <c r="CA155" i="7"/>
  <c r="CB155" i="7"/>
  <c r="CC155" i="7"/>
  <c r="CD155" i="7"/>
  <c r="CE155" i="7"/>
  <c r="CF155" i="7"/>
  <c r="CG155" i="7"/>
  <c r="CH155" i="7"/>
  <c r="CI155" i="7"/>
  <c r="CJ155" i="7"/>
  <c r="CK155" i="7"/>
  <c r="CL155" i="7"/>
  <c r="CM155" i="7"/>
  <c r="CN155" i="7"/>
  <c r="CO155" i="7"/>
  <c r="CP155" i="7"/>
  <c r="CQ155" i="7"/>
  <c r="CR155" i="7"/>
  <c r="CS155" i="7"/>
  <c r="CT155" i="7"/>
  <c r="CU155" i="7"/>
  <c r="CV155" i="7"/>
  <c r="CW155" i="7"/>
  <c r="CX155" i="7"/>
  <c r="CY155" i="7"/>
  <c r="CZ155" i="7"/>
  <c r="DA155" i="7"/>
  <c r="DB155" i="7"/>
  <c r="DC155" i="7"/>
  <c r="DD155" i="7"/>
  <c r="DE155" i="7"/>
  <c r="DF155" i="7"/>
  <c r="DG155" i="7"/>
  <c r="DH155" i="7"/>
  <c r="DI155" i="7"/>
  <c r="DJ155" i="7"/>
  <c r="DK155" i="7"/>
  <c r="DL155" i="7"/>
  <c r="DM155" i="7"/>
  <c r="DN155" i="7"/>
  <c r="DO155" i="7"/>
  <c r="DP155" i="7"/>
  <c r="DQ155" i="7"/>
  <c r="DR155" i="7"/>
  <c r="DS155" i="7"/>
  <c r="DT155" i="7"/>
  <c r="DU155" i="7"/>
  <c r="DV155" i="7"/>
  <c r="DW155" i="7"/>
  <c r="DX155" i="7"/>
  <c r="DY155" i="7"/>
  <c r="DZ155" i="7"/>
  <c r="EA155" i="7"/>
  <c r="EB155" i="7"/>
  <c r="EC155" i="7"/>
  <c r="ED155" i="7"/>
  <c r="EE155" i="7"/>
  <c r="EF155" i="7"/>
  <c r="EG155" i="7"/>
  <c r="EH155" i="7"/>
  <c r="EI155" i="7"/>
  <c r="EJ155" i="7"/>
  <c r="EL155" i="7"/>
  <c r="EM155" i="7"/>
  <c r="EN155" i="7"/>
  <c r="EO155" i="7"/>
  <c r="EP155" i="7"/>
  <c r="EQ155" i="7"/>
  <c r="ER155" i="7"/>
  <c r="ES155" i="7"/>
  <c r="ET155" i="7"/>
  <c r="EU155" i="7"/>
  <c r="EV155" i="7"/>
  <c r="EW155" i="7"/>
  <c r="I156" i="7"/>
  <c r="J156" i="7"/>
  <c r="K156" i="7"/>
  <c r="L156" i="7"/>
  <c r="M156" i="7"/>
  <c r="N156" i="7"/>
  <c r="O156" i="7"/>
  <c r="P156" i="7"/>
  <c r="Q156" i="7"/>
  <c r="R156" i="7"/>
  <c r="S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AJ156" i="7"/>
  <c r="AK156" i="7"/>
  <c r="AL156" i="7"/>
  <c r="AM156" i="7"/>
  <c r="AN156" i="7"/>
  <c r="AO156" i="7"/>
  <c r="AP156" i="7"/>
  <c r="AQ156" i="7"/>
  <c r="AR156" i="7"/>
  <c r="AS156" i="7"/>
  <c r="AT156" i="7"/>
  <c r="AU156" i="7"/>
  <c r="AV156" i="7"/>
  <c r="AW156" i="7"/>
  <c r="AX156" i="7"/>
  <c r="AY156" i="7"/>
  <c r="AZ156" i="7"/>
  <c r="BA156" i="7"/>
  <c r="BB156" i="7"/>
  <c r="BC156" i="7"/>
  <c r="BD156" i="7"/>
  <c r="BE156" i="7"/>
  <c r="BF156" i="7"/>
  <c r="BG156" i="7"/>
  <c r="BH156" i="7"/>
  <c r="BI156" i="7"/>
  <c r="BJ156" i="7"/>
  <c r="BK156" i="7"/>
  <c r="BL156" i="7"/>
  <c r="BM156" i="7"/>
  <c r="BN156" i="7"/>
  <c r="BO156" i="7"/>
  <c r="BP156" i="7"/>
  <c r="BQ156" i="7"/>
  <c r="BR156" i="7"/>
  <c r="BS156" i="7"/>
  <c r="BT156" i="7"/>
  <c r="BU156" i="7"/>
  <c r="BV156" i="7"/>
  <c r="BW156" i="7"/>
  <c r="BX156" i="7"/>
  <c r="BY156" i="7"/>
  <c r="BZ156" i="7"/>
  <c r="CA156" i="7"/>
  <c r="CB156" i="7"/>
  <c r="CC156" i="7"/>
  <c r="CD156" i="7"/>
  <c r="CE156" i="7"/>
  <c r="CF156" i="7"/>
  <c r="CG156" i="7"/>
  <c r="CH156" i="7"/>
  <c r="CI156" i="7"/>
  <c r="CJ156" i="7"/>
  <c r="CK156" i="7"/>
  <c r="CL156" i="7"/>
  <c r="CM156" i="7"/>
  <c r="CN156" i="7"/>
  <c r="CO156" i="7"/>
  <c r="CP156" i="7"/>
  <c r="CQ156" i="7"/>
  <c r="CR156" i="7"/>
  <c r="CS156" i="7"/>
  <c r="CT156" i="7"/>
  <c r="CU156" i="7"/>
  <c r="CV156" i="7"/>
  <c r="CW156" i="7"/>
  <c r="CX156" i="7"/>
  <c r="CY156" i="7"/>
  <c r="CZ156" i="7"/>
  <c r="DA156" i="7"/>
  <c r="DB156" i="7"/>
  <c r="DC156" i="7"/>
  <c r="DD156" i="7"/>
  <c r="DE156" i="7"/>
  <c r="DF156" i="7"/>
  <c r="DG156" i="7"/>
  <c r="DH156" i="7"/>
  <c r="DI156" i="7"/>
  <c r="DJ156" i="7"/>
  <c r="DK156" i="7"/>
  <c r="DL156" i="7"/>
  <c r="DM156" i="7"/>
  <c r="DN156" i="7"/>
  <c r="DO156" i="7"/>
  <c r="DP156" i="7"/>
  <c r="DQ156" i="7"/>
  <c r="DR156" i="7"/>
  <c r="DS156" i="7"/>
  <c r="DT156" i="7"/>
  <c r="DU156" i="7"/>
  <c r="DV156" i="7"/>
  <c r="DW156" i="7"/>
  <c r="DX156" i="7"/>
  <c r="DY156" i="7"/>
  <c r="DZ156" i="7"/>
  <c r="EA156" i="7"/>
  <c r="EB156" i="7"/>
  <c r="EC156" i="7"/>
  <c r="ED156" i="7"/>
  <c r="EE156" i="7"/>
  <c r="EF156" i="7"/>
  <c r="EG156" i="7"/>
  <c r="EH156" i="7"/>
  <c r="EI156" i="7"/>
  <c r="EJ156" i="7"/>
  <c r="EM156" i="7"/>
  <c r="EN156" i="7"/>
  <c r="EO156" i="7"/>
  <c r="EP156" i="7"/>
  <c r="EQ156" i="7"/>
  <c r="ER156" i="7"/>
  <c r="ES156" i="7"/>
  <c r="ET156" i="7"/>
  <c r="EU156" i="7"/>
  <c r="EV156" i="7"/>
  <c r="EW156" i="7"/>
  <c r="H157" i="7"/>
  <c r="I157" i="7"/>
  <c r="J157" i="7"/>
  <c r="K157" i="7"/>
  <c r="L157" i="7"/>
  <c r="M157" i="7"/>
  <c r="N157" i="7"/>
  <c r="O157" i="7"/>
  <c r="P157" i="7"/>
  <c r="Q157" i="7"/>
  <c r="R157" i="7"/>
  <c r="S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AJ157" i="7"/>
  <c r="AK157" i="7"/>
  <c r="AL157" i="7"/>
  <c r="AM157" i="7"/>
  <c r="AN157" i="7"/>
  <c r="AO157" i="7"/>
  <c r="AP157" i="7"/>
  <c r="AQ157" i="7"/>
  <c r="AR157" i="7"/>
  <c r="AS157" i="7"/>
  <c r="AT157" i="7"/>
  <c r="AU157" i="7"/>
  <c r="AV157" i="7"/>
  <c r="AW157" i="7"/>
  <c r="AX157" i="7"/>
  <c r="AY157" i="7"/>
  <c r="AZ157" i="7"/>
  <c r="BA157" i="7"/>
  <c r="BB157" i="7"/>
  <c r="BC157" i="7"/>
  <c r="BD157" i="7"/>
  <c r="BE157" i="7"/>
  <c r="BF157" i="7"/>
  <c r="BG157" i="7"/>
  <c r="BH157" i="7"/>
  <c r="BI157" i="7"/>
  <c r="BJ157" i="7"/>
  <c r="BK157" i="7"/>
  <c r="BL157" i="7"/>
  <c r="BM157" i="7"/>
  <c r="BN157" i="7"/>
  <c r="BO157" i="7"/>
  <c r="BP157" i="7"/>
  <c r="BQ157" i="7"/>
  <c r="BR157" i="7"/>
  <c r="BS157" i="7"/>
  <c r="BT157" i="7"/>
  <c r="BU157" i="7"/>
  <c r="BV157" i="7"/>
  <c r="BW157" i="7"/>
  <c r="BX157" i="7"/>
  <c r="BY157" i="7"/>
  <c r="BZ157" i="7"/>
  <c r="CA157" i="7"/>
  <c r="CB157" i="7"/>
  <c r="CC157" i="7"/>
  <c r="CD157" i="7"/>
  <c r="CE157" i="7"/>
  <c r="CF157" i="7"/>
  <c r="CG157" i="7"/>
  <c r="CH157" i="7"/>
  <c r="CI157" i="7"/>
  <c r="CJ157" i="7"/>
  <c r="CK157" i="7"/>
  <c r="CL157" i="7"/>
  <c r="CM157" i="7"/>
  <c r="CN157" i="7"/>
  <c r="CO157" i="7"/>
  <c r="CP157" i="7"/>
  <c r="CQ157" i="7"/>
  <c r="CR157" i="7"/>
  <c r="CS157" i="7"/>
  <c r="CT157" i="7"/>
  <c r="CU157" i="7"/>
  <c r="CV157" i="7"/>
  <c r="CW157" i="7"/>
  <c r="CX157" i="7"/>
  <c r="CY157" i="7"/>
  <c r="CZ157" i="7"/>
  <c r="DA157" i="7"/>
  <c r="DB157" i="7"/>
  <c r="DC157" i="7"/>
  <c r="DD157" i="7"/>
  <c r="DE157" i="7"/>
  <c r="DF157" i="7"/>
  <c r="DG157" i="7"/>
  <c r="DH157" i="7"/>
  <c r="DI157" i="7"/>
  <c r="DJ157" i="7"/>
  <c r="DK157" i="7"/>
  <c r="DL157" i="7"/>
  <c r="DM157" i="7"/>
  <c r="DN157" i="7"/>
  <c r="DO157" i="7"/>
  <c r="DP157" i="7"/>
  <c r="DQ157" i="7"/>
  <c r="DR157" i="7"/>
  <c r="DS157" i="7"/>
  <c r="DT157" i="7"/>
  <c r="DU157" i="7"/>
  <c r="DV157" i="7"/>
  <c r="DW157" i="7"/>
  <c r="DX157" i="7"/>
  <c r="DY157" i="7"/>
  <c r="DZ157" i="7"/>
  <c r="EA157" i="7"/>
  <c r="EB157" i="7"/>
  <c r="EC157" i="7"/>
  <c r="ED157" i="7"/>
  <c r="EE157" i="7"/>
  <c r="EF157" i="7"/>
  <c r="EG157" i="7"/>
  <c r="EH157" i="7"/>
  <c r="EI157" i="7"/>
  <c r="EJ157" i="7"/>
  <c r="EL157" i="7"/>
  <c r="EM157" i="7"/>
  <c r="EN157" i="7"/>
  <c r="EO157" i="7"/>
  <c r="EP157" i="7"/>
  <c r="EQ157" i="7"/>
  <c r="ER157" i="7"/>
  <c r="ES157" i="7"/>
  <c r="ET157" i="7"/>
  <c r="EU157" i="7"/>
  <c r="EV157" i="7"/>
  <c r="EW157" i="7"/>
  <c r="F159" i="7"/>
  <c r="H159" i="7"/>
  <c r="I159" i="7"/>
  <c r="J159" i="7"/>
  <c r="K159" i="7"/>
  <c r="L159" i="7"/>
  <c r="M159" i="7"/>
  <c r="N159" i="7"/>
  <c r="O159" i="7"/>
  <c r="P159" i="7"/>
  <c r="Q159" i="7"/>
  <c r="R159" i="7"/>
  <c r="S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AJ159" i="7"/>
  <c r="AK159" i="7"/>
  <c r="AL159" i="7"/>
  <c r="AM159" i="7"/>
  <c r="AN159" i="7"/>
  <c r="AO159" i="7"/>
  <c r="AP159" i="7"/>
  <c r="AQ159" i="7"/>
  <c r="AR159" i="7"/>
  <c r="AS159" i="7"/>
  <c r="AT159" i="7"/>
  <c r="AU159" i="7"/>
  <c r="AV159" i="7"/>
  <c r="AW159" i="7"/>
  <c r="AX159" i="7"/>
  <c r="AY159" i="7"/>
  <c r="AZ159" i="7"/>
  <c r="BA159" i="7"/>
  <c r="BB159" i="7"/>
  <c r="BC159" i="7"/>
  <c r="BD159" i="7"/>
  <c r="BE159" i="7"/>
  <c r="BF159" i="7"/>
  <c r="BG159" i="7"/>
  <c r="BH159" i="7"/>
  <c r="BI159" i="7"/>
  <c r="BJ159" i="7"/>
  <c r="BK159" i="7"/>
  <c r="BL159" i="7"/>
  <c r="BM159" i="7"/>
  <c r="BN159" i="7"/>
  <c r="BO159" i="7"/>
  <c r="BP159" i="7"/>
  <c r="BQ159" i="7"/>
  <c r="BR159" i="7"/>
  <c r="BS159" i="7"/>
  <c r="BT159" i="7"/>
  <c r="BU159" i="7"/>
  <c r="BV159" i="7"/>
  <c r="BW159" i="7"/>
  <c r="BX159" i="7"/>
  <c r="BY159" i="7"/>
  <c r="BZ159" i="7"/>
  <c r="CA159" i="7"/>
  <c r="CB159" i="7"/>
  <c r="CC159" i="7"/>
  <c r="CD159" i="7"/>
  <c r="CE159" i="7"/>
  <c r="CF159" i="7"/>
  <c r="CG159" i="7"/>
  <c r="CH159" i="7"/>
  <c r="CI159" i="7"/>
  <c r="CJ159" i="7"/>
  <c r="CK159" i="7"/>
  <c r="CL159" i="7"/>
  <c r="CM159" i="7"/>
  <c r="CN159" i="7"/>
  <c r="CO159" i="7"/>
  <c r="CP159" i="7"/>
  <c r="CQ159" i="7"/>
  <c r="CR159" i="7"/>
  <c r="CS159" i="7"/>
  <c r="CT159" i="7"/>
  <c r="CU159" i="7"/>
  <c r="CV159" i="7"/>
  <c r="CW159" i="7"/>
  <c r="CX159" i="7"/>
  <c r="CY159" i="7"/>
  <c r="CZ159" i="7"/>
  <c r="DA159" i="7"/>
  <c r="DB159" i="7"/>
  <c r="DC159" i="7"/>
  <c r="DD159" i="7"/>
  <c r="DE159" i="7"/>
  <c r="DF159" i="7"/>
  <c r="DG159" i="7"/>
  <c r="DH159" i="7"/>
  <c r="DI159" i="7"/>
  <c r="DJ159" i="7"/>
  <c r="DK159" i="7"/>
  <c r="DL159" i="7"/>
  <c r="DM159" i="7"/>
  <c r="DN159" i="7"/>
  <c r="DO159" i="7"/>
  <c r="DP159" i="7"/>
  <c r="DQ159" i="7"/>
  <c r="DR159" i="7"/>
  <c r="DS159" i="7"/>
  <c r="DT159" i="7"/>
  <c r="DU159" i="7"/>
  <c r="DV159" i="7"/>
  <c r="DW159" i="7"/>
  <c r="DX159" i="7"/>
  <c r="DY159" i="7"/>
  <c r="DZ159" i="7"/>
  <c r="EA159" i="7"/>
  <c r="EB159" i="7"/>
  <c r="EC159" i="7"/>
  <c r="ED159" i="7"/>
  <c r="EE159" i="7"/>
  <c r="EF159" i="7"/>
  <c r="EG159" i="7"/>
  <c r="EH159" i="7"/>
  <c r="EI159" i="7"/>
  <c r="EJ159" i="7"/>
  <c r="EL159" i="7"/>
  <c r="EM159" i="7"/>
  <c r="EN159" i="7"/>
  <c r="EO159" i="7"/>
  <c r="EP159" i="7"/>
  <c r="EQ159" i="7"/>
  <c r="ER159" i="7"/>
  <c r="ES159" i="7"/>
  <c r="ET159" i="7"/>
  <c r="EU159" i="7"/>
  <c r="EV159" i="7"/>
  <c r="EW159" i="7"/>
  <c r="EM160" i="7"/>
  <c r="EN160" i="7"/>
  <c r="EO160" i="7"/>
  <c r="EP160" i="7"/>
  <c r="EQ160" i="7"/>
  <c r="ER160" i="7"/>
  <c r="ES160" i="7"/>
  <c r="ET160" i="7"/>
  <c r="EU160" i="7"/>
  <c r="EV160" i="7"/>
  <c r="EW160" i="7"/>
  <c r="C162" i="7"/>
  <c r="C163" i="7"/>
  <c r="C164" i="7"/>
  <c r="C165" i="7"/>
  <c r="E173" i="7"/>
  <c r="F173" i="7"/>
  <c r="H173" i="7"/>
  <c r="I173" i="7"/>
  <c r="J173" i="7"/>
  <c r="K173" i="7"/>
  <c r="L173" i="7"/>
  <c r="M173" i="7"/>
  <c r="N173" i="7"/>
  <c r="O173" i="7"/>
  <c r="P173" i="7"/>
  <c r="Q173" i="7"/>
  <c r="R173" i="7"/>
  <c r="S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AJ173" i="7"/>
  <c r="AK173" i="7"/>
  <c r="AL173" i="7"/>
  <c r="AM173" i="7"/>
  <c r="AN173" i="7"/>
  <c r="AO173" i="7"/>
  <c r="AP173" i="7"/>
  <c r="AQ173" i="7"/>
  <c r="AR173" i="7"/>
  <c r="AS173" i="7"/>
  <c r="AT173" i="7"/>
  <c r="AU173" i="7"/>
  <c r="AV173" i="7"/>
  <c r="AW173" i="7"/>
  <c r="AX173" i="7"/>
  <c r="AY173" i="7"/>
  <c r="AZ173" i="7"/>
  <c r="BA173" i="7"/>
  <c r="BB173" i="7"/>
  <c r="BC173" i="7"/>
  <c r="BD173" i="7"/>
  <c r="BE173" i="7"/>
  <c r="BF173" i="7"/>
  <c r="BG173" i="7"/>
  <c r="BH173" i="7"/>
  <c r="BI173" i="7"/>
  <c r="BJ173" i="7"/>
  <c r="BK173" i="7"/>
  <c r="BL173" i="7"/>
  <c r="BM173" i="7"/>
  <c r="BN173" i="7"/>
  <c r="BO173" i="7"/>
  <c r="BP173" i="7"/>
  <c r="BQ173" i="7"/>
  <c r="BR173" i="7"/>
  <c r="BS173" i="7"/>
  <c r="BT173" i="7"/>
  <c r="BU173" i="7"/>
  <c r="BV173" i="7"/>
  <c r="BW173" i="7"/>
  <c r="BX173" i="7"/>
  <c r="BY173" i="7"/>
  <c r="BZ173" i="7"/>
  <c r="CA173" i="7"/>
  <c r="CB173" i="7"/>
  <c r="CC173" i="7"/>
  <c r="CD173" i="7"/>
  <c r="CE173" i="7"/>
  <c r="CF173" i="7"/>
  <c r="CG173" i="7"/>
  <c r="CH173" i="7"/>
  <c r="CI173" i="7"/>
  <c r="CJ173" i="7"/>
  <c r="CK173" i="7"/>
  <c r="CL173" i="7"/>
  <c r="CM173" i="7"/>
  <c r="CN173" i="7"/>
  <c r="CO173" i="7"/>
  <c r="CP173" i="7"/>
  <c r="CQ173" i="7"/>
  <c r="CR173" i="7"/>
  <c r="CS173" i="7"/>
  <c r="CT173" i="7"/>
  <c r="CU173" i="7"/>
  <c r="CV173" i="7"/>
  <c r="CW173" i="7"/>
  <c r="CX173" i="7"/>
  <c r="CY173" i="7"/>
  <c r="CZ173" i="7"/>
  <c r="DA173" i="7"/>
  <c r="DB173" i="7"/>
  <c r="DC173" i="7"/>
  <c r="DD173" i="7"/>
  <c r="DE173" i="7"/>
  <c r="DF173" i="7"/>
  <c r="DG173" i="7"/>
  <c r="DH173" i="7"/>
  <c r="DI173" i="7"/>
  <c r="DJ173" i="7"/>
  <c r="DK173" i="7"/>
  <c r="DL173" i="7"/>
  <c r="DM173" i="7"/>
  <c r="DN173" i="7"/>
  <c r="DO173" i="7"/>
  <c r="DP173" i="7"/>
  <c r="DQ173" i="7"/>
  <c r="DR173" i="7"/>
  <c r="DS173" i="7"/>
  <c r="DT173" i="7"/>
  <c r="DU173" i="7"/>
  <c r="DV173" i="7"/>
  <c r="DW173" i="7"/>
  <c r="DX173" i="7"/>
  <c r="DY173" i="7"/>
  <c r="DZ173" i="7"/>
  <c r="EA173" i="7"/>
  <c r="EB173" i="7"/>
  <c r="EC173" i="7"/>
  <c r="ED173" i="7"/>
  <c r="EE173" i="7"/>
  <c r="EF173" i="7"/>
  <c r="EG173" i="7"/>
  <c r="EH173" i="7"/>
  <c r="EI173" i="7"/>
  <c r="EJ173" i="7"/>
  <c r="EL173" i="7"/>
  <c r="EM173" i="7"/>
  <c r="EN173" i="7"/>
  <c r="EO173" i="7"/>
  <c r="EP173" i="7"/>
  <c r="EQ173" i="7"/>
  <c r="ER173" i="7"/>
  <c r="ES173" i="7"/>
  <c r="ET173" i="7"/>
  <c r="EU173" i="7"/>
  <c r="EV173" i="7"/>
  <c r="EW173" i="7"/>
  <c r="E175" i="7"/>
  <c r="F175" i="7"/>
  <c r="H175" i="7"/>
  <c r="I175" i="7"/>
  <c r="J175" i="7"/>
  <c r="K175" i="7"/>
  <c r="L175" i="7"/>
  <c r="M175" i="7"/>
  <c r="N175" i="7"/>
  <c r="O175" i="7"/>
  <c r="P175" i="7"/>
  <c r="Q175" i="7"/>
  <c r="R175" i="7"/>
  <c r="S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AJ175" i="7"/>
  <c r="AK175" i="7"/>
  <c r="AL175" i="7"/>
  <c r="AM175" i="7"/>
  <c r="AN175" i="7"/>
  <c r="AO175" i="7"/>
  <c r="AP175" i="7"/>
  <c r="AQ175" i="7"/>
  <c r="AR175" i="7"/>
  <c r="AS175" i="7"/>
  <c r="AT175" i="7"/>
  <c r="AU175" i="7"/>
  <c r="AV175" i="7"/>
  <c r="AW175" i="7"/>
  <c r="AX175" i="7"/>
  <c r="AY175" i="7"/>
  <c r="AZ175" i="7"/>
  <c r="BA175" i="7"/>
  <c r="BB175" i="7"/>
  <c r="BC175" i="7"/>
  <c r="BD175" i="7"/>
  <c r="BE175" i="7"/>
  <c r="BF175" i="7"/>
  <c r="BG175" i="7"/>
  <c r="BH175" i="7"/>
  <c r="BI175" i="7"/>
  <c r="BJ175" i="7"/>
  <c r="BK175" i="7"/>
  <c r="BL175" i="7"/>
  <c r="BM175" i="7"/>
  <c r="BN175" i="7"/>
  <c r="BO175" i="7"/>
  <c r="BP175" i="7"/>
  <c r="BQ175" i="7"/>
  <c r="BR175" i="7"/>
  <c r="BS175" i="7"/>
  <c r="BT175" i="7"/>
  <c r="BU175" i="7"/>
  <c r="BV175" i="7"/>
  <c r="BW175" i="7"/>
  <c r="BX175" i="7"/>
  <c r="BY175" i="7"/>
  <c r="BZ175" i="7"/>
  <c r="CA175" i="7"/>
  <c r="CB175" i="7"/>
  <c r="CC175" i="7"/>
  <c r="CD175" i="7"/>
  <c r="CE175" i="7"/>
  <c r="CF175" i="7"/>
  <c r="CG175" i="7"/>
  <c r="CH175" i="7"/>
  <c r="CI175" i="7"/>
  <c r="CJ175" i="7"/>
  <c r="CK175" i="7"/>
  <c r="CL175" i="7"/>
  <c r="CM175" i="7"/>
  <c r="CN175" i="7"/>
  <c r="CO175" i="7"/>
  <c r="CP175" i="7"/>
  <c r="CQ175" i="7"/>
  <c r="CR175" i="7"/>
  <c r="CS175" i="7"/>
  <c r="CT175" i="7"/>
  <c r="CU175" i="7"/>
  <c r="CV175" i="7"/>
  <c r="CW175" i="7"/>
  <c r="CX175" i="7"/>
  <c r="CY175" i="7"/>
  <c r="CZ175" i="7"/>
  <c r="DA175" i="7"/>
  <c r="DB175" i="7"/>
  <c r="DC175" i="7"/>
  <c r="DD175" i="7"/>
  <c r="DE175" i="7"/>
  <c r="DF175" i="7"/>
  <c r="DG175" i="7"/>
  <c r="DH175" i="7"/>
  <c r="DI175" i="7"/>
  <c r="DJ175" i="7"/>
  <c r="DK175" i="7"/>
  <c r="DL175" i="7"/>
  <c r="DM175" i="7"/>
  <c r="DN175" i="7"/>
  <c r="DO175" i="7"/>
  <c r="DP175" i="7"/>
  <c r="DQ175" i="7"/>
  <c r="DR175" i="7"/>
  <c r="DS175" i="7"/>
  <c r="DT175" i="7"/>
  <c r="DU175" i="7"/>
  <c r="DV175" i="7"/>
  <c r="DW175" i="7"/>
  <c r="DX175" i="7"/>
  <c r="DY175" i="7"/>
  <c r="DZ175" i="7"/>
  <c r="EA175" i="7"/>
  <c r="EB175" i="7"/>
  <c r="EC175" i="7"/>
  <c r="ED175" i="7"/>
  <c r="EE175" i="7"/>
  <c r="EF175" i="7"/>
  <c r="EG175" i="7"/>
  <c r="EH175" i="7"/>
  <c r="EI175" i="7"/>
  <c r="EJ175" i="7"/>
  <c r="EL175" i="7"/>
  <c r="EM175" i="7"/>
  <c r="EN175" i="7"/>
  <c r="EO175" i="7"/>
  <c r="EP175" i="7"/>
  <c r="EQ175" i="7"/>
  <c r="ER175" i="7"/>
  <c r="ES175" i="7"/>
  <c r="ET175" i="7"/>
  <c r="EU175" i="7"/>
  <c r="EV175" i="7"/>
  <c r="EW175" i="7"/>
  <c r="E178" i="7"/>
  <c r="F178" i="7"/>
  <c r="H178" i="7"/>
  <c r="I178" i="7"/>
  <c r="J178" i="7"/>
  <c r="K178" i="7"/>
  <c r="L178" i="7"/>
  <c r="M178" i="7"/>
  <c r="N178" i="7"/>
  <c r="O178" i="7"/>
  <c r="P178" i="7"/>
  <c r="Q178" i="7"/>
  <c r="R178" i="7"/>
  <c r="S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AJ178" i="7"/>
  <c r="AK178" i="7"/>
  <c r="AL178" i="7"/>
  <c r="AM178" i="7"/>
  <c r="AN178" i="7"/>
  <c r="AO178" i="7"/>
  <c r="AP178" i="7"/>
  <c r="AQ178" i="7"/>
  <c r="AR178" i="7"/>
  <c r="AS178" i="7"/>
  <c r="AT178" i="7"/>
  <c r="AU178" i="7"/>
  <c r="AV178" i="7"/>
  <c r="AW178" i="7"/>
  <c r="AX178" i="7"/>
  <c r="AY178" i="7"/>
  <c r="AZ178" i="7"/>
  <c r="BA178" i="7"/>
  <c r="BB178" i="7"/>
  <c r="BC178" i="7"/>
  <c r="BD178" i="7"/>
  <c r="BE178" i="7"/>
  <c r="BF178" i="7"/>
  <c r="BG178" i="7"/>
  <c r="BH178" i="7"/>
  <c r="BI178" i="7"/>
  <c r="BJ178" i="7"/>
  <c r="BK178" i="7"/>
  <c r="BL178" i="7"/>
  <c r="BM178" i="7"/>
  <c r="BN178" i="7"/>
  <c r="BO178" i="7"/>
  <c r="BP178" i="7"/>
  <c r="BQ178" i="7"/>
  <c r="BR178" i="7"/>
  <c r="BS178" i="7"/>
  <c r="BT178" i="7"/>
  <c r="BU178" i="7"/>
  <c r="BV178" i="7"/>
  <c r="BW178" i="7"/>
  <c r="BX178" i="7"/>
  <c r="BY178" i="7"/>
  <c r="BZ178" i="7"/>
  <c r="CA178" i="7"/>
  <c r="CB178" i="7"/>
  <c r="CC178" i="7"/>
  <c r="CD178" i="7"/>
  <c r="CE178" i="7"/>
  <c r="CF178" i="7"/>
  <c r="CG178" i="7"/>
  <c r="CH178" i="7"/>
  <c r="CI178" i="7"/>
  <c r="CJ178" i="7"/>
  <c r="CK178" i="7"/>
  <c r="CL178" i="7"/>
  <c r="CM178" i="7"/>
  <c r="CN178" i="7"/>
  <c r="CO178" i="7"/>
  <c r="CP178" i="7"/>
  <c r="CQ178" i="7"/>
  <c r="CR178" i="7"/>
  <c r="CS178" i="7"/>
  <c r="CT178" i="7"/>
  <c r="CU178" i="7"/>
  <c r="CV178" i="7"/>
  <c r="CW178" i="7"/>
  <c r="CX178" i="7"/>
  <c r="CY178" i="7"/>
  <c r="CZ178" i="7"/>
  <c r="DA178" i="7"/>
  <c r="DB178" i="7"/>
  <c r="DC178" i="7"/>
  <c r="DD178" i="7"/>
  <c r="DE178" i="7"/>
  <c r="DF178" i="7"/>
  <c r="DG178" i="7"/>
  <c r="DH178" i="7"/>
  <c r="DI178" i="7"/>
  <c r="DJ178" i="7"/>
  <c r="DK178" i="7"/>
  <c r="DL178" i="7"/>
  <c r="DM178" i="7"/>
  <c r="DN178" i="7"/>
  <c r="DO178" i="7"/>
  <c r="DP178" i="7"/>
  <c r="DQ178" i="7"/>
  <c r="DR178" i="7"/>
  <c r="DS178" i="7"/>
  <c r="DT178" i="7"/>
  <c r="DU178" i="7"/>
  <c r="DV178" i="7"/>
  <c r="DW178" i="7"/>
  <c r="DX178" i="7"/>
  <c r="DY178" i="7"/>
  <c r="DZ178" i="7"/>
  <c r="EA178" i="7"/>
  <c r="EB178" i="7"/>
  <c r="EC178" i="7"/>
  <c r="ED178" i="7"/>
  <c r="EE178" i="7"/>
  <c r="EF178" i="7"/>
  <c r="EG178" i="7"/>
  <c r="EH178" i="7"/>
  <c r="EI178" i="7"/>
  <c r="EJ178" i="7"/>
  <c r="EL178" i="7"/>
  <c r="EM178" i="7"/>
  <c r="EN178" i="7"/>
  <c r="EO178" i="7"/>
  <c r="EP178" i="7"/>
  <c r="EQ178" i="7"/>
  <c r="ER178" i="7"/>
  <c r="ES178" i="7"/>
  <c r="ET178" i="7"/>
  <c r="EU178" i="7"/>
  <c r="EV178" i="7"/>
  <c r="EW178" i="7"/>
  <c r="E179" i="7"/>
  <c r="F179" i="7"/>
  <c r="H179" i="7"/>
  <c r="I179" i="7"/>
  <c r="J179" i="7"/>
  <c r="K179" i="7"/>
  <c r="L179" i="7"/>
  <c r="M179" i="7"/>
  <c r="N179" i="7"/>
  <c r="O179" i="7"/>
  <c r="P179" i="7"/>
  <c r="Q179" i="7"/>
  <c r="R179" i="7"/>
  <c r="S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AJ179" i="7"/>
  <c r="AK179" i="7"/>
  <c r="AL179" i="7"/>
  <c r="AM179" i="7"/>
  <c r="AN179" i="7"/>
  <c r="AO179" i="7"/>
  <c r="AP179" i="7"/>
  <c r="AQ179" i="7"/>
  <c r="AR179" i="7"/>
  <c r="AS179" i="7"/>
  <c r="AT179" i="7"/>
  <c r="AU179" i="7"/>
  <c r="AV179" i="7"/>
  <c r="AW179" i="7"/>
  <c r="AX179" i="7"/>
  <c r="AY179" i="7"/>
  <c r="AZ179" i="7"/>
  <c r="BA179" i="7"/>
  <c r="BB179" i="7"/>
  <c r="BC179" i="7"/>
  <c r="BD179" i="7"/>
  <c r="BE179" i="7"/>
  <c r="BF179" i="7"/>
  <c r="BG179" i="7"/>
  <c r="BH179" i="7"/>
  <c r="BI179" i="7"/>
  <c r="BJ179" i="7"/>
  <c r="BK179" i="7"/>
  <c r="BL179" i="7"/>
  <c r="BM179" i="7"/>
  <c r="BN179" i="7"/>
  <c r="BO179" i="7"/>
  <c r="BP179" i="7"/>
  <c r="BQ179" i="7"/>
  <c r="BR179" i="7"/>
  <c r="BS179" i="7"/>
  <c r="BT179" i="7"/>
  <c r="BU179" i="7"/>
  <c r="BV179" i="7"/>
  <c r="BW179" i="7"/>
  <c r="BX179" i="7"/>
  <c r="BY179" i="7"/>
  <c r="BZ179" i="7"/>
  <c r="CA179" i="7"/>
  <c r="CB179" i="7"/>
  <c r="CC179" i="7"/>
  <c r="CD179" i="7"/>
  <c r="CE179" i="7"/>
  <c r="CF179" i="7"/>
  <c r="CG179" i="7"/>
  <c r="CH179" i="7"/>
  <c r="CI179" i="7"/>
  <c r="CJ179" i="7"/>
  <c r="CK179" i="7"/>
  <c r="CL179" i="7"/>
  <c r="CM179" i="7"/>
  <c r="CN179" i="7"/>
  <c r="CO179" i="7"/>
  <c r="CP179" i="7"/>
  <c r="CQ179" i="7"/>
  <c r="CR179" i="7"/>
  <c r="CS179" i="7"/>
  <c r="CT179" i="7"/>
  <c r="CU179" i="7"/>
  <c r="CV179" i="7"/>
  <c r="CW179" i="7"/>
  <c r="CX179" i="7"/>
  <c r="CY179" i="7"/>
  <c r="CZ179" i="7"/>
  <c r="DA179" i="7"/>
  <c r="DB179" i="7"/>
  <c r="DC179" i="7"/>
  <c r="DD179" i="7"/>
  <c r="DE179" i="7"/>
  <c r="DF179" i="7"/>
  <c r="DG179" i="7"/>
  <c r="DH179" i="7"/>
  <c r="DI179" i="7"/>
  <c r="DJ179" i="7"/>
  <c r="DK179" i="7"/>
  <c r="DL179" i="7"/>
  <c r="DM179" i="7"/>
  <c r="DN179" i="7"/>
  <c r="DO179" i="7"/>
  <c r="DP179" i="7"/>
  <c r="DQ179" i="7"/>
  <c r="DR179" i="7"/>
  <c r="DS179" i="7"/>
  <c r="DT179" i="7"/>
  <c r="DU179" i="7"/>
  <c r="DV179" i="7"/>
  <c r="DW179" i="7"/>
  <c r="DX179" i="7"/>
  <c r="DY179" i="7"/>
  <c r="DZ179" i="7"/>
  <c r="EA179" i="7"/>
  <c r="EB179" i="7"/>
  <c r="EC179" i="7"/>
  <c r="ED179" i="7"/>
  <c r="EE179" i="7"/>
  <c r="EF179" i="7"/>
  <c r="EG179" i="7"/>
  <c r="EH179" i="7"/>
  <c r="EI179" i="7"/>
  <c r="EJ179" i="7"/>
  <c r="EL179" i="7"/>
  <c r="EM179" i="7"/>
  <c r="EN179" i="7"/>
  <c r="EO179" i="7"/>
  <c r="EP179" i="7"/>
  <c r="EQ179" i="7"/>
  <c r="ER179" i="7"/>
  <c r="ES179" i="7"/>
  <c r="ET179" i="7"/>
  <c r="EU179" i="7"/>
  <c r="EV179" i="7"/>
  <c r="EW179" i="7"/>
  <c r="E180" i="7"/>
  <c r="F180" i="7"/>
  <c r="H180" i="7"/>
  <c r="I180" i="7"/>
  <c r="J180" i="7"/>
  <c r="K180" i="7"/>
  <c r="L180" i="7"/>
  <c r="M180" i="7"/>
  <c r="N180" i="7"/>
  <c r="O180" i="7"/>
  <c r="P180" i="7"/>
  <c r="Q180" i="7"/>
  <c r="R180" i="7"/>
  <c r="S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AJ180" i="7"/>
  <c r="AK180" i="7"/>
  <c r="AL180" i="7"/>
  <c r="AM180" i="7"/>
  <c r="AN180" i="7"/>
  <c r="AO180" i="7"/>
  <c r="AP180" i="7"/>
  <c r="AQ180" i="7"/>
  <c r="AR180" i="7"/>
  <c r="AS180" i="7"/>
  <c r="AT180" i="7"/>
  <c r="AU180" i="7"/>
  <c r="AV180" i="7"/>
  <c r="AW180" i="7"/>
  <c r="AX180" i="7"/>
  <c r="AY180" i="7"/>
  <c r="AZ180" i="7"/>
  <c r="BA180" i="7"/>
  <c r="BB180" i="7"/>
  <c r="BC180" i="7"/>
  <c r="BD180" i="7"/>
  <c r="BE180" i="7"/>
  <c r="BF180" i="7"/>
  <c r="BG180" i="7"/>
  <c r="BH180" i="7"/>
  <c r="BI180" i="7"/>
  <c r="BJ180" i="7"/>
  <c r="BK180" i="7"/>
  <c r="BL180" i="7"/>
  <c r="BM180" i="7"/>
  <c r="BN180" i="7"/>
  <c r="BO180" i="7"/>
  <c r="BP180" i="7"/>
  <c r="BQ180" i="7"/>
  <c r="BR180" i="7"/>
  <c r="BS180" i="7"/>
  <c r="BT180" i="7"/>
  <c r="BU180" i="7"/>
  <c r="BV180" i="7"/>
  <c r="BW180" i="7"/>
  <c r="BX180" i="7"/>
  <c r="BY180" i="7"/>
  <c r="BZ180" i="7"/>
  <c r="CA180" i="7"/>
  <c r="CB180" i="7"/>
  <c r="CC180" i="7"/>
  <c r="CD180" i="7"/>
  <c r="CE180" i="7"/>
  <c r="CF180" i="7"/>
  <c r="CG180" i="7"/>
  <c r="CH180" i="7"/>
  <c r="CI180" i="7"/>
  <c r="CJ180" i="7"/>
  <c r="CK180" i="7"/>
  <c r="CL180" i="7"/>
  <c r="CM180" i="7"/>
  <c r="CN180" i="7"/>
  <c r="CO180" i="7"/>
  <c r="CP180" i="7"/>
  <c r="CQ180" i="7"/>
  <c r="CR180" i="7"/>
  <c r="CS180" i="7"/>
  <c r="CT180" i="7"/>
  <c r="CU180" i="7"/>
  <c r="CV180" i="7"/>
  <c r="CW180" i="7"/>
  <c r="CX180" i="7"/>
  <c r="CY180" i="7"/>
  <c r="CZ180" i="7"/>
  <c r="DA180" i="7"/>
  <c r="DB180" i="7"/>
  <c r="DC180" i="7"/>
  <c r="DD180" i="7"/>
  <c r="DE180" i="7"/>
  <c r="DF180" i="7"/>
  <c r="DG180" i="7"/>
  <c r="DH180" i="7"/>
  <c r="DI180" i="7"/>
  <c r="DJ180" i="7"/>
  <c r="DK180" i="7"/>
  <c r="DL180" i="7"/>
  <c r="DM180" i="7"/>
  <c r="DN180" i="7"/>
  <c r="DO180" i="7"/>
  <c r="DP180" i="7"/>
  <c r="DQ180" i="7"/>
  <c r="DR180" i="7"/>
  <c r="DS180" i="7"/>
  <c r="DT180" i="7"/>
  <c r="DU180" i="7"/>
  <c r="DV180" i="7"/>
  <c r="DW180" i="7"/>
  <c r="DX180" i="7"/>
  <c r="DY180" i="7"/>
  <c r="DZ180" i="7"/>
  <c r="EA180" i="7"/>
  <c r="EB180" i="7"/>
  <c r="EC180" i="7"/>
  <c r="ED180" i="7"/>
  <c r="EE180" i="7"/>
  <c r="EF180" i="7"/>
  <c r="EG180" i="7"/>
  <c r="EH180" i="7"/>
  <c r="EI180" i="7"/>
  <c r="EJ180" i="7"/>
  <c r="EL180" i="7"/>
  <c r="EM180" i="7"/>
  <c r="EN180" i="7"/>
  <c r="EO180" i="7"/>
  <c r="EP180" i="7"/>
  <c r="EQ180" i="7"/>
  <c r="ER180" i="7"/>
  <c r="ES180" i="7"/>
  <c r="ET180" i="7"/>
  <c r="EU180" i="7"/>
  <c r="EV180" i="7"/>
  <c r="EW180" i="7"/>
  <c r="E181" i="7"/>
  <c r="F181" i="7"/>
  <c r="H181" i="7"/>
  <c r="I181" i="7"/>
  <c r="J181" i="7"/>
  <c r="K181" i="7"/>
  <c r="L181" i="7"/>
  <c r="M181" i="7"/>
  <c r="N181" i="7"/>
  <c r="O181" i="7"/>
  <c r="P181" i="7"/>
  <c r="Q181" i="7"/>
  <c r="R181" i="7"/>
  <c r="S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AJ181" i="7"/>
  <c r="AK181" i="7"/>
  <c r="AL181" i="7"/>
  <c r="AM181" i="7"/>
  <c r="AN181" i="7"/>
  <c r="AO181" i="7"/>
  <c r="AP181" i="7"/>
  <c r="AQ181" i="7"/>
  <c r="AR181" i="7"/>
  <c r="AS181" i="7"/>
  <c r="AT181" i="7"/>
  <c r="AU181" i="7"/>
  <c r="AV181" i="7"/>
  <c r="AW181" i="7"/>
  <c r="AX181" i="7"/>
  <c r="AY181" i="7"/>
  <c r="AZ181" i="7"/>
  <c r="BA181" i="7"/>
  <c r="BB181" i="7"/>
  <c r="BC181" i="7"/>
  <c r="BD181" i="7"/>
  <c r="BE181" i="7"/>
  <c r="BF181" i="7"/>
  <c r="BG181" i="7"/>
  <c r="BH181" i="7"/>
  <c r="BI181" i="7"/>
  <c r="BJ181" i="7"/>
  <c r="BK181" i="7"/>
  <c r="BL181" i="7"/>
  <c r="BM181" i="7"/>
  <c r="BN181" i="7"/>
  <c r="BO181" i="7"/>
  <c r="BP181" i="7"/>
  <c r="BQ181" i="7"/>
  <c r="BR181" i="7"/>
  <c r="BS181" i="7"/>
  <c r="BT181" i="7"/>
  <c r="BU181" i="7"/>
  <c r="BV181" i="7"/>
  <c r="BW181" i="7"/>
  <c r="BX181" i="7"/>
  <c r="BY181" i="7"/>
  <c r="BZ181" i="7"/>
  <c r="CA181" i="7"/>
  <c r="CB181" i="7"/>
  <c r="CC181" i="7"/>
  <c r="CD181" i="7"/>
  <c r="CE181" i="7"/>
  <c r="CF181" i="7"/>
  <c r="CG181" i="7"/>
  <c r="CH181" i="7"/>
  <c r="CI181" i="7"/>
  <c r="CJ181" i="7"/>
  <c r="CK181" i="7"/>
  <c r="CL181" i="7"/>
  <c r="CM181" i="7"/>
  <c r="CN181" i="7"/>
  <c r="CO181" i="7"/>
  <c r="CP181" i="7"/>
  <c r="CQ181" i="7"/>
  <c r="CR181" i="7"/>
  <c r="CS181" i="7"/>
  <c r="CT181" i="7"/>
  <c r="CU181" i="7"/>
  <c r="CV181" i="7"/>
  <c r="CW181" i="7"/>
  <c r="CX181" i="7"/>
  <c r="CY181" i="7"/>
  <c r="CZ181" i="7"/>
  <c r="DA181" i="7"/>
  <c r="DB181" i="7"/>
  <c r="DC181" i="7"/>
  <c r="DD181" i="7"/>
  <c r="DE181" i="7"/>
  <c r="DF181" i="7"/>
  <c r="DG181" i="7"/>
  <c r="DH181" i="7"/>
  <c r="DI181" i="7"/>
  <c r="DJ181" i="7"/>
  <c r="DK181" i="7"/>
  <c r="DL181" i="7"/>
  <c r="DM181" i="7"/>
  <c r="DN181" i="7"/>
  <c r="DO181" i="7"/>
  <c r="DP181" i="7"/>
  <c r="DQ181" i="7"/>
  <c r="DR181" i="7"/>
  <c r="DS181" i="7"/>
  <c r="DT181" i="7"/>
  <c r="DU181" i="7"/>
  <c r="DV181" i="7"/>
  <c r="DW181" i="7"/>
  <c r="DX181" i="7"/>
  <c r="DY181" i="7"/>
  <c r="DZ181" i="7"/>
  <c r="EA181" i="7"/>
  <c r="EB181" i="7"/>
  <c r="EC181" i="7"/>
  <c r="ED181" i="7"/>
  <c r="EE181" i="7"/>
  <c r="EF181" i="7"/>
  <c r="EG181" i="7"/>
  <c r="EH181" i="7"/>
  <c r="EI181" i="7"/>
  <c r="EJ181" i="7"/>
  <c r="EL181" i="7"/>
  <c r="EM181" i="7"/>
  <c r="EN181" i="7"/>
  <c r="EO181" i="7"/>
  <c r="EP181" i="7"/>
  <c r="EQ181" i="7"/>
  <c r="ER181" i="7"/>
  <c r="ES181" i="7"/>
  <c r="ET181" i="7"/>
  <c r="EU181" i="7"/>
  <c r="EV181" i="7"/>
  <c r="EW181" i="7"/>
  <c r="E183" i="7"/>
  <c r="F183" i="7"/>
  <c r="H183" i="7"/>
  <c r="I183" i="7"/>
  <c r="J183" i="7"/>
  <c r="K183" i="7"/>
  <c r="L183" i="7"/>
  <c r="M183" i="7"/>
  <c r="N183" i="7"/>
  <c r="O183" i="7"/>
  <c r="P183" i="7"/>
  <c r="Q183" i="7"/>
  <c r="R183" i="7"/>
  <c r="S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AJ183" i="7"/>
  <c r="AK183" i="7"/>
  <c r="AL183" i="7"/>
  <c r="AM183" i="7"/>
  <c r="AN183" i="7"/>
  <c r="AO183" i="7"/>
  <c r="AP183" i="7"/>
  <c r="AQ183" i="7"/>
  <c r="AR183" i="7"/>
  <c r="AS183" i="7"/>
  <c r="AT183" i="7"/>
  <c r="AU183" i="7"/>
  <c r="AV183" i="7"/>
  <c r="AW183" i="7"/>
  <c r="AX183" i="7"/>
  <c r="AY183" i="7"/>
  <c r="AZ183" i="7"/>
  <c r="BA183" i="7"/>
  <c r="BB183" i="7"/>
  <c r="BC183" i="7"/>
  <c r="BD183" i="7"/>
  <c r="BE183" i="7"/>
  <c r="BF183" i="7"/>
  <c r="BG183" i="7"/>
  <c r="BH183" i="7"/>
  <c r="BI183" i="7"/>
  <c r="BJ183" i="7"/>
  <c r="BK183" i="7"/>
  <c r="BL183" i="7"/>
  <c r="BM183" i="7"/>
  <c r="BN183" i="7"/>
  <c r="BO183" i="7"/>
  <c r="BP183" i="7"/>
  <c r="BQ183" i="7"/>
  <c r="BR183" i="7"/>
  <c r="BS183" i="7"/>
  <c r="BT183" i="7"/>
  <c r="BU183" i="7"/>
  <c r="BV183" i="7"/>
  <c r="BW183" i="7"/>
  <c r="BX183" i="7"/>
  <c r="BY183" i="7"/>
  <c r="BZ183" i="7"/>
  <c r="CA183" i="7"/>
  <c r="CB183" i="7"/>
  <c r="CC183" i="7"/>
  <c r="CD183" i="7"/>
  <c r="CE183" i="7"/>
  <c r="CF183" i="7"/>
  <c r="CG183" i="7"/>
  <c r="CH183" i="7"/>
  <c r="CI183" i="7"/>
  <c r="CJ183" i="7"/>
  <c r="CK183" i="7"/>
  <c r="CL183" i="7"/>
  <c r="CM183" i="7"/>
  <c r="CN183" i="7"/>
  <c r="CO183" i="7"/>
  <c r="CP183" i="7"/>
  <c r="CQ183" i="7"/>
  <c r="CR183" i="7"/>
  <c r="CS183" i="7"/>
  <c r="CT183" i="7"/>
  <c r="CU183" i="7"/>
  <c r="CV183" i="7"/>
  <c r="CW183" i="7"/>
  <c r="CX183" i="7"/>
  <c r="CY183" i="7"/>
  <c r="CZ183" i="7"/>
  <c r="DA183" i="7"/>
  <c r="DB183" i="7"/>
  <c r="DC183" i="7"/>
  <c r="DD183" i="7"/>
  <c r="DE183" i="7"/>
  <c r="DF183" i="7"/>
  <c r="DG183" i="7"/>
  <c r="DH183" i="7"/>
  <c r="DI183" i="7"/>
  <c r="DJ183" i="7"/>
  <c r="DK183" i="7"/>
  <c r="DL183" i="7"/>
  <c r="DM183" i="7"/>
  <c r="DN183" i="7"/>
  <c r="DO183" i="7"/>
  <c r="DP183" i="7"/>
  <c r="DQ183" i="7"/>
  <c r="DR183" i="7"/>
  <c r="DS183" i="7"/>
  <c r="DT183" i="7"/>
  <c r="DU183" i="7"/>
  <c r="DV183" i="7"/>
  <c r="DW183" i="7"/>
  <c r="DX183" i="7"/>
  <c r="DY183" i="7"/>
  <c r="DZ183" i="7"/>
  <c r="EA183" i="7"/>
  <c r="EB183" i="7"/>
  <c r="EC183" i="7"/>
  <c r="ED183" i="7"/>
  <c r="EE183" i="7"/>
  <c r="EF183" i="7"/>
  <c r="EG183" i="7"/>
  <c r="EH183" i="7"/>
  <c r="EI183" i="7"/>
  <c r="EJ183" i="7"/>
  <c r="EL183" i="7"/>
  <c r="EM183" i="7"/>
  <c r="EN183" i="7"/>
  <c r="EO183" i="7"/>
  <c r="EP183" i="7"/>
  <c r="EQ183" i="7"/>
  <c r="ER183" i="7"/>
  <c r="ES183" i="7"/>
  <c r="ET183" i="7"/>
  <c r="EU183" i="7"/>
  <c r="EV183" i="7"/>
  <c r="EW183" i="7"/>
  <c r="I192" i="7"/>
  <c r="J192" i="7"/>
  <c r="K192" i="7"/>
  <c r="L192" i="7"/>
  <c r="M192" i="7"/>
  <c r="N192" i="7"/>
  <c r="O192" i="7"/>
  <c r="P192" i="7"/>
  <c r="Q192" i="7"/>
  <c r="R192" i="7"/>
  <c r="S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AJ192" i="7"/>
  <c r="AK192" i="7"/>
  <c r="AL192" i="7"/>
  <c r="AM192" i="7"/>
  <c r="AN192" i="7"/>
  <c r="AO192" i="7"/>
  <c r="AP192" i="7"/>
  <c r="AQ192" i="7"/>
  <c r="AR192" i="7"/>
  <c r="AS192" i="7"/>
  <c r="AT192" i="7"/>
  <c r="AU192" i="7"/>
  <c r="AV192" i="7"/>
  <c r="AW192" i="7"/>
  <c r="AX192" i="7"/>
  <c r="AY192" i="7"/>
  <c r="AZ192" i="7"/>
  <c r="BA192" i="7"/>
  <c r="BB192" i="7"/>
  <c r="BC192" i="7"/>
  <c r="BD192" i="7"/>
  <c r="BE192" i="7"/>
  <c r="BF192" i="7"/>
  <c r="BG192" i="7"/>
  <c r="BH192" i="7"/>
  <c r="BI192" i="7"/>
  <c r="BJ192" i="7"/>
  <c r="BK192" i="7"/>
  <c r="BL192" i="7"/>
  <c r="BM192" i="7"/>
  <c r="BN192" i="7"/>
  <c r="BO192" i="7"/>
  <c r="BP192" i="7"/>
  <c r="BQ192" i="7"/>
  <c r="BR192" i="7"/>
  <c r="BS192" i="7"/>
  <c r="BT192" i="7"/>
  <c r="BU192" i="7"/>
  <c r="BV192" i="7"/>
  <c r="BW192" i="7"/>
  <c r="BX192" i="7"/>
  <c r="BY192" i="7"/>
  <c r="BZ192" i="7"/>
  <c r="CA192" i="7"/>
  <c r="CB192" i="7"/>
  <c r="CC192" i="7"/>
  <c r="CD192" i="7"/>
  <c r="CE192" i="7"/>
  <c r="CF192" i="7"/>
  <c r="CG192" i="7"/>
  <c r="CH192" i="7"/>
  <c r="CI192" i="7"/>
  <c r="CJ192" i="7"/>
  <c r="CK192" i="7"/>
  <c r="CL192" i="7"/>
  <c r="CM192" i="7"/>
  <c r="CN192" i="7"/>
  <c r="CO192" i="7"/>
  <c r="CP192" i="7"/>
  <c r="CQ192" i="7"/>
  <c r="CR192" i="7"/>
  <c r="CS192" i="7"/>
  <c r="CT192" i="7"/>
  <c r="CU192" i="7"/>
  <c r="CV192" i="7"/>
  <c r="CW192" i="7"/>
  <c r="CX192" i="7"/>
  <c r="CY192" i="7"/>
  <c r="CZ192" i="7"/>
  <c r="DA192" i="7"/>
  <c r="DB192" i="7"/>
  <c r="DC192" i="7"/>
  <c r="DD192" i="7"/>
  <c r="DE192" i="7"/>
  <c r="DF192" i="7"/>
  <c r="DG192" i="7"/>
  <c r="DH192" i="7"/>
  <c r="DI192" i="7"/>
  <c r="DJ192" i="7"/>
  <c r="DK192" i="7"/>
  <c r="DL192" i="7"/>
  <c r="DM192" i="7"/>
  <c r="DN192" i="7"/>
  <c r="DO192" i="7"/>
  <c r="DP192" i="7"/>
  <c r="DQ192" i="7"/>
  <c r="DR192" i="7"/>
  <c r="DS192" i="7"/>
  <c r="DT192" i="7"/>
  <c r="DU192" i="7"/>
  <c r="DV192" i="7"/>
  <c r="DW192" i="7"/>
  <c r="DX192" i="7"/>
  <c r="DY192" i="7"/>
  <c r="DZ192" i="7"/>
  <c r="EA192" i="7"/>
  <c r="EB192" i="7"/>
  <c r="EC192" i="7"/>
  <c r="ED192" i="7"/>
  <c r="EE192" i="7"/>
  <c r="EF192" i="7"/>
  <c r="EG192" i="7"/>
  <c r="EH192" i="7"/>
  <c r="EI192" i="7"/>
  <c r="EJ192" i="7"/>
  <c r="I193" i="7"/>
  <c r="J193" i="7"/>
  <c r="K193" i="7"/>
  <c r="L193" i="7"/>
  <c r="M193" i="7"/>
  <c r="N193" i="7"/>
  <c r="O193" i="7"/>
  <c r="P193" i="7"/>
  <c r="Q193" i="7"/>
  <c r="R193" i="7"/>
  <c r="S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AJ193" i="7"/>
  <c r="AK193" i="7"/>
  <c r="AL193" i="7"/>
  <c r="AM193" i="7"/>
  <c r="AN193" i="7"/>
  <c r="AO193" i="7"/>
  <c r="AP193" i="7"/>
  <c r="AQ193" i="7"/>
  <c r="AR193" i="7"/>
  <c r="AS193" i="7"/>
  <c r="AT193" i="7"/>
  <c r="AU193" i="7"/>
  <c r="AV193" i="7"/>
  <c r="AW193" i="7"/>
  <c r="AX193" i="7"/>
  <c r="AY193" i="7"/>
  <c r="AZ193" i="7"/>
  <c r="BA193" i="7"/>
  <c r="BB193" i="7"/>
  <c r="BC193" i="7"/>
  <c r="BD193" i="7"/>
  <c r="BE193" i="7"/>
  <c r="BF193" i="7"/>
  <c r="BG193" i="7"/>
  <c r="BH193" i="7"/>
  <c r="BI193" i="7"/>
  <c r="BJ193" i="7"/>
  <c r="BK193" i="7"/>
  <c r="BL193" i="7"/>
  <c r="BM193" i="7"/>
  <c r="BN193" i="7"/>
  <c r="BO193" i="7"/>
  <c r="BP193" i="7"/>
  <c r="BQ193" i="7"/>
  <c r="BR193" i="7"/>
  <c r="BS193" i="7"/>
  <c r="BT193" i="7"/>
  <c r="BU193" i="7"/>
  <c r="BV193" i="7"/>
  <c r="BW193" i="7"/>
  <c r="BX193" i="7"/>
  <c r="BY193" i="7"/>
  <c r="BZ193" i="7"/>
  <c r="CA193" i="7"/>
  <c r="CB193" i="7"/>
  <c r="CC193" i="7"/>
  <c r="CD193" i="7"/>
  <c r="CE193" i="7"/>
  <c r="CF193" i="7"/>
  <c r="CG193" i="7"/>
  <c r="CH193" i="7"/>
  <c r="CI193" i="7"/>
  <c r="CJ193" i="7"/>
  <c r="CK193" i="7"/>
  <c r="CL193" i="7"/>
  <c r="CM193" i="7"/>
  <c r="CN193" i="7"/>
  <c r="CO193" i="7"/>
  <c r="CP193" i="7"/>
  <c r="CQ193" i="7"/>
  <c r="CR193" i="7"/>
  <c r="CS193" i="7"/>
  <c r="CT193" i="7"/>
  <c r="CU193" i="7"/>
  <c r="CV193" i="7"/>
  <c r="CW193" i="7"/>
  <c r="CX193" i="7"/>
  <c r="CY193" i="7"/>
  <c r="CZ193" i="7"/>
  <c r="DA193" i="7"/>
  <c r="DB193" i="7"/>
  <c r="DC193" i="7"/>
  <c r="DD193" i="7"/>
  <c r="DE193" i="7"/>
  <c r="DF193" i="7"/>
  <c r="DG193" i="7"/>
  <c r="DH193" i="7"/>
  <c r="DI193" i="7"/>
  <c r="DJ193" i="7"/>
  <c r="DK193" i="7"/>
  <c r="DL193" i="7"/>
  <c r="DM193" i="7"/>
  <c r="DN193" i="7"/>
  <c r="DO193" i="7"/>
  <c r="DP193" i="7"/>
  <c r="DQ193" i="7"/>
  <c r="DR193" i="7"/>
  <c r="DS193" i="7"/>
  <c r="DT193" i="7"/>
  <c r="DU193" i="7"/>
  <c r="DV193" i="7"/>
  <c r="DW193" i="7"/>
  <c r="DX193" i="7"/>
  <c r="DY193" i="7"/>
  <c r="DZ193" i="7"/>
  <c r="EA193" i="7"/>
  <c r="EB193" i="7"/>
  <c r="EC193" i="7"/>
  <c r="ED193" i="7"/>
  <c r="EE193" i="7"/>
  <c r="EF193" i="7"/>
  <c r="EG193" i="7"/>
  <c r="EH193" i="7"/>
  <c r="EI193" i="7"/>
  <c r="EJ193" i="7"/>
  <c r="I194" i="7"/>
  <c r="J194" i="7"/>
  <c r="K194" i="7"/>
  <c r="L194" i="7"/>
  <c r="M194" i="7"/>
  <c r="N194" i="7"/>
  <c r="O194" i="7"/>
  <c r="P194" i="7"/>
  <c r="Q194" i="7"/>
  <c r="R194" i="7"/>
  <c r="S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AJ194" i="7"/>
  <c r="AK194" i="7"/>
  <c r="AL194" i="7"/>
  <c r="AM194" i="7"/>
  <c r="AN194" i="7"/>
  <c r="AO194" i="7"/>
  <c r="AP194" i="7"/>
  <c r="AQ194" i="7"/>
  <c r="AR194" i="7"/>
  <c r="AS194" i="7"/>
  <c r="AT194" i="7"/>
  <c r="AU194" i="7"/>
  <c r="AV194" i="7"/>
  <c r="AW194" i="7"/>
  <c r="AX194" i="7"/>
  <c r="AY194" i="7"/>
  <c r="AZ194" i="7"/>
  <c r="BA194" i="7"/>
  <c r="BB194" i="7"/>
  <c r="BC194" i="7"/>
  <c r="BD194" i="7"/>
  <c r="BE194" i="7"/>
  <c r="BF194" i="7"/>
  <c r="BG194" i="7"/>
  <c r="BH194" i="7"/>
  <c r="BI194" i="7"/>
  <c r="BJ194" i="7"/>
  <c r="BK194" i="7"/>
  <c r="BL194" i="7"/>
  <c r="BM194" i="7"/>
  <c r="BN194" i="7"/>
  <c r="BO194" i="7"/>
  <c r="BP194" i="7"/>
  <c r="BQ194" i="7"/>
  <c r="BR194" i="7"/>
  <c r="BS194" i="7"/>
  <c r="BT194" i="7"/>
  <c r="BU194" i="7"/>
  <c r="BV194" i="7"/>
  <c r="BW194" i="7"/>
  <c r="BX194" i="7"/>
  <c r="BY194" i="7"/>
  <c r="BZ194" i="7"/>
  <c r="CA194" i="7"/>
  <c r="CB194" i="7"/>
  <c r="CC194" i="7"/>
  <c r="CD194" i="7"/>
  <c r="CE194" i="7"/>
  <c r="CF194" i="7"/>
  <c r="CG194" i="7"/>
  <c r="CH194" i="7"/>
  <c r="CI194" i="7"/>
  <c r="CJ194" i="7"/>
  <c r="CK194" i="7"/>
  <c r="CL194" i="7"/>
  <c r="CM194" i="7"/>
  <c r="CN194" i="7"/>
  <c r="CO194" i="7"/>
  <c r="CP194" i="7"/>
  <c r="CQ194" i="7"/>
  <c r="CR194" i="7"/>
  <c r="CS194" i="7"/>
  <c r="CT194" i="7"/>
  <c r="CU194" i="7"/>
  <c r="CV194" i="7"/>
  <c r="CW194" i="7"/>
  <c r="CX194" i="7"/>
  <c r="CY194" i="7"/>
  <c r="CZ194" i="7"/>
  <c r="DA194" i="7"/>
  <c r="DB194" i="7"/>
  <c r="DC194" i="7"/>
  <c r="DD194" i="7"/>
  <c r="DE194" i="7"/>
  <c r="DF194" i="7"/>
  <c r="DG194" i="7"/>
  <c r="DH194" i="7"/>
  <c r="DI194" i="7"/>
  <c r="DJ194" i="7"/>
  <c r="DK194" i="7"/>
  <c r="DL194" i="7"/>
  <c r="DM194" i="7"/>
  <c r="DN194" i="7"/>
  <c r="DO194" i="7"/>
  <c r="DP194" i="7"/>
  <c r="DQ194" i="7"/>
  <c r="DR194" i="7"/>
  <c r="DS194" i="7"/>
  <c r="DT194" i="7"/>
  <c r="DU194" i="7"/>
  <c r="DV194" i="7"/>
  <c r="DW194" i="7"/>
  <c r="DX194" i="7"/>
  <c r="DY194" i="7"/>
  <c r="DZ194" i="7"/>
  <c r="EA194" i="7"/>
  <c r="EB194" i="7"/>
  <c r="EC194" i="7"/>
  <c r="ED194" i="7"/>
  <c r="EE194" i="7"/>
  <c r="EF194" i="7"/>
  <c r="EG194" i="7"/>
  <c r="EH194" i="7"/>
  <c r="EI194" i="7"/>
  <c r="EJ194" i="7"/>
  <c r="H195" i="7"/>
  <c r="I195" i="7"/>
  <c r="J195" i="7"/>
  <c r="K195" i="7"/>
  <c r="L195" i="7"/>
  <c r="M195" i="7"/>
  <c r="N195" i="7"/>
  <c r="O195" i="7"/>
  <c r="P195" i="7"/>
  <c r="Q195" i="7"/>
  <c r="R195" i="7"/>
  <c r="S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AJ195" i="7"/>
  <c r="AK195" i="7"/>
  <c r="AL195" i="7"/>
  <c r="AM195" i="7"/>
  <c r="AN195" i="7"/>
  <c r="AO195" i="7"/>
  <c r="AP195" i="7"/>
  <c r="AQ195" i="7"/>
  <c r="AR195" i="7"/>
  <c r="AS195" i="7"/>
  <c r="AT195" i="7"/>
  <c r="AU195" i="7"/>
  <c r="AV195" i="7"/>
  <c r="AW195" i="7"/>
  <c r="AX195" i="7"/>
  <c r="AY195" i="7"/>
  <c r="AZ195" i="7"/>
  <c r="BA195" i="7"/>
  <c r="BB195" i="7"/>
  <c r="BC195" i="7"/>
  <c r="BD195" i="7"/>
  <c r="BE195" i="7"/>
  <c r="BF195" i="7"/>
  <c r="BG195" i="7"/>
  <c r="BH195" i="7"/>
  <c r="BI195" i="7"/>
  <c r="BJ195" i="7"/>
  <c r="BK195" i="7"/>
  <c r="BL195" i="7"/>
  <c r="BM195" i="7"/>
  <c r="BN195" i="7"/>
  <c r="BO195" i="7"/>
  <c r="BP195" i="7"/>
  <c r="BQ195" i="7"/>
  <c r="BR195" i="7"/>
  <c r="BS195" i="7"/>
  <c r="BT195" i="7"/>
  <c r="BU195" i="7"/>
  <c r="BV195" i="7"/>
  <c r="BW195" i="7"/>
  <c r="BX195" i="7"/>
  <c r="BY195" i="7"/>
  <c r="BZ195" i="7"/>
  <c r="CA195" i="7"/>
  <c r="CB195" i="7"/>
  <c r="CC195" i="7"/>
  <c r="CD195" i="7"/>
  <c r="CE195" i="7"/>
  <c r="CF195" i="7"/>
  <c r="CG195" i="7"/>
  <c r="CH195" i="7"/>
  <c r="CI195" i="7"/>
  <c r="CJ195" i="7"/>
  <c r="CK195" i="7"/>
  <c r="CL195" i="7"/>
  <c r="CM195" i="7"/>
  <c r="CN195" i="7"/>
  <c r="CO195" i="7"/>
  <c r="CP195" i="7"/>
  <c r="CQ195" i="7"/>
  <c r="CR195" i="7"/>
  <c r="CS195" i="7"/>
  <c r="CT195" i="7"/>
  <c r="CU195" i="7"/>
  <c r="CV195" i="7"/>
  <c r="CW195" i="7"/>
  <c r="CX195" i="7"/>
  <c r="CY195" i="7"/>
  <c r="CZ195" i="7"/>
  <c r="DA195" i="7"/>
  <c r="DB195" i="7"/>
  <c r="DC195" i="7"/>
  <c r="DD195" i="7"/>
  <c r="DE195" i="7"/>
  <c r="DF195" i="7"/>
  <c r="DG195" i="7"/>
  <c r="DH195" i="7"/>
  <c r="DI195" i="7"/>
  <c r="DJ195" i="7"/>
  <c r="DK195" i="7"/>
  <c r="DL195" i="7"/>
  <c r="DM195" i="7"/>
  <c r="DN195" i="7"/>
  <c r="DO195" i="7"/>
  <c r="DP195" i="7"/>
  <c r="DQ195" i="7"/>
  <c r="DR195" i="7"/>
  <c r="DS195" i="7"/>
  <c r="DT195" i="7"/>
  <c r="DU195" i="7"/>
  <c r="DV195" i="7"/>
  <c r="DW195" i="7"/>
  <c r="DX195" i="7"/>
  <c r="DY195" i="7"/>
  <c r="DZ195" i="7"/>
  <c r="EA195" i="7"/>
  <c r="EB195" i="7"/>
  <c r="EC195" i="7"/>
  <c r="ED195" i="7"/>
  <c r="EE195" i="7"/>
  <c r="EF195" i="7"/>
  <c r="EG195" i="7"/>
  <c r="EH195" i="7"/>
  <c r="EI195" i="7"/>
  <c r="EJ195" i="7"/>
  <c r="H196" i="7"/>
  <c r="I196" i="7"/>
  <c r="J196" i="7"/>
  <c r="K196" i="7"/>
  <c r="L196" i="7"/>
  <c r="M196" i="7"/>
  <c r="N196" i="7"/>
  <c r="O196" i="7"/>
  <c r="P196" i="7"/>
  <c r="Q196" i="7"/>
  <c r="R196" i="7"/>
  <c r="S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AJ196" i="7"/>
  <c r="AK196" i="7"/>
  <c r="AL196" i="7"/>
  <c r="AM196" i="7"/>
  <c r="AN196" i="7"/>
  <c r="AO196" i="7"/>
  <c r="AP196" i="7"/>
  <c r="AQ196" i="7"/>
  <c r="AR196" i="7"/>
  <c r="AS196" i="7"/>
  <c r="AT196" i="7"/>
  <c r="AU196" i="7"/>
  <c r="AV196" i="7"/>
  <c r="AW196" i="7"/>
  <c r="AX196" i="7"/>
  <c r="AY196" i="7"/>
  <c r="AZ196" i="7"/>
  <c r="BA196" i="7"/>
  <c r="BB196" i="7"/>
  <c r="BC196" i="7"/>
  <c r="BD196" i="7"/>
  <c r="BE196" i="7"/>
  <c r="BF196" i="7"/>
  <c r="BG196" i="7"/>
  <c r="BH196" i="7"/>
  <c r="BI196" i="7"/>
  <c r="BJ196" i="7"/>
  <c r="BK196" i="7"/>
  <c r="BL196" i="7"/>
  <c r="BM196" i="7"/>
  <c r="BN196" i="7"/>
  <c r="BO196" i="7"/>
  <c r="BP196" i="7"/>
  <c r="BQ196" i="7"/>
  <c r="BR196" i="7"/>
  <c r="BS196" i="7"/>
  <c r="BT196" i="7"/>
  <c r="BU196" i="7"/>
  <c r="BV196" i="7"/>
  <c r="BW196" i="7"/>
  <c r="BX196" i="7"/>
  <c r="BY196" i="7"/>
  <c r="BZ196" i="7"/>
  <c r="CA196" i="7"/>
  <c r="CB196" i="7"/>
  <c r="CC196" i="7"/>
  <c r="CD196" i="7"/>
  <c r="CE196" i="7"/>
  <c r="CF196" i="7"/>
  <c r="CG196" i="7"/>
  <c r="CH196" i="7"/>
  <c r="CI196" i="7"/>
  <c r="CJ196" i="7"/>
  <c r="CK196" i="7"/>
  <c r="CL196" i="7"/>
  <c r="CM196" i="7"/>
  <c r="CN196" i="7"/>
  <c r="CO196" i="7"/>
  <c r="CP196" i="7"/>
  <c r="CQ196" i="7"/>
  <c r="CR196" i="7"/>
  <c r="CS196" i="7"/>
  <c r="CT196" i="7"/>
  <c r="CU196" i="7"/>
  <c r="CV196" i="7"/>
  <c r="CW196" i="7"/>
  <c r="CX196" i="7"/>
  <c r="CY196" i="7"/>
  <c r="CZ196" i="7"/>
  <c r="DA196" i="7"/>
  <c r="DB196" i="7"/>
  <c r="DC196" i="7"/>
  <c r="DD196" i="7"/>
  <c r="DE196" i="7"/>
  <c r="DF196" i="7"/>
  <c r="DG196" i="7"/>
  <c r="DH196" i="7"/>
  <c r="DI196" i="7"/>
  <c r="DJ196" i="7"/>
  <c r="DK196" i="7"/>
  <c r="DL196" i="7"/>
  <c r="DM196" i="7"/>
  <c r="DN196" i="7"/>
  <c r="DO196" i="7"/>
  <c r="DP196" i="7"/>
  <c r="DQ196" i="7"/>
  <c r="DR196" i="7"/>
  <c r="DS196" i="7"/>
  <c r="DT196" i="7"/>
  <c r="DU196" i="7"/>
  <c r="DV196" i="7"/>
  <c r="DW196" i="7"/>
  <c r="DX196" i="7"/>
  <c r="DY196" i="7"/>
  <c r="DZ196" i="7"/>
  <c r="EA196" i="7"/>
  <c r="EB196" i="7"/>
  <c r="EC196" i="7"/>
  <c r="ED196" i="7"/>
  <c r="EE196" i="7"/>
  <c r="EF196" i="7"/>
  <c r="EG196" i="7"/>
  <c r="EH196" i="7"/>
  <c r="EI196" i="7"/>
  <c r="EJ196" i="7"/>
  <c r="C198" i="7"/>
  <c r="H198" i="7"/>
  <c r="I198" i="7"/>
  <c r="J198" i="7"/>
  <c r="K198" i="7"/>
  <c r="L198" i="7"/>
  <c r="M198" i="7"/>
  <c r="N198" i="7"/>
  <c r="O198" i="7"/>
  <c r="P198" i="7"/>
  <c r="Q198" i="7"/>
  <c r="R198" i="7"/>
  <c r="S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AJ198" i="7"/>
  <c r="AK198" i="7"/>
  <c r="AL198" i="7"/>
  <c r="AM198" i="7"/>
  <c r="AN198" i="7"/>
  <c r="AO198" i="7"/>
  <c r="AP198" i="7"/>
  <c r="AQ198" i="7"/>
  <c r="AR198" i="7"/>
  <c r="AS198" i="7"/>
  <c r="AT198" i="7"/>
  <c r="AU198" i="7"/>
  <c r="AV198" i="7"/>
  <c r="AW198" i="7"/>
  <c r="AX198" i="7"/>
  <c r="AY198" i="7"/>
  <c r="AZ198" i="7"/>
  <c r="BA198" i="7"/>
  <c r="BB198" i="7"/>
  <c r="BC198" i="7"/>
  <c r="BD198" i="7"/>
  <c r="BE198" i="7"/>
  <c r="BF198" i="7"/>
  <c r="BG198" i="7"/>
  <c r="BH198" i="7"/>
  <c r="BI198" i="7"/>
  <c r="BJ198" i="7"/>
  <c r="BK198" i="7"/>
  <c r="BL198" i="7"/>
  <c r="BM198" i="7"/>
  <c r="BN198" i="7"/>
  <c r="BO198" i="7"/>
  <c r="BP198" i="7"/>
  <c r="BQ198" i="7"/>
  <c r="BR198" i="7"/>
  <c r="BS198" i="7"/>
  <c r="BT198" i="7"/>
  <c r="BU198" i="7"/>
  <c r="BV198" i="7"/>
  <c r="BW198" i="7"/>
  <c r="BX198" i="7"/>
  <c r="BY198" i="7"/>
  <c r="BZ198" i="7"/>
  <c r="CA198" i="7"/>
  <c r="CB198" i="7"/>
  <c r="CC198" i="7"/>
  <c r="CD198" i="7"/>
  <c r="CE198" i="7"/>
  <c r="CF198" i="7"/>
  <c r="CG198" i="7"/>
  <c r="CH198" i="7"/>
  <c r="CI198" i="7"/>
  <c r="CJ198" i="7"/>
  <c r="CK198" i="7"/>
  <c r="CL198" i="7"/>
  <c r="CM198" i="7"/>
  <c r="CN198" i="7"/>
  <c r="CO198" i="7"/>
  <c r="CP198" i="7"/>
  <c r="CQ198" i="7"/>
  <c r="CR198" i="7"/>
  <c r="CS198" i="7"/>
  <c r="CT198" i="7"/>
  <c r="CU198" i="7"/>
  <c r="CV198" i="7"/>
  <c r="CW198" i="7"/>
  <c r="CX198" i="7"/>
  <c r="CY198" i="7"/>
  <c r="CZ198" i="7"/>
  <c r="DA198" i="7"/>
  <c r="DB198" i="7"/>
  <c r="DC198" i="7"/>
  <c r="DD198" i="7"/>
  <c r="DE198" i="7"/>
  <c r="DF198" i="7"/>
  <c r="DG198" i="7"/>
  <c r="DH198" i="7"/>
  <c r="DI198" i="7"/>
  <c r="DJ198" i="7"/>
  <c r="DK198" i="7"/>
  <c r="DL198" i="7"/>
  <c r="DM198" i="7"/>
  <c r="DN198" i="7"/>
  <c r="DO198" i="7"/>
  <c r="DP198" i="7"/>
  <c r="DQ198" i="7"/>
  <c r="DR198" i="7"/>
  <c r="DS198" i="7"/>
  <c r="DT198" i="7"/>
  <c r="DU198" i="7"/>
  <c r="DV198" i="7"/>
  <c r="DW198" i="7"/>
  <c r="DX198" i="7"/>
  <c r="DY198" i="7"/>
  <c r="DZ198" i="7"/>
  <c r="EA198" i="7"/>
  <c r="EB198" i="7"/>
  <c r="EC198" i="7"/>
  <c r="ED198" i="7"/>
  <c r="EE198" i="7"/>
  <c r="EF198" i="7"/>
  <c r="EG198" i="7"/>
  <c r="EH198" i="7"/>
  <c r="EI198" i="7"/>
  <c r="EJ198" i="7"/>
  <c r="C199" i="7"/>
  <c r="H199" i="7"/>
  <c r="I199" i="7"/>
  <c r="J199" i="7"/>
  <c r="K199" i="7"/>
  <c r="L199" i="7"/>
  <c r="M199" i="7"/>
  <c r="N199" i="7"/>
  <c r="O199" i="7"/>
  <c r="P199" i="7"/>
  <c r="Q199" i="7"/>
  <c r="R199" i="7"/>
  <c r="S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AJ199" i="7"/>
  <c r="AK199" i="7"/>
  <c r="AL199" i="7"/>
  <c r="AM199" i="7"/>
  <c r="AN199" i="7"/>
  <c r="AO199" i="7"/>
  <c r="AP199" i="7"/>
  <c r="AQ199" i="7"/>
  <c r="AR199" i="7"/>
  <c r="AS199" i="7"/>
  <c r="AT199" i="7"/>
  <c r="AU199" i="7"/>
  <c r="AV199" i="7"/>
  <c r="AW199" i="7"/>
  <c r="AX199" i="7"/>
  <c r="AY199" i="7"/>
  <c r="AZ199" i="7"/>
  <c r="BA199" i="7"/>
  <c r="BB199" i="7"/>
  <c r="BC199" i="7"/>
  <c r="BD199" i="7"/>
  <c r="BE199" i="7"/>
  <c r="BF199" i="7"/>
  <c r="BG199" i="7"/>
  <c r="BH199" i="7"/>
  <c r="BI199" i="7"/>
  <c r="BJ199" i="7"/>
  <c r="BK199" i="7"/>
  <c r="BL199" i="7"/>
  <c r="BM199" i="7"/>
  <c r="BN199" i="7"/>
  <c r="BO199" i="7"/>
  <c r="BP199" i="7"/>
  <c r="BQ199" i="7"/>
  <c r="BR199" i="7"/>
  <c r="BS199" i="7"/>
  <c r="BT199" i="7"/>
  <c r="BU199" i="7"/>
  <c r="BV199" i="7"/>
  <c r="BW199" i="7"/>
  <c r="BX199" i="7"/>
  <c r="BY199" i="7"/>
  <c r="BZ199" i="7"/>
  <c r="CA199" i="7"/>
  <c r="CB199" i="7"/>
  <c r="CC199" i="7"/>
  <c r="CD199" i="7"/>
  <c r="CE199" i="7"/>
  <c r="CF199" i="7"/>
  <c r="CG199" i="7"/>
  <c r="CH199" i="7"/>
  <c r="CI199" i="7"/>
  <c r="CJ199" i="7"/>
  <c r="CK199" i="7"/>
  <c r="CL199" i="7"/>
  <c r="CM199" i="7"/>
  <c r="CN199" i="7"/>
  <c r="CO199" i="7"/>
  <c r="CP199" i="7"/>
  <c r="CQ199" i="7"/>
  <c r="CR199" i="7"/>
  <c r="CS199" i="7"/>
  <c r="CT199" i="7"/>
  <c r="CU199" i="7"/>
  <c r="CV199" i="7"/>
  <c r="CW199" i="7"/>
  <c r="CX199" i="7"/>
  <c r="CY199" i="7"/>
  <c r="CZ199" i="7"/>
  <c r="DA199" i="7"/>
  <c r="DB199" i="7"/>
  <c r="DC199" i="7"/>
  <c r="DD199" i="7"/>
  <c r="DE199" i="7"/>
  <c r="DF199" i="7"/>
  <c r="DG199" i="7"/>
  <c r="DH199" i="7"/>
  <c r="DI199" i="7"/>
  <c r="DJ199" i="7"/>
  <c r="DK199" i="7"/>
  <c r="DL199" i="7"/>
  <c r="DM199" i="7"/>
  <c r="DN199" i="7"/>
  <c r="DO199" i="7"/>
  <c r="DP199" i="7"/>
  <c r="DQ199" i="7"/>
  <c r="DR199" i="7"/>
  <c r="DS199" i="7"/>
  <c r="DT199" i="7"/>
  <c r="DU199" i="7"/>
  <c r="DV199" i="7"/>
  <c r="DW199" i="7"/>
  <c r="DX199" i="7"/>
  <c r="DY199" i="7"/>
  <c r="DZ199" i="7"/>
  <c r="EA199" i="7"/>
  <c r="EB199" i="7"/>
  <c r="EC199" i="7"/>
  <c r="ED199" i="7"/>
  <c r="EE199" i="7"/>
  <c r="EF199" i="7"/>
  <c r="EG199" i="7"/>
  <c r="EH199" i="7"/>
  <c r="EI199" i="7"/>
  <c r="EJ199" i="7"/>
  <c r="H201" i="7"/>
  <c r="I201" i="7"/>
  <c r="J201" i="7"/>
  <c r="K201" i="7"/>
  <c r="L201" i="7"/>
  <c r="M201" i="7"/>
  <c r="N201" i="7"/>
  <c r="O201" i="7"/>
  <c r="P201" i="7"/>
  <c r="Q201" i="7"/>
  <c r="R201" i="7"/>
  <c r="S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AJ201" i="7"/>
  <c r="AK201" i="7"/>
  <c r="AL201" i="7"/>
  <c r="AM201" i="7"/>
  <c r="AN201" i="7"/>
  <c r="AO201" i="7"/>
  <c r="AP201" i="7"/>
  <c r="AQ201" i="7"/>
  <c r="AR201" i="7"/>
  <c r="AS201" i="7"/>
  <c r="AT201" i="7"/>
  <c r="AU201" i="7"/>
  <c r="AV201" i="7"/>
  <c r="AW201" i="7"/>
  <c r="AX201" i="7"/>
  <c r="AY201" i="7"/>
  <c r="AZ201" i="7"/>
  <c r="BA201" i="7"/>
  <c r="BB201" i="7"/>
  <c r="BC201" i="7"/>
  <c r="BD201" i="7"/>
  <c r="BE201" i="7"/>
  <c r="BF201" i="7"/>
  <c r="BG201" i="7"/>
  <c r="BH201" i="7"/>
  <c r="BI201" i="7"/>
  <c r="BJ201" i="7"/>
  <c r="BK201" i="7"/>
  <c r="BL201" i="7"/>
  <c r="BM201" i="7"/>
  <c r="BN201" i="7"/>
  <c r="BO201" i="7"/>
  <c r="BP201" i="7"/>
  <c r="BQ201" i="7"/>
  <c r="BR201" i="7"/>
  <c r="BS201" i="7"/>
  <c r="BT201" i="7"/>
  <c r="BU201" i="7"/>
  <c r="BV201" i="7"/>
  <c r="BW201" i="7"/>
  <c r="BX201" i="7"/>
  <c r="BY201" i="7"/>
  <c r="BZ201" i="7"/>
  <c r="CA201" i="7"/>
  <c r="CB201" i="7"/>
  <c r="CC201" i="7"/>
  <c r="CD201" i="7"/>
  <c r="CE201" i="7"/>
  <c r="CF201" i="7"/>
  <c r="CG201" i="7"/>
  <c r="CH201" i="7"/>
  <c r="CI201" i="7"/>
  <c r="CJ201" i="7"/>
  <c r="CK201" i="7"/>
  <c r="CL201" i="7"/>
  <c r="CM201" i="7"/>
  <c r="CN201" i="7"/>
  <c r="CO201" i="7"/>
  <c r="CP201" i="7"/>
  <c r="CQ201" i="7"/>
  <c r="CR201" i="7"/>
  <c r="CS201" i="7"/>
  <c r="CT201" i="7"/>
  <c r="CU201" i="7"/>
  <c r="CV201" i="7"/>
  <c r="CW201" i="7"/>
  <c r="CX201" i="7"/>
  <c r="CY201" i="7"/>
  <c r="CZ201" i="7"/>
  <c r="DA201" i="7"/>
  <c r="DB201" i="7"/>
  <c r="DC201" i="7"/>
  <c r="DD201" i="7"/>
  <c r="DE201" i="7"/>
  <c r="DF201" i="7"/>
  <c r="DG201" i="7"/>
  <c r="DH201" i="7"/>
  <c r="DI201" i="7"/>
  <c r="DJ201" i="7"/>
  <c r="DK201" i="7"/>
  <c r="DL201" i="7"/>
  <c r="DM201" i="7"/>
  <c r="DN201" i="7"/>
  <c r="DO201" i="7"/>
  <c r="DP201" i="7"/>
  <c r="DQ201" i="7"/>
  <c r="DR201" i="7"/>
  <c r="DS201" i="7"/>
  <c r="DT201" i="7"/>
  <c r="DU201" i="7"/>
  <c r="DV201" i="7"/>
  <c r="DW201" i="7"/>
  <c r="DX201" i="7"/>
  <c r="DY201" i="7"/>
  <c r="DZ201" i="7"/>
  <c r="EA201" i="7"/>
  <c r="EB201" i="7"/>
  <c r="EC201" i="7"/>
  <c r="ED201" i="7"/>
  <c r="EE201" i="7"/>
  <c r="EF201" i="7"/>
  <c r="EG201" i="7"/>
  <c r="EH201" i="7"/>
  <c r="EI201" i="7"/>
  <c r="EJ201" i="7"/>
  <c r="I205" i="7"/>
  <c r="J205" i="7"/>
  <c r="K205" i="7"/>
  <c r="L205" i="7"/>
  <c r="M205" i="7"/>
  <c r="N205" i="7"/>
  <c r="O205" i="7"/>
  <c r="P205" i="7"/>
  <c r="Q205" i="7"/>
  <c r="R205" i="7"/>
  <c r="S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AJ205" i="7"/>
  <c r="AK205" i="7"/>
  <c r="AL205" i="7"/>
  <c r="AM205" i="7"/>
  <c r="AN205" i="7"/>
  <c r="AO205" i="7"/>
  <c r="AP205" i="7"/>
  <c r="AQ205" i="7"/>
  <c r="AR205" i="7"/>
  <c r="AS205" i="7"/>
  <c r="AT205" i="7"/>
  <c r="AU205" i="7"/>
  <c r="AV205" i="7"/>
  <c r="AW205" i="7"/>
  <c r="AX205" i="7"/>
  <c r="AY205" i="7"/>
  <c r="AZ205" i="7"/>
  <c r="BA205" i="7"/>
  <c r="BB205" i="7"/>
  <c r="BC205" i="7"/>
  <c r="BD205" i="7"/>
  <c r="BE205" i="7"/>
  <c r="BF205" i="7"/>
  <c r="BG205" i="7"/>
  <c r="BH205" i="7"/>
  <c r="BI205" i="7"/>
  <c r="BJ205" i="7"/>
  <c r="BK205" i="7"/>
  <c r="BL205" i="7"/>
  <c r="BM205" i="7"/>
  <c r="BN205" i="7"/>
  <c r="BO205" i="7"/>
  <c r="BP205" i="7"/>
  <c r="BQ205" i="7"/>
  <c r="BR205" i="7"/>
  <c r="BS205" i="7"/>
  <c r="BT205" i="7"/>
  <c r="BU205" i="7"/>
  <c r="BV205" i="7"/>
  <c r="BW205" i="7"/>
  <c r="BX205" i="7"/>
  <c r="BY205" i="7"/>
  <c r="BZ205" i="7"/>
  <c r="CA205" i="7"/>
  <c r="CB205" i="7"/>
  <c r="CC205" i="7"/>
  <c r="CD205" i="7"/>
  <c r="CE205" i="7"/>
  <c r="CF205" i="7"/>
  <c r="CG205" i="7"/>
  <c r="CH205" i="7"/>
  <c r="CI205" i="7"/>
  <c r="CJ205" i="7"/>
  <c r="CK205" i="7"/>
  <c r="CL205" i="7"/>
  <c r="CM205" i="7"/>
  <c r="CN205" i="7"/>
  <c r="CO205" i="7"/>
  <c r="CP205" i="7"/>
  <c r="CQ205" i="7"/>
  <c r="CR205" i="7"/>
  <c r="CS205" i="7"/>
  <c r="CT205" i="7"/>
  <c r="CU205" i="7"/>
  <c r="CV205" i="7"/>
  <c r="CW205" i="7"/>
  <c r="CX205" i="7"/>
  <c r="CY205" i="7"/>
  <c r="CZ205" i="7"/>
  <c r="DA205" i="7"/>
  <c r="DB205" i="7"/>
  <c r="DC205" i="7"/>
  <c r="DD205" i="7"/>
  <c r="DE205" i="7"/>
  <c r="DF205" i="7"/>
  <c r="DG205" i="7"/>
  <c r="DH205" i="7"/>
  <c r="DI205" i="7"/>
  <c r="DJ205" i="7"/>
  <c r="DK205" i="7"/>
  <c r="DL205" i="7"/>
  <c r="DM205" i="7"/>
  <c r="DN205" i="7"/>
  <c r="DO205" i="7"/>
  <c r="DP205" i="7"/>
  <c r="DQ205" i="7"/>
  <c r="DR205" i="7"/>
  <c r="DS205" i="7"/>
  <c r="DT205" i="7"/>
  <c r="DU205" i="7"/>
  <c r="DV205" i="7"/>
  <c r="DW205" i="7"/>
  <c r="DX205" i="7"/>
  <c r="DY205" i="7"/>
  <c r="DZ205" i="7"/>
  <c r="EA205" i="7"/>
  <c r="EB205" i="7"/>
  <c r="EC205" i="7"/>
  <c r="ED205" i="7"/>
  <c r="EE205" i="7"/>
  <c r="EF205" i="7"/>
  <c r="EG205" i="7"/>
  <c r="EH205" i="7"/>
  <c r="EI205" i="7"/>
  <c r="EJ205" i="7"/>
  <c r="I206" i="7"/>
  <c r="J206" i="7"/>
  <c r="K206" i="7"/>
  <c r="L206" i="7"/>
  <c r="M206" i="7"/>
  <c r="N206" i="7"/>
  <c r="O206" i="7"/>
  <c r="P206" i="7"/>
  <c r="Q206" i="7"/>
  <c r="R206" i="7"/>
  <c r="S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AJ206" i="7"/>
  <c r="AK206" i="7"/>
  <c r="AL206" i="7"/>
  <c r="AM206" i="7"/>
  <c r="AN206" i="7"/>
  <c r="AO206" i="7"/>
  <c r="AP206" i="7"/>
  <c r="AQ206" i="7"/>
  <c r="AR206" i="7"/>
  <c r="AS206" i="7"/>
  <c r="AT206" i="7"/>
  <c r="AU206" i="7"/>
  <c r="AV206" i="7"/>
  <c r="AW206" i="7"/>
  <c r="AX206" i="7"/>
  <c r="AY206" i="7"/>
  <c r="AZ206" i="7"/>
  <c r="BA206" i="7"/>
  <c r="BB206" i="7"/>
  <c r="BC206" i="7"/>
  <c r="BD206" i="7"/>
  <c r="BE206" i="7"/>
  <c r="BF206" i="7"/>
  <c r="BG206" i="7"/>
  <c r="BH206" i="7"/>
  <c r="BI206" i="7"/>
  <c r="BJ206" i="7"/>
  <c r="BK206" i="7"/>
  <c r="BL206" i="7"/>
  <c r="BM206" i="7"/>
  <c r="BN206" i="7"/>
  <c r="BO206" i="7"/>
  <c r="BP206" i="7"/>
  <c r="BQ206" i="7"/>
  <c r="BR206" i="7"/>
  <c r="BS206" i="7"/>
  <c r="BT206" i="7"/>
  <c r="BU206" i="7"/>
  <c r="BV206" i="7"/>
  <c r="BW206" i="7"/>
  <c r="BX206" i="7"/>
  <c r="BY206" i="7"/>
  <c r="BZ206" i="7"/>
  <c r="CA206" i="7"/>
  <c r="CB206" i="7"/>
  <c r="CC206" i="7"/>
  <c r="CD206" i="7"/>
  <c r="CE206" i="7"/>
  <c r="CF206" i="7"/>
  <c r="CG206" i="7"/>
  <c r="CH206" i="7"/>
  <c r="CI206" i="7"/>
  <c r="CJ206" i="7"/>
  <c r="CK206" i="7"/>
  <c r="CL206" i="7"/>
  <c r="CM206" i="7"/>
  <c r="CN206" i="7"/>
  <c r="CO206" i="7"/>
  <c r="CP206" i="7"/>
  <c r="CQ206" i="7"/>
  <c r="CR206" i="7"/>
  <c r="CS206" i="7"/>
  <c r="CT206" i="7"/>
  <c r="CU206" i="7"/>
  <c r="CV206" i="7"/>
  <c r="CW206" i="7"/>
  <c r="CX206" i="7"/>
  <c r="CY206" i="7"/>
  <c r="CZ206" i="7"/>
  <c r="DA206" i="7"/>
  <c r="DB206" i="7"/>
  <c r="DC206" i="7"/>
  <c r="DD206" i="7"/>
  <c r="DE206" i="7"/>
  <c r="DF206" i="7"/>
  <c r="DG206" i="7"/>
  <c r="DH206" i="7"/>
  <c r="DI206" i="7"/>
  <c r="DJ206" i="7"/>
  <c r="DK206" i="7"/>
  <c r="DL206" i="7"/>
  <c r="DM206" i="7"/>
  <c r="DN206" i="7"/>
  <c r="DO206" i="7"/>
  <c r="DP206" i="7"/>
  <c r="DQ206" i="7"/>
  <c r="DR206" i="7"/>
  <c r="DS206" i="7"/>
  <c r="DT206" i="7"/>
  <c r="DU206" i="7"/>
  <c r="DV206" i="7"/>
  <c r="DW206" i="7"/>
  <c r="DX206" i="7"/>
  <c r="DY206" i="7"/>
  <c r="DZ206" i="7"/>
  <c r="EA206" i="7"/>
  <c r="EB206" i="7"/>
  <c r="EC206" i="7"/>
  <c r="ED206" i="7"/>
  <c r="EE206" i="7"/>
  <c r="EF206" i="7"/>
  <c r="EG206" i="7"/>
  <c r="EH206" i="7"/>
  <c r="EI206" i="7"/>
  <c r="EJ206" i="7"/>
  <c r="I207" i="7"/>
  <c r="J207" i="7"/>
  <c r="K207" i="7"/>
  <c r="L207" i="7"/>
  <c r="M207" i="7"/>
  <c r="N207" i="7"/>
  <c r="O207" i="7"/>
  <c r="P207" i="7"/>
  <c r="Q207" i="7"/>
  <c r="R207" i="7"/>
  <c r="S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AJ207" i="7"/>
  <c r="AK207" i="7"/>
  <c r="AL207" i="7"/>
  <c r="AM207" i="7"/>
  <c r="AN207" i="7"/>
  <c r="AO207" i="7"/>
  <c r="AP207" i="7"/>
  <c r="AQ207" i="7"/>
  <c r="AR207" i="7"/>
  <c r="AS207" i="7"/>
  <c r="AT207" i="7"/>
  <c r="AU207" i="7"/>
  <c r="AV207" i="7"/>
  <c r="AW207" i="7"/>
  <c r="AX207" i="7"/>
  <c r="AY207" i="7"/>
  <c r="AZ207" i="7"/>
  <c r="BA207" i="7"/>
  <c r="BB207" i="7"/>
  <c r="BC207" i="7"/>
  <c r="BD207" i="7"/>
  <c r="BE207" i="7"/>
  <c r="BF207" i="7"/>
  <c r="BG207" i="7"/>
  <c r="BH207" i="7"/>
  <c r="BI207" i="7"/>
  <c r="BJ207" i="7"/>
  <c r="BK207" i="7"/>
  <c r="BL207" i="7"/>
  <c r="BM207" i="7"/>
  <c r="BN207" i="7"/>
  <c r="BO207" i="7"/>
  <c r="BP207" i="7"/>
  <c r="BQ207" i="7"/>
  <c r="BR207" i="7"/>
  <c r="BS207" i="7"/>
  <c r="BT207" i="7"/>
  <c r="BU207" i="7"/>
  <c r="BV207" i="7"/>
  <c r="BW207" i="7"/>
  <c r="BX207" i="7"/>
  <c r="BY207" i="7"/>
  <c r="BZ207" i="7"/>
  <c r="CA207" i="7"/>
  <c r="CB207" i="7"/>
  <c r="CC207" i="7"/>
  <c r="CD207" i="7"/>
  <c r="CE207" i="7"/>
  <c r="CF207" i="7"/>
  <c r="CG207" i="7"/>
  <c r="CH207" i="7"/>
  <c r="CI207" i="7"/>
  <c r="CJ207" i="7"/>
  <c r="CK207" i="7"/>
  <c r="CL207" i="7"/>
  <c r="CM207" i="7"/>
  <c r="CN207" i="7"/>
  <c r="CO207" i="7"/>
  <c r="CP207" i="7"/>
  <c r="CQ207" i="7"/>
  <c r="CR207" i="7"/>
  <c r="CS207" i="7"/>
  <c r="CT207" i="7"/>
  <c r="CU207" i="7"/>
  <c r="CV207" i="7"/>
  <c r="CW207" i="7"/>
  <c r="CX207" i="7"/>
  <c r="CY207" i="7"/>
  <c r="CZ207" i="7"/>
  <c r="DA207" i="7"/>
  <c r="DB207" i="7"/>
  <c r="DC207" i="7"/>
  <c r="DD207" i="7"/>
  <c r="DE207" i="7"/>
  <c r="DF207" i="7"/>
  <c r="DG207" i="7"/>
  <c r="DH207" i="7"/>
  <c r="DI207" i="7"/>
  <c r="DJ207" i="7"/>
  <c r="DK207" i="7"/>
  <c r="DL207" i="7"/>
  <c r="DM207" i="7"/>
  <c r="DN207" i="7"/>
  <c r="DO207" i="7"/>
  <c r="DP207" i="7"/>
  <c r="DQ207" i="7"/>
  <c r="DR207" i="7"/>
  <c r="DS207" i="7"/>
  <c r="DT207" i="7"/>
  <c r="DU207" i="7"/>
  <c r="DV207" i="7"/>
  <c r="DW207" i="7"/>
  <c r="DX207" i="7"/>
  <c r="DY207" i="7"/>
  <c r="DZ207" i="7"/>
  <c r="EA207" i="7"/>
  <c r="EB207" i="7"/>
  <c r="EC207" i="7"/>
  <c r="ED207" i="7"/>
  <c r="EE207" i="7"/>
  <c r="EF207" i="7"/>
  <c r="EG207" i="7"/>
  <c r="EH207" i="7"/>
  <c r="EI207" i="7"/>
  <c r="EJ207" i="7"/>
  <c r="I208" i="7"/>
  <c r="J208" i="7"/>
  <c r="K208" i="7"/>
  <c r="L208" i="7"/>
  <c r="M208" i="7"/>
  <c r="N208" i="7"/>
  <c r="O208" i="7"/>
  <c r="P208" i="7"/>
  <c r="Q208" i="7"/>
  <c r="R208" i="7"/>
  <c r="S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AJ208" i="7"/>
  <c r="AK208" i="7"/>
  <c r="AL208" i="7"/>
  <c r="AM208" i="7"/>
  <c r="AN208" i="7"/>
  <c r="AO208" i="7"/>
  <c r="AP208" i="7"/>
  <c r="AQ208" i="7"/>
  <c r="AR208" i="7"/>
  <c r="AS208" i="7"/>
  <c r="AT208" i="7"/>
  <c r="AU208" i="7"/>
  <c r="AV208" i="7"/>
  <c r="AW208" i="7"/>
  <c r="AX208" i="7"/>
  <c r="AY208" i="7"/>
  <c r="AZ208" i="7"/>
  <c r="BA208" i="7"/>
  <c r="BB208" i="7"/>
  <c r="BC208" i="7"/>
  <c r="BD208" i="7"/>
  <c r="BE208" i="7"/>
  <c r="BF208" i="7"/>
  <c r="BG208" i="7"/>
  <c r="BH208" i="7"/>
  <c r="BI208" i="7"/>
  <c r="BJ208" i="7"/>
  <c r="BK208" i="7"/>
  <c r="BL208" i="7"/>
  <c r="BM208" i="7"/>
  <c r="BN208" i="7"/>
  <c r="BO208" i="7"/>
  <c r="BP208" i="7"/>
  <c r="BQ208" i="7"/>
  <c r="BR208" i="7"/>
  <c r="BS208" i="7"/>
  <c r="BT208" i="7"/>
  <c r="BU208" i="7"/>
  <c r="BV208" i="7"/>
  <c r="BW208" i="7"/>
  <c r="BX208" i="7"/>
  <c r="BY208" i="7"/>
  <c r="BZ208" i="7"/>
  <c r="CA208" i="7"/>
  <c r="CB208" i="7"/>
  <c r="CC208" i="7"/>
  <c r="CD208" i="7"/>
  <c r="CE208" i="7"/>
  <c r="CF208" i="7"/>
  <c r="CG208" i="7"/>
  <c r="CH208" i="7"/>
  <c r="CI208" i="7"/>
  <c r="CJ208" i="7"/>
  <c r="CK208" i="7"/>
  <c r="CL208" i="7"/>
  <c r="CM208" i="7"/>
  <c r="CN208" i="7"/>
  <c r="CO208" i="7"/>
  <c r="CP208" i="7"/>
  <c r="CQ208" i="7"/>
  <c r="CR208" i="7"/>
  <c r="CS208" i="7"/>
  <c r="CT208" i="7"/>
  <c r="CU208" i="7"/>
  <c r="CV208" i="7"/>
  <c r="CW208" i="7"/>
  <c r="CX208" i="7"/>
  <c r="CY208" i="7"/>
  <c r="CZ208" i="7"/>
  <c r="DA208" i="7"/>
  <c r="DB208" i="7"/>
  <c r="DC208" i="7"/>
  <c r="DD208" i="7"/>
  <c r="DE208" i="7"/>
  <c r="DF208" i="7"/>
  <c r="DG208" i="7"/>
  <c r="DH208" i="7"/>
  <c r="DI208" i="7"/>
  <c r="DJ208" i="7"/>
  <c r="DK208" i="7"/>
  <c r="DL208" i="7"/>
  <c r="DM208" i="7"/>
  <c r="DN208" i="7"/>
  <c r="DO208" i="7"/>
  <c r="DP208" i="7"/>
  <c r="DQ208" i="7"/>
  <c r="DR208" i="7"/>
  <c r="DS208" i="7"/>
  <c r="DT208" i="7"/>
  <c r="DU208" i="7"/>
  <c r="DV208" i="7"/>
  <c r="DW208" i="7"/>
  <c r="DX208" i="7"/>
  <c r="DY208" i="7"/>
  <c r="DZ208" i="7"/>
  <c r="EA208" i="7"/>
  <c r="EB208" i="7"/>
  <c r="EC208" i="7"/>
  <c r="ED208" i="7"/>
  <c r="EE208" i="7"/>
  <c r="EF208" i="7"/>
  <c r="EG208" i="7"/>
  <c r="EH208" i="7"/>
  <c r="EI208" i="7"/>
  <c r="EJ208" i="7"/>
  <c r="H209" i="7"/>
  <c r="I209" i="7"/>
  <c r="J209" i="7"/>
  <c r="K209" i="7"/>
  <c r="L209" i="7"/>
  <c r="M209" i="7"/>
  <c r="N209" i="7"/>
  <c r="O209" i="7"/>
  <c r="P209" i="7"/>
  <c r="Q209" i="7"/>
  <c r="R209" i="7"/>
  <c r="S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AJ209" i="7"/>
  <c r="AK209" i="7"/>
  <c r="AL209" i="7"/>
  <c r="AM209" i="7"/>
  <c r="AN209" i="7"/>
  <c r="AO209" i="7"/>
  <c r="AP209" i="7"/>
  <c r="AQ209" i="7"/>
  <c r="AR209" i="7"/>
  <c r="AS209" i="7"/>
  <c r="AT209" i="7"/>
  <c r="AU209" i="7"/>
  <c r="AV209" i="7"/>
  <c r="AW209" i="7"/>
  <c r="AX209" i="7"/>
  <c r="AY209" i="7"/>
  <c r="AZ209" i="7"/>
  <c r="BA209" i="7"/>
  <c r="BB209" i="7"/>
  <c r="BC209" i="7"/>
  <c r="BD209" i="7"/>
  <c r="BE209" i="7"/>
  <c r="BF209" i="7"/>
  <c r="BG209" i="7"/>
  <c r="BH209" i="7"/>
  <c r="BI209" i="7"/>
  <c r="BJ209" i="7"/>
  <c r="BK209" i="7"/>
  <c r="BL209" i="7"/>
  <c r="BM209" i="7"/>
  <c r="BN209" i="7"/>
  <c r="BO209" i="7"/>
  <c r="BP209" i="7"/>
  <c r="BQ209" i="7"/>
  <c r="BR209" i="7"/>
  <c r="BS209" i="7"/>
  <c r="BT209" i="7"/>
  <c r="BU209" i="7"/>
  <c r="BV209" i="7"/>
  <c r="BW209" i="7"/>
  <c r="BX209" i="7"/>
  <c r="BY209" i="7"/>
  <c r="BZ209" i="7"/>
  <c r="CA209" i="7"/>
  <c r="CB209" i="7"/>
  <c r="CC209" i="7"/>
  <c r="CD209" i="7"/>
  <c r="CE209" i="7"/>
  <c r="CF209" i="7"/>
  <c r="CG209" i="7"/>
  <c r="CH209" i="7"/>
  <c r="CI209" i="7"/>
  <c r="CJ209" i="7"/>
  <c r="CK209" i="7"/>
  <c r="CL209" i="7"/>
  <c r="CM209" i="7"/>
  <c r="CN209" i="7"/>
  <c r="CO209" i="7"/>
  <c r="CP209" i="7"/>
  <c r="CQ209" i="7"/>
  <c r="CR209" i="7"/>
  <c r="CS209" i="7"/>
  <c r="CT209" i="7"/>
  <c r="CU209" i="7"/>
  <c r="CV209" i="7"/>
  <c r="CW209" i="7"/>
  <c r="CX209" i="7"/>
  <c r="CY209" i="7"/>
  <c r="CZ209" i="7"/>
  <c r="DA209" i="7"/>
  <c r="DB209" i="7"/>
  <c r="DC209" i="7"/>
  <c r="DD209" i="7"/>
  <c r="DE209" i="7"/>
  <c r="DF209" i="7"/>
  <c r="DG209" i="7"/>
  <c r="DH209" i="7"/>
  <c r="DI209" i="7"/>
  <c r="DJ209" i="7"/>
  <c r="DK209" i="7"/>
  <c r="DL209" i="7"/>
  <c r="DM209" i="7"/>
  <c r="DN209" i="7"/>
  <c r="DO209" i="7"/>
  <c r="DP209" i="7"/>
  <c r="DQ209" i="7"/>
  <c r="DR209" i="7"/>
  <c r="DS209" i="7"/>
  <c r="DT209" i="7"/>
  <c r="DU209" i="7"/>
  <c r="DV209" i="7"/>
  <c r="DW209" i="7"/>
  <c r="DX209" i="7"/>
  <c r="DY209" i="7"/>
  <c r="DZ209" i="7"/>
  <c r="EA209" i="7"/>
  <c r="EB209" i="7"/>
  <c r="EC209" i="7"/>
  <c r="ED209" i="7"/>
  <c r="EE209" i="7"/>
  <c r="EF209" i="7"/>
  <c r="EG209" i="7"/>
  <c r="EH209" i="7"/>
  <c r="EI209" i="7"/>
  <c r="EJ209" i="7"/>
  <c r="H210" i="7"/>
  <c r="I210" i="7"/>
  <c r="J210" i="7"/>
  <c r="K210" i="7"/>
  <c r="L210" i="7"/>
  <c r="M210" i="7"/>
  <c r="N210" i="7"/>
  <c r="O210" i="7"/>
  <c r="P210" i="7"/>
  <c r="Q210" i="7"/>
  <c r="R210" i="7"/>
  <c r="S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AJ210" i="7"/>
  <c r="AK210" i="7"/>
  <c r="AL210" i="7"/>
  <c r="AM210" i="7"/>
  <c r="AN210" i="7"/>
  <c r="AO210" i="7"/>
  <c r="AP210" i="7"/>
  <c r="AQ210" i="7"/>
  <c r="AR210" i="7"/>
  <c r="AS210" i="7"/>
  <c r="AT210" i="7"/>
  <c r="AU210" i="7"/>
  <c r="AV210" i="7"/>
  <c r="AW210" i="7"/>
  <c r="AX210" i="7"/>
  <c r="AY210" i="7"/>
  <c r="AZ210" i="7"/>
  <c r="BA210" i="7"/>
  <c r="BB210" i="7"/>
  <c r="BC210" i="7"/>
  <c r="BD210" i="7"/>
  <c r="BE210" i="7"/>
  <c r="BF210" i="7"/>
  <c r="BG210" i="7"/>
  <c r="BH210" i="7"/>
  <c r="BI210" i="7"/>
  <c r="BJ210" i="7"/>
  <c r="BK210" i="7"/>
  <c r="BL210" i="7"/>
  <c r="BM210" i="7"/>
  <c r="BN210" i="7"/>
  <c r="BO210" i="7"/>
  <c r="BP210" i="7"/>
  <c r="BQ210" i="7"/>
  <c r="BR210" i="7"/>
  <c r="BS210" i="7"/>
  <c r="BT210" i="7"/>
  <c r="BU210" i="7"/>
  <c r="BV210" i="7"/>
  <c r="BW210" i="7"/>
  <c r="BX210" i="7"/>
  <c r="BY210" i="7"/>
  <c r="BZ210" i="7"/>
  <c r="CA210" i="7"/>
  <c r="CB210" i="7"/>
  <c r="CC210" i="7"/>
  <c r="CD210" i="7"/>
  <c r="CE210" i="7"/>
  <c r="CF210" i="7"/>
  <c r="CG210" i="7"/>
  <c r="CH210" i="7"/>
  <c r="CI210" i="7"/>
  <c r="CJ210" i="7"/>
  <c r="CK210" i="7"/>
  <c r="CL210" i="7"/>
  <c r="CM210" i="7"/>
  <c r="CN210" i="7"/>
  <c r="CO210" i="7"/>
  <c r="CP210" i="7"/>
  <c r="CQ210" i="7"/>
  <c r="CR210" i="7"/>
  <c r="CS210" i="7"/>
  <c r="CT210" i="7"/>
  <c r="CU210" i="7"/>
  <c r="CV210" i="7"/>
  <c r="CW210" i="7"/>
  <c r="CX210" i="7"/>
  <c r="CY210" i="7"/>
  <c r="CZ210" i="7"/>
  <c r="DA210" i="7"/>
  <c r="DB210" i="7"/>
  <c r="DC210" i="7"/>
  <c r="DD210" i="7"/>
  <c r="DE210" i="7"/>
  <c r="DF210" i="7"/>
  <c r="DG210" i="7"/>
  <c r="DH210" i="7"/>
  <c r="DI210" i="7"/>
  <c r="DJ210" i="7"/>
  <c r="DK210" i="7"/>
  <c r="DL210" i="7"/>
  <c r="DM210" i="7"/>
  <c r="DN210" i="7"/>
  <c r="DO210" i="7"/>
  <c r="DP210" i="7"/>
  <c r="DQ210" i="7"/>
  <c r="DR210" i="7"/>
  <c r="DS210" i="7"/>
  <c r="DT210" i="7"/>
  <c r="DU210" i="7"/>
  <c r="DV210" i="7"/>
  <c r="DW210" i="7"/>
  <c r="DX210" i="7"/>
  <c r="DY210" i="7"/>
  <c r="DZ210" i="7"/>
  <c r="EA210" i="7"/>
  <c r="EB210" i="7"/>
  <c r="EC210" i="7"/>
  <c r="ED210" i="7"/>
  <c r="EE210" i="7"/>
  <c r="EF210" i="7"/>
  <c r="EG210" i="7"/>
  <c r="EH210" i="7"/>
  <c r="EI210" i="7"/>
  <c r="EJ210" i="7"/>
  <c r="H212" i="7"/>
  <c r="I212" i="7"/>
  <c r="J212" i="7"/>
  <c r="K212" i="7"/>
  <c r="L212" i="7"/>
  <c r="M212" i="7"/>
  <c r="N212" i="7"/>
  <c r="O212" i="7"/>
  <c r="P212" i="7"/>
  <c r="Q212" i="7"/>
  <c r="R212" i="7"/>
  <c r="S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AJ212" i="7"/>
  <c r="AK212" i="7"/>
  <c r="AL212" i="7"/>
  <c r="AM212" i="7"/>
  <c r="AN212" i="7"/>
  <c r="AO212" i="7"/>
  <c r="AP212" i="7"/>
  <c r="AQ212" i="7"/>
  <c r="AR212" i="7"/>
  <c r="AS212" i="7"/>
  <c r="AT212" i="7"/>
  <c r="AU212" i="7"/>
  <c r="AV212" i="7"/>
  <c r="AW212" i="7"/>
  <c r="AX212" i="7"/>
  <c r="AY212" i="7"/>
  <c r="AZ212" i="7"/>
  <c r="BA212" i="7"/>
  <c r="BB212" i="7"/>
  <c r="BC212" i="7"/>
  <c r="BD212" i="7"/>
  <c r="BE212" i="7"/>
  <c r="BF212" i="7"/>
  <c r="BG212" i="7"/>
  <c r="BH212" i="7"/>
  <c r="BI212" i="7"/>
  <c r="BJ212" i="7"/>
  <c r="BK212" i="7"/>
  <c r="BL212" i="7"/>
  <c r="BM212" i="7"/>
  <c r="BN212" i="7"/>
  <c r="BO212" i="7"/>
  <c r="BP212" i="7"/>
  <c r="BQ212" i="7"/>
  <c r="BR212" i="7"/>
  <c r="BS212" i="7"/>
  <c r="BT212" i="7"/>
  <c r="BU212" i="7"/>
  <c r="BV212" i="7"/>
  <c r="BW212" i="7"/>
  <c r="BX212" i="7"/>
  <c r="BY212" i="7"/>
  <c r="BZ212" i="7"/>
  <c r="CA212" i="7"/>
  <c r="CB212" i="7"/>
  <c r="CC212" i="7"/>
  <c r="CD212" i="7"/>
  <c r="CE212" i="7"/>
  <c r="CF212" i="7"/>
  <c r="CG212" i="7"/>
  <c r="CH212" i="7"/>
  <c r="CI212" i="7"/>
  <c r="CJ212" i="7"/>
  <c r="CK212" i="7"/>
  <c r="CL212" i="7"/>
  <c r="CM212" i="7"/>
  <c r="CN212" i="7"/>
  <c r="CO212" i="7"/>
  <c r="CP212" i="7"/>
  <c r="CQ212" i="7"/>
  <c r="CR212" i="7"/>
  <c r="CS212" i="7"/>
  <c r="CT212" i="7"/>
  <c r="CU212" i="7"/>
  <c r="CV212" i="7"/>
  <c r="CW212" i="7"/>
  <c r="CX212" i="7"/>
  <c r="CY212" i="7"/>
  <c r="CZ212" i="7"/>
  <c r="DA212" i="7"/>
  <c r="DB212" i="7"/>
  <c r="DC212" i="7"/>
  <c r="DD212" i="7"/>
  <c r="DE212" i="7"/>
  <c r="DF212" i="7"/>
  <c r="DG212" i="7"/>
  <c r="DH212" i="7"/>
  <c r="DI212" i="7"/>
  <c r="DJ212" i="7"/>
  <c r="DK212" i="7"/>
  <c r="DL212" i="7"/>
  <c r="DM212" i="7"/>
  <c r="DN212" i="7"/>
  <c r="DO212" i="7"/>
  <c r="DP212" i="7"/>
  <c r="DQ212" i="7"/>
  <c r="DR212" i="7"/>
  <c r="DS212" i="7"/>
  <c r="DT212" i="7"/>
  <c r="DU212" i="7"/>
  <c r="DV212" i="7"/>
  <c r="DW212" i="7"/>
  <c r="DX212" i="7"/>
  <c r="DY212" i="7"/>
  <c r="DZ212" i="7"/>
  <c r="EA212" i="7"/>
  <c r="EB212" i="7"/>
  <c r="EC212" i="7"/>
  <c r="ED212" i="7"/>
  <c r="EE212" i="7"/>
  <c r="EF212" i="7"/>
  <c r="EG212" i="7"/>
  <c r="EH212" i="7"/>
  <c r="EI212" i="7"/>
  <c r="EJ212" i="7"/>
  <c r="H213" i="7"/>
  <c r="I213" i="7"/>
  <c r="J213" i="7"/>
  <c r="K213" i="7"/>
  <c r="L213" i="7"/>
  <c r="M213" i="7"/>
  <c r="N213" i="7"/>
  <c r="O213" i="7"/>
  <c r="P213" i="7"/>
  <c r="Q213" i="7"/>
  <c r="R213" i="7"/>
  <c r="S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AJ213" i="7"/>
  <c r="AK213" i="7"/>
  <c r="AL213" i="7"/>
  <c r="AM213" i="7"/>
  <c r="AN213" i="7"/>
  <c r="AO213" i="7"/>
  <c r="AP213" i="7"/>
  <c r="AQ213" i="7"/>
  <c r="AR213" i="7"/>
  <c r="AS213" i="7"/>
  <c r="AT213" i="7"/>
  <c r="AU213" i="7"/>
  <c r="AV213" i="7"/>
  <c r="AW213" i="7"/>
  <c r="AX213" i="7"/>
  <c r="AY213" i="7"/>
  <c r="AZ213" i="7"/>
  <c r="BA213" i="7"/>
  <c r="BB213" i="7"/>
  <c r="BC213" i="7"/>
  <c r="BD213" i="7"/>
  <c r="BE213" i="7"/>
  <c r="BF213" i="7"/>
  <c r="BG213" i="7"/>
  <c r="BH213" i="7"/>
  <c r="BI213" i="7"/>
  <c r="BJ213" i="7"/>
  <c r="BK213" i="7"/>
  <c r="BL213" i="7"/>
  <c r="BM213" i="7"/>
  <c r="BN213" i="7"/>
  <c r="BO213" i="7"/>
  <c r="BP213" i="7"/>
  <c r="BQ213" i="7"/>
  <c r="BR213" i="7"/>
  <c r="BS213" i="7"/>
  <c r="BT213" i="7"/>
  <c r="BU213" i="7"/>
  <c r="BV213" i="7"/>
  <c r="BW213" i="7"/>
  <c r="BX213" i="7"/>
  <c r="BY213" i="7"/>
  <c r="BZ213" i="7"/>
  <c r="CA213" i="7"/>
  <c r="CB213" i="7"/>
  <c r="CC213" i="7"/>
  <c r="CD213" i="7"/>
  <c r="CE213" i="7"/>
  <c r="CF213" i="7"/>
  <c r="CG213" i="7"/>
  <c r="CH213" i="7"/>
  <c r="CI213" i="7"/>
  <c r="CJ213" i="7"/>
  <c r="CK213" i="7"/>
  <c r="CL213" i="7"/>
  <c r="CM213" i="7"/>
  <c r="CN213" i="7"/>
  <c r="CO213" i="7"/>
  <c r="CP213" i="7"/>
  <c r="CQ213" i="7"/>
  <c r="CR213" i="7"/>
  <c r="CS213" i="7"/>
  <c r="CT213" i="7"/>
  <c r="CU213" i="7"/>
  <c r="CV213" i="7"/>
  <c r="CW213" i="7"/>
  <c r="CX213" i="7"/>
  <c r="CY213" i="7"/>
  <c r="CZ213" i="7"/>
  <c r="DA213" i="7"/>
  <c r="DB213" i="7"/>
  <c r="DC213" i="7"/>
  <c r="DD213" i="7"/>
  <c r="DE213" i="7"/>
  <c r="DF213" i="7"/>
  <c r="DG213" i="7"/>
  <c r="DH213" i="7"/>
  <c r="DI213" i="7"/>
  <c r="DJ213" i="7"/>
  <c r="DK213" i="7"/>
  <c r="DL213" i="7"/>
  <c r="DM213" i="7"/>
  <c r="DN213" i="7"/>
  <c r="DO213" i="7"/>
  <c r="DP213" i="7"/>
  <c r="DQ213" i="7"/>
  <c r="DR213" i="7"/>
  <c r="DS213" i="7"/>
  <c r="DT213" i="7"/>
  <c r="DU213" i="7"/>
  <c r="DV213" i="7"/>
  <c r="DW213" i="7"/>
  <c r="DX213" i="7"/>
  <c r="DY213" i="7"/>
  <c r="DZ213" i="7"/>
  <c r="EA213" i="7"/>
  <c r="EB213" i="7"/>
  <c r="EC213" i="7"/>
  <c r="ED213" i="7"/>
  <c r="EE213" i="7"/>
  <c r="EF213" i="7"/>
  <c r="EG213" i="7"/>
  <c r="EH213" i="7"/>
  <c r="EI213" i="7"/>
  <c r="EJ213" i="7"/>
  <c r="H214" i="7"/>
  <c r="I214" i="7"/>
  <c r="J214" i="7"/>
  <c r="K214" i="7"/>
  <c r="L214" i="7"/>
  <c r="M214" i="7"/>
  <c r="N214" i="7"/>
  <c r="O214" i="7"/>
  <c r="P214" i="7"/>
  <c r="Q214" i="7"/>
  <c r="R214" i="7"/>
  <c r="S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AJ214" i="7"/>
  <c r="AK214" i="7"/>
  <c r="AL214" i="7"/>
  <c r="AM214" i="7"/>
  <c r="AN214" i="7"/>
  <c r="AO214" i="7"/>
  <c r="AP214" i="7"/>
  <c r="AQ214" i="7"/>
  <c r="AR214" i="7"/>
  <c r="AS214" i="7"/>
  <c r="AT214" i="7"/>
  <c r="AU214" i="7"/>
  <c r="AV214" i="7"/>
  <c r="AW214" i="7"/>
  <c r="AX214" i="7"/>
  <c r="AY214" i="7"/>
  <c r="AZ214" i="7"/>
  <c r="BA214" i="7"/>
  <c r="BB214" i="7"/>
  <c r="BC214" i="7"/>
  <c r="BD214" i="7"/>
  <c r="BE214" i="7"/>
  <c r="BF214" i="7"/>
  <c r="BG214" i="7"/>
  <c r="BH214" i="7"/>
  <c r="BI214" i="7"/>
  <c r="BJ214" i="7"/>
  <c r="BK214" i="7"/>
  <c r="BL214" i="7"/>
  <c r="BM214" i="7"/>
  <c r="BN214" i="7"/>
  <c r="BO214" i="7"/>
  <c r="BP214" i="7"/>
  <c r="BQ214" i="7"/>
  <c r="BR214" i="7"/>
  <c r="BS214" i="7"/>
  <c r="BT214" i="7"/>
  <c r="BU214" i="7"/>
  <c r="BV214" i="7"/>
  <c r="BW214" i="7"/>
  <c r="BX214" i="7"/>
  <c r="BY214" i="7"/>
  <c r="BZ214" i="7"/>
  <c r="CA214" i="7"/>
  <c r="CB214" i="7"/>
  <c r="CC214" i="7"/>
  <c r="CD214" i="7"/>
  <c r="CE214" i="7"/>
  <c r="CF214" i="7"/>
  <c r="CG214" i="7"/>
  <c r="CH214" i="7"/>
  <c r="CI214" i="7"/>
  <c r="CJ214" i="7"/>
  <c r="CK214" i="7"/>
  <c r="CL214" i="7"/>
  <c r="CM214" i="7"/>
  <c r="CN214" i="7"/>
  <c r="CO214" i="7"/>
  <c r="CP214" i="7"/>
  <c r="CQ214" i="7"/>
  <c r="CR214" i="7"/>
  <c r="CS214" i="7"/>
  <c r="CT214" i="7"/>
  <c r="CU214" i="7"/>
  <c r="CV214" i="7"/>
  <c r="CW214" i="7"/>
  <c r="CX214" i="7"/>
  <c r="CY214" i="7"/>
  <c r="CZ214" i="7"/>
  <c r="DA214" i="7"/>
  <c r="DB214" i="7"/>
  <c r="DC214" i="7"/>
  <c r="DD214" i="7"/>
  <c r="DE214" i="7"/>
  <c r="DF214" i="7"/>
  <c r="DG214" i="7"/>
  <c r="DH214" i="7"/>
  <c r="DI214" i="7"/>
  <c r="DJ214" i="7"/>
  <c r="DK214" i="7"/>
  <c r="DL214" i="7"/>
  <c r="DM214" i="7"/>
  <c r="DN214" i="7"/>
  <c r="DO214" i="7"/>
  <c r="DP214" i="7"/>
  <c r="DQ214" i="7"/>
  <c r="DR214" i="7"/>
  <c r="DS214" i="7"/>
  <c r="DT214" i="7"/>
  <c r="DU214" i="7"/>
  <c r="DV214" i="7"/>
  <c r="DW214" i="7"/>
  <c r="DX214" i="7"/>
  <c r="DY214" i="7"/>
  <c r="DZ214" i="7"/>
  <c r="EA214" i="7"/>
  <c r="EB214" i="7"/>
  <c r="EC214" i="7"/>
  <c r="ED214" i="7"/>
  <c r="EE214" i="7"/>
  <c r="EF214" i="7"/>
  <c r="EG214" i="7"/>
  <c r="EH214" i="7"/>
  <c r="EI214" i="7"/>
  <c r="EJ214" i="7"/>
  <c r="C216" i="7"/>
  <c r="H216" i="7"/>
  <c r="I216" i="7"/>
  <c r="J216" i="7"/>
  <c r="K216" i="7"/>
  <c r="L216" i="7"/>
  <c r="M216" i="7"/>
  <c r="N216" i="7"/>
  <c r="O216" i="7"/>
  <c r="P216" i="7"/>
  <c r="Q216" i="7"/>
  <c r="R216" i="7"/>
  <c r="S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AJ216" i="7"/>
  <c r="AK216" i="7"/>
  <c r="AL216" i="7"/>
  <c r="AM216" i="7"/>
  <c r="AN216" i="7"/>
  <c r="AO216" i="7"/>
  <c r="AP216" i="7"/>
  <c r="AQ216" i="7"/>
  <c r="AR216" i="7"/>
  <c r="AS216" i="7"/>
  <c r="AT216" i="7"/>
  <c r="AU216" i="7"/>
  <c r="AV216" i="7"/>
  <c r="AW216" i="7"/>
  <c r="AX216" i="7"/>
  <c r="AY216" i="7"/>
  <c r="AZ216" i="7"/>
  <c r="BA216" i="7"/>
  <c r="BB216" i="7"/>
  <c r="BC216" i="7"/>
  <c r="BD216" i="7"/>
  <c r="BE216" i="7"/>
  <c r="BF216" i="7"/>
  <c r="BG216" i="7"/>
  <c r="BH216" i="7"/>
  <c r="BI216" i="7"/>
  <c r="BJ216" i="7"/>
  <c r="BK216" i="7"/>
  <c r="BL216" i="7"/>
  <c r="BM216" i="7"/>
  <c r="BN216" i="7"/>
  <c r="BO216" i="7"/>
  <c r="BP216" i="7"/>
  <c r="BQ216" i="7"/>
  <c r="BR216" i="7"/>
  <c r="BS216" i="7"/>
  <c r="BT216" i="7"/>
  <c r="BU216" i="7"/>
  <c r="BV216" i="7"/>
  <c r="BW216" i="7"/>
  <c r="BX216" i="7"/>
  <c r="BY216" i="7"/>
  <c r="BZ216" i="7"/>
  <c r="CA216" i="7"/>
  <c r="CB216" i="7"/>
  <c r="CC216" i="7"/>
  <c r="CD216" i="7"/>
  <c r="CE216" i="7"/>
  <c r="CF216" i="7"/>
  <c r="CG216" i="7"/>
  <c r="CH216" i="7"/>
  <c r="CI216" i="7"/>
  <c r="CJ216" i="7"/>
  <c r="CK216" i="7"/>
  <c r="CL216" i="7"/>
  <c r="CM216" i="7"/>
  <c r="CN216" i="7"/>
  <c r="CO216" i="7"/>
  <c r="CP216" i="7"/>
  <c r="CQ216" i="7"/>
  <c r="CR216" i="7"/>
  <c r="CS216" i="7"/>
  <c r="CT216" i="7"/>
  <c r="CU216" i="7"/>
  <c r="CV216" i="7"/>
  <c r="CW216" i="7"/>
  <c r="CX216" i="7"/>
  <c r="CY216" i="7"/>
  <c r="CZ216" i="7"/>
  <c r="DA216" i="7"/>
  <c r="DB216" i="7"/>
  <c r="DC216" i="7"/>
  <c r="DD216" i="7"/>
  <c r="DE216" i="7"/>
  <c r="DF216" i="7"/>
  <c r="DG216" i="7"/>
  <c r="DH216" i="7"/>
  <c r="DI216" i="7"/>
  <c r="DJ216" i="7"/>
  <c r="DK216" i="7"/>
  <c r="DL216" i="7"/>
  <c r="DM216" i="7"/>
  <c r="DN216" i="7"/>
  <c r="DO216" i="7"/>
  <c r="DP216" i="7"/>
  <c r="DQ216" i="7"/>
  <c r="DR216" i="7"/>
  <c r="DS216" i="7"/>
  <c r="DT216" i="7"/>
  <c r="DU216" i="7"/>
  <c r="DV216" i="7"/>
  <c r="DW216" i="7"/>
  <c r="DX216" i="7"/>
  <c r="DY216" i="7"/>
  <c r="DZ216" i="7"/>
  <c r="EA216" i="7"/>
  <c r="EB216" i="7"/>
  <c r="EC216" i="7"/>
  <c r="ED216" i="7"/>
  <c r="EE216" i="7"/>
  <c r="EF216" i="7"/>
  <c r="EG216" i="7"/>
  <c r="EH216" i="7"/>
  <c r="EI216" i="7"/>
  <c r="EJ216" i="7"/>
  <c r="C217" i="7"/>
  <c r="H217" i="7"/>
  <c r="I217" i="7"/>
  <c r="J217" i="7"/>
  <c r="K217" i="7"/>
  <c r="L217" i="7"/>
  <c r="M217" i="7"/>
  <c r="N217" i="7"/>
  <c r="O217" i="7"/>
  <c r="P217" i="7"/>
  <c r="Q217" i="7"/>
  <c r="R217" i="7"/>
  <c r="S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AJ217" i="7"/>
  <c r="AK217" i="7"/>
  <c r="AL217" i="7"/>
  <c r="AM217" i="7"/>
  <c r="AN217" i="7"/>
  <c r="AO217" i="7"/>
  <c r="AP217" i="7"/>
  <c r="AQ217" i="7"/>
  <c r="AR217" i="7"/>
  <c r="AS217" i="7"/>
  <c r="AT217" i="7"/>
  <c r="AU217" i="7"/>
  <c r="AV217" i="7"/>
  <c r="AW217" i="7"/>
  <c r="AX217" i="7"/>
  <c r="AY217" i="7"/>
  <c r="AZ217" i="7"/>
  <c r="BA217" i="7"/>
  <c r="BB217" i="7"/>
  <c r="BC217" i="7"/>
  <c r="BD217" i="7"/>
  <c r="BE217" i="7"/>
  <c r="BF217" i="7"/>
  <c r="BG217" i="7"/>
  <c r="BH217" i="7"/>
  <c r="BI217" i="7"/>
  <c r="BJ217" i="7"/>
  <c r="BK217" i="7"/>
  <c r="BL217" i="7"/>
  <c r="BM217" i="7"/>
  <c r="BN217" i="7"/>
  <c r="BO217" i="7"/>
  <c r="BP217" i="7"/>
  <c r="BQ217" i="7"/>
  <c r="BR217" i="7"/>
  <c r="BS217" i="7"/>
  <c r="BT217" i="7"/>
  <c r="BU217" i="7"/>
  <c r="BV217" i="7"/>
  <c r="BW217" i="7"/>
  <c r="BX217" i="7"/>
  <c r="BY217" i="7"/>
  <c r="BZ217" i="7"/>
  <c r="CA217" i="7"/>
  <c r="CB217" i="7"/>
  <c r="CC217" i="7"/>
  <c r="CD217" i="7"/>
  <c r="CE217" i="7"/>
  <c r="CF217" i="7"/>
  <c r="CG217" i="7"/>
  <c r="CH217" i="7"/>
  <c r="CI217" i="7"/>
  <c r="CJ217" i="7"/>
  <c r="CK217" i="7"/>
  <c r="CL217" i="7"/>
  <c r="CM217" i="7"/>
  <c r="CN217" i="7"/>
  <c r="CO217" i="7"/>
  <c r="CP217" i="7"/>
  <c r="CQ217" i="7"/>
  <c r="CR217" i="7"/>
  <c r="CS217" i="7"/>
  <c r="CT217" i="7"/>
  <c r="CU217" i="7"/>
  <c r="CV217" i="7"/>
  <c r="CW217" i="7"/>
  <c r="CX217" i="7"/>
  <c r="CY217" i="7"/>
  <c r="CZ217" i="7"/>
  <c r="DA217" i="7"/>
  <c r="DB217" i="7"/>
  <c r="DC217" i="7"/>
  <c r="DD217" i="7"/>
  <c r="DE217" i="7"/>
  <c r="DF217" i="7"/>
  <c r="DG217" i="7"/>
  <c r="DH217" i="7"/>
  <c r="DI217" i="7"/>
  <c r="DJ217" i="7"/>
  <c r="DK217" i="7"/>
  <c r="DL217" i="7"/>
  <c r="DM217" i="7"/>
  <c r="DN217" i="7"/>
  <c r="DO217" i="7"/>
  <c r="DP217" i="7"/>
  <c r="DQ217" i="7"/>
  <c r="DR217" i="7"/>
  <c r="DS217" i="7"/>
  <c r="DT217" i="7"/>
  <c r="DU217" i="7"/>
  <c r="DV217" i="7"/>
  <c r="DW217" i="7"/>
  <c r="DX217" i="7"/>
  <c r="DY217" i="7"/>
  <c r="DZ217" i="7"/>
  <c r="EA217" i="7"/>
  <c r="EB217" i="7"/>
  <c r="EC217" i="7"/>
  <c r="ED217" i="7"/>
  <c r="EE217" i="7"/>
  <c r="EF217" i="7"/>
  <c r="EG217" i="7"/>
  <c r="EH217" i="7"/>
  <c r="EI217" i="7"/>
  <c r="EJ217" i="7"/>
  <c r="H218" i="7"/>
  <c r="I218" i="7"/>
  <c r="J218" i="7"/>
  <c r="K218" i="7"/>
  <c r="L218" i="7"/>
  <c r="M218" i="7"/>
  <c r="N218" i="7"/>
  <c r="O218" i="7"/>
  <c r="P218" i="7"/>
  <c r="Q218" i="7"/>
  <c r="R218" i="7"/>
  <c r="S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AJ218" i="7"/>
  <c r="AK218" i="7"/>
  <c r="AL218" i="7"/>
  <c r="AM218" i="7"/>
  <c r="AN218" i="7"/>
  <c r="AO218" i="7"/>
  <c r="AP218" i="7"/>
  <c r="AQ218" i="7"/>
  <c r="AR218" i="7"/>
  <c r="AS218" i="7"/>
  <c r="AT218" i="7"/>
  <c r="AU218" i="7"/>
  <c r="AV218" i="7"/>
  <c r="AW218" i="7"/>
  <c r="AX218" i="7"/>
  <c r="AY218" i="7"/>
  <c r="AZ218" i="7"/>
  <c r="BA218" i="7"/>
  <c r="BB218" i="7"/>
  <c r="BC218" i="7"/>
  <c r="BD218" i="7"/>
  <c r="BE218" i="7"/>
  <c r="BF218" i="7"/>
  <c r="BG218" i="7"/>
  <c r="BH218" i="7"/>
  <c r="BI218" i="7"/>
  <c r="BJ218" i="7"/>
  <c r="BK218" i="7"/>
  <c r="BL218" i="7"/>
  <c r="BM218" i="7"/>
  <c r="BN218" i="7"/>
  <c r="BO218" i="7"/>
  <c r="BP218" i="7"/>
  <c r="BQ218" i="7"/>
  <c r="BR218" i="7"/>
  <c r="BS218" i="7"/>
  <c r="BT218" i="7"/>
  <c r="BU218" i="7"/>
  <c r="BV218" i="7"/>
  <c r="BW218" i="7"/>
  <c r="BX218" i="7"/>
  <c r="BY218" i="7"/>
  <c r="BZ218" i="7"/>
  <c r="CA218" i="7"/>
  <c r="CB218" i="7"/>
  <c r="CC218" i="7"/>
  <c r="CD218" i="7"/>
  <c r="CE218" i="7"/>
  <c r="CF218" i="7"/>
  <c r="CG218" i="7"/>
  <c r="CH218" i="7"/>
  <c r="CI218" i="7"/>
  <c r="CJ218" i="7"/>
  <c r="CK218" i="7"/>
  <c r="CL218" i="7"/>
  <c r="CM218" i="7"/>
  <c r="CN218" i="7"/>
  <c r="CO218" i="7"/>
  <c r="CP218" i="7"/>
  <c r="CQ218" i="7"/>
  <c r="CR218" i="7"/>
  <c r="CS218" i="7"/>
  <c r="CT218" i="7"/>
  <c r="CU218" i="7"/>
  <c r="CV218" i="7"/>
  <c r="CW218" i="7"/>
  <c r="CX218" i="7"/>
  <c r="CY218" i="7"/>
  <c r="CZ218" i="7"/>
  <c r="DA218" i="7"/>
  <c r="DB218" i="7"/>
  <c r="DC218" i="7"/>
  <c r="DD218" i="7"/>
  <c r="DE218" i="7"/>
  <c r="DF218" i="7"/>
  <c r="DG218" i="7"/>
  <c r="DH218" i="7"/>
  <c r="DI218" i="7"/>
  <c r="DJ218" i="7"/>
  <c r="DK218" i="7"/>
  <c r="DL218" i="7"/>
  <c r="DM218" i="7"/>
  <c r="DN218" i="7"/>
  <c r="DO218" i="7"/>
  <c r="DP218" i="7"/>
  <c r="DQ218" i="7"/>
  <c r="DR218" i="7"/>
  <c r="DS218" i="7"/>
  <c r="DT218" i="7"/>
  <c r="DU218" i="7"/>
  <c r="DV218" i="7"/>
  <c r="DW218" i="7"/>
  <c r="DX218" i="7"/>
  <c r="DY218" i="7"/>
  <c r="DZ218" i="7"/>
  <c r="EA218" i="7"/>
  <c r="EB218" i="7"/>
  <c r="EC218" i="7"/>
  <c r="ED218" i="7"/>
  <c r="EE218" i="7"/>
  <c r="EF218" i="7"/>
  <c r="EG218" i="7"/>
  <c r="EH218" i="7"/>
  <c r="EI218" i="7"/>
  <c r="EJ218" i="7"/>
  <c r="H220" i="7"/>
  <c r="I220" i="7"/>
  <c r="J220" i="7"/>
  <c r="K220" i="7"/>
  <c r="L220" i="7"/>
  <c r="M220" i="7"/>
  <c r="N220" i="7"/>
  <c r="O220" i="7"/>
  <c r="P220" i="7"/>
  <c r="Q220" i="7"/>
  <c r="R220" i="7"/>
  <c r="S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AJ220" i="7"/>
  <c r="AK220" i="7"/>
  <c r="AL220" i="7"/>
  <c r="AM220" i="7"/>
  <c r="AN220" i="7"/>
  <c r="AO220" i="7"/>
  <c r="AP220" i="7"/>
  <c r="AQ220" i="7"/>
  <c r="AR220" i="7"/>
  <c r="AS220" i="7"/>
  <c r="AT220" i="7"/>
  <c r="AU220" i="7"/>
  <c r="AV220" i="7"/>
  <c r="AW220" i="7"/>
  <c r="AX220" i="7"/>
  <c r="AY220" i="7"/>
  <c r="AZ220" i="7"/>
  <c r="BA220" i="7"/>
  <c r="BB220" i="7"/>
  <c r="BC220" i="7"/>
  <c r="BD220" i="7"/>
  <c r="BE220" i="7"/>
  <c r="BF220" i="7"/>
  <c r="BG220" i="7"/>
  <c r="BH220" i="7"/>
  <c r="BI220" i="7"/>
  <c r="BJ220" i="7"/>
  <c r="BK220" i="7"/>
  <c r="BL220" i="7"/>
  <c r="BM220" i="7"/>
  <c r="BN220" i="7"/>
  <c r="BO220" i="7"/>
  <c r="BP220" i="7"/>
  <c r="BQ220" i="7"/>
  <c r="BR220" i="7"/>
  <c r="BS220" i="7"/>
  <c r="BT220" i="7"/>
  <c r="BU220" i="7"/>
  <c r="BV220" i="7"/>
  <c r="BW220" i="7"/>
  <c r="BX220" i="7"/>
  <c r="BY220" i="7"/>
  <c r="BZ220" i="7"/>
  <c r="CA220" i="7"/>
  <c r="CB220" i="7"/>
  <c r="CC220" i="7"/>
  <c r="CD220" i="7"/>
  <c r="CE220" i="7"/>
  <c r="CF220" i="7"/>
  <c r="CG220" i="7"/>
  <c r="CH220" i="7"/>
  <c r="CI220" i="7"/>
  <c r="CJ220" i="7"/>
  <c r="CK220" i="7"/>
  <c r="CL220" i="7"/>
  <c r="CM220" i="7"/>
  <c r="CN220" i="7"/>
  <c r="CO220" i="7"/>
  <c r="CP220" i="7"/>
  <c r="CQ220" i="7"/>
  <c r="CR220" i="7"/>
  <c r="CS220" i="7"/>
  <c r="CT220" i="7"/>
  <c r="CU220" i="7"/>
  <c r="CV220" i="7"/>
  <c r="CW220" i="7"/>
  <c r="CX220" i="7"/>
  <c r="CY220" i="7"/>
  <c r="CZ220" i="7"/>
  <c r="DA220" i="7"/>
  <c r="DB220" i="7"/>
  <c r="DC220" i="7"/>
  <c r="DD220" i="7"/>
  <c r="DE220" i="7"/>
  <c r="DF220" i="7"/>
  <c r="DG220" i="7"/>
  <c r="DH220" i="7"/>
  <c r="DI220" i="7"/>
  <c r="DJ220" i="7"/>
  <c r="DK220" i="7"/>
  <c r="DL220" i="7"/>
  <c r="DM220" i="7"/>
  <c r="DN220" i="7"/>
  <c r="DO220" i="7"/>
  <c r="DP220" i="7"/>
  <c r="DQ220" i="7"/>
  <c r="DR220" i="7"/>
  <c r="DS220" i="7"/>
  <c r="DT220" i="7"/>
  <c r="DU220" i="7"/>
  <c r="DV220" i="7"/>
  <c r="DW220" i="7"/>
  <c r="DX220" i="7"/>
  <c r="DY220" i="7"/>
  <c r="DZ220" i="7"/>
  <c r="EA220" i="7"/>
  <c r="EB220" i="7"/>
  <c r="EC220" i="7"/>
  <c r="ED220" i="7"/>
  <c r="EE220" i="7"/>
  <c r="EF220" i="7"/>
  <c r="EG220" i="7"/>
  <c r="EH220" i="7"/>
  <c r="EI220" i="7"/>
  <c r="EJ220" i="7"/>
  <c r="I224" i="7"/>
  <c r="J224" i="7"/>
  <c r="K224" i="7"/>
  <c r="L224" i="7"/>
  <c r="M224" i="7"/>
  <c r="N224" i="7"/>
  <c r="O224" i="7"/>
  <c r="P224" i="7"/>
  <c r="Q224" i="7"/>
  <c r="R224" i="7"/>
  <c r="S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AJ224" i="7"/>
  <c r="AK224" i="7"/>
  <c r="AL224" i="7"/>
  <c r="AM224" i="7"/>
  <c r="AN224" i="7"/>
  <c r="AO224" i="7"/>
  <c r="AP224" i="7"/>
  <c r="AQ224" i="7"/>
  <c r="AR224" i="7"/>
  <c r="AS224" i="7"/>
  <c r="AT224" i="7"/>
  <c r="AU224" i="7"/>
  <c r="AV224" i="7"/>
  <c r="AW224" i="7"/>
  <c r="AX224" i="7"/>
  <c r="AY224" i="7"/>
  <c r="AZ224" i="7"/>
  <c r="BA224" i="7"/>
  <c r="BB224" i="7"/>
  <c r="BC224" i="7"/>
  <c r="BD224" i="7"/>
  <c r="BE224" i="7"/>
  <c r="BF224" i="7"/>
  <c r="BG224" i="7"/>
  <c r="BH224" i="7"/>
  <c r="BI224" i="7"/>
  <c r="BJ224" i="7"/>
  <c r="BK224" i="7"/>
  <c r="BL224" i="7"/>
  <c r="BM224" i="7"/>
  <c r="BN224" i="7"/>
  <c r="BO224" i="7"/>
  <c r="BP224" i="7"/>
  <c r="BQ224" i="7"/>
  <c r="BR224" i="7"/>
  <c r="BS224" i="7"/>
  <c r="BT224" i="7"/>
  <c r="BU224" i="7"/>
  <c r="BV224" i="7"/>
  <c r="BW224" i="7"/>
  <c r="BX224" i="7"/>
  <c r="BY224" i="7"/>
  <c r="BZ224" i="7"/>
  <c r="CA224" i="7"/>
  <c r="CB224" i="7"/>
  <c r="CC224" i="7"/>
  <c r="CD224" i="7"/>
  <c r="CE224" i="7"/>
  <c r="CF224" i="7"/>
  <c r="CG224" i="7"/>
  <c r="CH224" i="7"/>
  <c r="CI224" i="7"/>
  <c r="CJ224" i="7"/>
  <c r="CK224" i="7"/>
  <c r="CL224" i="7"/>
  <c r="CM224" i="7"/>
  <c r="CN224" i="7"/>
  <c r="CO224" i="7"/>
  <c r="CP224" i="7"/>
  <c r="CQ224" i="7"/>
  <c r="CR224" i="7"/>
  <c r="CS224" i="7"/>
  <c r="CT224" i="7"/>
  <c r="CU224" i="7"/>
  <c r="CV224" i="7"/>
  <c r="CW224" i="7"/>
  <c r="CX224" i="7"/>
  <c r="CY224" i="7"/>
  <c r="CZ224" i="7"/>
  <c r="DA224" i="7"/>
  <c r="DB224" i="7"/>
  <c r="DC224" i="7"/>
  <c r="DD224" i="7"/>
  <c r="DE224" i="7"/>
  <c r="DF224" i="7"/>
  <c r="DG224" i="7"/>
  <c r="DH224" i="7"/>
  <c r="DI224" i="7"/>
  <c r="DJ224" i="7"/>
  <c r="DK224" i="7"/>
  <c r="DL224" i="7"/>
  <c r="DM224" i="7"/>
  <c r="DN224" i="7"/>
  <c r="DO224" i="7"/>
  <c r="DP224" i="7"/>
  <c r="DQ224" i="7"/>
  <c r="DR224" i="7"/>
  <c r="DS224" i="7"/>
  <c r="DT224" i="7"/>
  <c r="DU224" i="7"/>
  <c r="DV224" i="7"/>
  <c r="DW224" i="7"/>
  <c r="DX224" i="7"/>
  <c r="DY224" i="7"/>
  <c r="DZ224" i="7"/>
  <c r="EA224" i="7"/>
  <c r="EB224" i="7"/>
  <c r="EC224" i="7"/>
  <c r="ED224" i="7"/>
  <c r="EE224" i="7"/>
  <c r="EF224" i="7"/>
  <c r="EG224" i="7"/>
  <c r="EH224" i="7"/>
  <c r="EI224" i="7"/>
  <c r="EJ224" i="7"/>
  <c r="I225" i="7"/>
  <c r="J225" i="7"/>
  <c r="K225" i="7"/>
  <c r="L225" i="7"/>
  <c r="M225" i="7"/>
  <c r="N225" i="7"/>
  <c r="O225" i="7"/>
  <c r="P225" i="7"/>
  <c r="Q225" i="7"/>
  <c r="R225" i="7"/>
  <c r="S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AJ225" i="7"/>
  <c r="AK225" i="7"/>
  <c r="AL225" i="7"/>
  <c r="AM225" i="7"/>
  <c r="AN225" i="7"/>
  <c r="AO225" i="7"/>
  <c r="AP225" i="7"/>
  <c r="AQ225" i="7"/>
  <c r="AR225" i="7"/>
  <c r="AS225" i="7"/>
  <c r="AT225" i="7"/>
  <c r="AU225" i="7"/>
  <c r="AV225" i="7"/>
  <c r="AW225" i="7"/>
  <c r="AX225" i="7"/>
  <c r="AY225" i="7"/>
  <c r="AZ225" i="7"/>
  <c r="BA225" i="7"/>
  <c r="BB225" i="7"/>
  <c r="BC225" i="7"/>
  <c r="BD225" i="7"/>
  <c r="BE225" i="7"/>
  <c r="BF225" i="7"/>
  <c r="BG225" i="7"/>
  <c r="BH225" i="7"/>
  <c r="BI225" i="7"/>
  <c r="BJ225" i="7"/>
  <c r="BK225" i="7"/>
  <c r="BL225" i="7"/>
  <c r="BM225" i="7"/>
  <c r="BN225" i="7"/>
  <c r="BO225" i="7"/>
  <c r="BP225" i="7"/>
  <c r="BQ225" i="7"/>
  <c r="BR225" i="7"/>
  <c r="BS225" i="7"/>
  <c r="BT225" i="7"/>
  <c r="BU225" i="7"/>
  <c r="BV225" i="7"/>
  <c r="BW225" i="7"/>
  <c r="BX225" i="7"/>
  <c r="BY225" i="7"/>
  <c r="BZ225" i="7"/>
  <c r="CA225" i="7"/>
  <c r="CB225" i="7"/>
  <c r="CC225" i="7"/>
  <c r="CD225" i="7"/>
  <c r="CE225" i="7"/>
  <c r="CF225" i="7"/>
  <c r="CG225" i="7"/>
  <c r="CH225" i="7"/>
  <c r="CI225" i="7"/>
  <c r="CJ225" i="7"/>
  <c r="CK225" i="7"/>
  <c r="CL225" i="7"/>
  <c r="CM225" i="7"/>
  <c r="CN225" i="7"/>
  <c r="CO225" i="7"/>
  <c r="CP225" i="7"/>
  <c r="CQ225" i="7"/>
  <c r="CR225" i="7"/>
  <c r="CS225" i="7"/>
  <c r="CT225" i="7"/>
  <c r="CU225" i="7"/>
  <c r="CV225" i="7"/>
  <c r="CW225" i="7"/>
  <c r="CX225" i="7"/>
  <c r="CY225" i="7"/>
  <c r="CZ225" i="7"/>
  <c r="DA225" i="7"/>
  <c r="DB225" i="7"/>
  <c r="DC225" i="7"/>
  <c r="DD225" i="7"/>
  <c r="DE225" i="7"/>
  <c r="DF225" i="7"/>
  <c r="DG225" i="7"/>
  <c r="DH225" i="7"/>
  <c r="DI225" i="7"/>
  <c r="DJ225" i="7"/>
  <c r="DK225" i="7"/>
  <c r="DL225" i="7"/>
  <c r="DM225" i="7"/>
  <c r="DN225" i="7"/>
  <c r="DO225" i="7"/>
  <c r="DP225" i="7"/>
  <c r="DQ225" i="7"/>
  <c r="DR225" i="7"/>
  <c r="DS225" i="7"/>
  <c r="DT225" i="7"/>
  <c r="DU225" i="7"/>
  <c r="DV225" i="7"/>
  <c r="DW225" i="7"/>
  <c r="DX225" i="7"/>
  <c r="DY225" i="7"/>
  <c r="DZ225" i="7"/>
  <c r="EA225" i="7"/>
  <c r="EB225" i="7"/>
  <c r="EC225" i="7"/>
  <c r="ED225" i="7"/>
  <c r="EE225" i="7"/>
  <c r="EF225" i="7"/>
  <c r="EG225" i="7"/>
  <c r="EH225" i="7"/>
  <c r="EI225" i="7"/>
  <c r="EJ225" i="7"/>
  <c r="I226" i="7"/>
  <c r="J226" i="7"/>
  <c r="K226" i="7"/>
  <c r="L226" i="7"/>
  <c r="M226" i="7"/>
  <c r="N226" i="7"/>
  <c r="O226" i="7"/>
  <c r="P226" i="7"/>
  <c r="Q226" i="7"/>
  <c r="R226" i="7"/>
  <c r="S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AJ226" i="7"/>
  <c r="AK226" i="7"/>
  <c r="AL226" i="7"/>
  <c r="AM226" i="7"/>
  <c r="AN226" i="7"/>
  <c r="AO226" i="7"/>
  <c r="AP226" i="7"/>
  <c r="AQ226" i="7"/>
  <c r="AR226" i="7"/>
  <c r="AS226" i="7"/>
  <c r="AT226" i="7"/>
  <c r="AU226" i="7"/>
  <c r="AV226" i="7"/>
  <c r="AW226" i="7"/>
  <c r="AX226" i="7"/>
  <c r="AY226" i="7"/>
  <c r="AZ226" i="7"/>
  <c r="BA226" i="7"/>
  <c r="BB226" i="7"/>
  <c r="BC226" i="7"/>
  <c r="BD226" i="7"/>
  <c r="BE226" i="7"/>
  <c r="BF226" i="7"/>
  <c r="BG226" i="7"/>
  <c r="BH226" i="7"/>
  <c r="BI226" i="7"/>
  <c r="BJ226" i="7"/>
  <c r="BK226" i="7"/>
  <c r="BL226" i="7"/>
  <c r="BM226" i="7"/>
  <c r="BN226" i="7"/>
  <c r="BO226" i="7"/>
  <c r="BP226" i="7"/>
  <c r="BQ226" i="7"/>
  <c r="BR226" i="7"/>
  <c r="BS226" i="7"/>
  <c r="BT226" i="7"/>
  <c r="BU226" i="7"/>
  <c r="BV226" i="7"/>
  <c r="BW226" i="7"/>
  <c r="BX226" i="7"/>
  <c r="BY226" i="7"/>
  <c r="BZ226" i="7"/>
  <c r="CA226" i="7"/>
  <c r="CB226" i="7"/>
  <c r="CC226" i="7"/>
  <c r="CD226" i="7"/>
  <c r="CE226" i="7"/>
  <c r="CF226" i="7"/>
  <c r="CG226" i="7"/>
  <c r="CH226" i="7"/>
  <c r="CI226" i="7"/>
  <c r="CJ226" i="7"/>
  <c r="CK226" i="7"/>
  <c r="CL226" i="7"/>
  <c r="CM226" i="7"/>
  <c r="CN226" i="7"/>
  <c r="CO226" i="7"/>
  <c r="CP226" i="7"/>
  <c r="CQ226" i="7"/>
  <c r="CR226" i="7"/>
  <c r="CS226" i="7"/>
  <c r="CT226" i="7"/>
  <c r="CU226" i="7"/>
  <c r="CV226" i="7"/>
  <c r="CW226" i="7"/>
  <c r="CX226" i="7"/>
  <c r="CY226" i="7"/>
  <c r="CZ226" i="7"/>
  <c r="DA226" i="7"/>
  <c r="DB226" i="7"/>
  <c r="DC226" i="7"/>
  <c r="DD226" i="7"/>
  <c r="DE226" i="7"/>
  <c r="DF226" i="7"/>
  <c r="DG226" i="7"/>
  <c r="DH226" i="7"/>
  <c r="DI226" i="7"/>
  <c r="DJ226" i="7"/>
  <c r="DK226" i="7"/>
  <c r="DL226" i="7"/>
  <c r="DM226" i="7"/>
  <c r="DN226" i="7"/>
  <c r="DO226" i="7"/>
  <c r="DP226" i="7"/>
  <c r="DQ226" i="7"/>
  <c r="DR226" i="7"/>
  <c r="DS226" i="7"/>
  <c r="DT226" i="7"/>
  <c r="DU226" i="7"/>
  <c r="DV226" i="7"/>
  <c r="DW226" i="7"/>
  <c r="DX226" i="7"/>
  <c r="DY226" i="7"/>
  <c r="DZ226" i="7"/>
  <c r="EA226" i="7"/>
  <c r="EB226" i="7"/>
  <c r="EC226" i="7"/>
  <c r="ED226" i="7"/>
  <c r="EE226" i="7"/>
  <c r="EF226" i="7"/>
  <c r="EG226" i="7"/>
  <c r="EH226" i="7"/>
  <c r="EI226" i="7"/>
  <c r="EJ226" i="7"/>
  <c r="I227" i="7"/>
  <c r="J227" i="7"/>
  <c r="K227" i="7"/>
  <c r="L227" i="7"/>
  <c r="M227" i="7"/>
  <c r="N227" i="7"/>
  <c r="O227" i="7"/>
  <c r="P227" i="7"/>
  <c r="Q227" i="7"/>
  <c r="R227" i="7"/>
  <c r="S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AJ227" i="7"/>
  <c r="AK227" i="7"/>
  <c r="AL227" i="7"/>
  <c r="AM227" i="7"/>
  <c r="AN227" i="7"/>
  <c r="AO227" i="7"/>
  <c r="AP227" i="7"/>
  <c r="AQ227" i="7"/>
  <c r="AR227" i="7"/>
  <c r="AS227" i="7"/>
  <c r="AT227" i="7"/>
  <c r="AU227" i="7"/>
  <c r="AV227" i="7"/>
  <c r="AW227" i="7"/>
  <c r="AX227" i="7"/>
  <c r="AY227" i="7"/>
  <c r="AZ227" i="7"/>
  <c r="BA227" i="7"/>
  <c r="BB227" i="7"/>
  <c r="BC227" i="7"/>
  <c r="BD227" i="7"/>
  <c r="BE227" i="7"/>
  <c r="BF227" i="7"/>
  <c r="BG227" i="7"/>
  <c r="BH227" i="7"/>
  <c r="BI227" i="7"/>
  <c r="BJ227" i="7"/>
  <c r="BK227" i="7"/>
  <c r="BL227" i="7"/>
  <c r="BM227" i="7"/>
  <c r="BN227" i="7"/>
  <c r="BO227" i="7"/>
  <c r="BP227" i="7"/>
  <c r="BQ227" i="7"/>
  <c r="BR227" i="7"/>
  <c r="BS227" i="7"/>
  <c r="BT227" i="7"/>
  <c r="BU227" i="7"/>
  <c r="BV227" i="7"/>
  <c r="BW227" i="7"/>
  <c r="BX227" i="7"/>
  <c r="BY227" i="7"/>
  <c r="BZ227" i="7"/>
  <c r="CA227" i="7"/>
  <c r="CB227" i="7"/>
  <c r="CC227" i="7"/>
  <c r="CD227" i="7"/>
  <c r="CE227" i="7"/>
  <c r="CF227" i="7"/>
  <c r="CG227" i="7"/>
  <c r="CH227" i="7"/>
  <c r="CI227" i="7"/>
  <c r="CJ227" i="7"/>
  <c r="CK227" i="7"/>
  <c r="CL227" i="7"/>
  <c r="CM227" i="7"/>
  <c r="CN227" i="7"/>
  <c r="CO227" i="7"/>
  <c r="CP227" i="7"/>
  <c r="CQ227" i="7"/>
  <c r="CR227" i="7"/>
  <c r="CS227" i="7"/>
  <c r="CT227" i="7"/>
  <c r="CU227" i="7"/>
  <c r="CV227" i="7"/>
  <c r="CW227" i="7"/>
  <c r="CX227" i="7"/>
  <c r="CY227" i="7"/>
  <c r="CZ227" i="7"/>
  <c r="DA227" i="7"/>
  <c r="DB227" i="7"/>
  <c r="DC227" i="7"/>
  <c r="DD227" i="7"/>
  <c r="DE227" i="7"/>
  <c r="DF227" i="7"/>
  <c r="DG227" i="7"/>
  <c r="DH227" i="7"/>
  <c r="DI227" i="7"/>
  <c r="DJ227" i="7"/>
  <c r="DK227" i="7"/>
  <c r="DL227" i="7"/>
  <c r="DM227" i="7"/>
  <c r="DN227" i="7"/>
  <c r="DO227" i="7"/>
  <c r="DP227" i="7"/>
  <c r="DQ227" i="7"/>
  <c r="DR227" i="7"/>
  <c r="DS227" i="7"/>
  <c r="DT227" i="7"/>
  <c r="DU227" i="7"/>
  <c r="DV227" i="7"/>
  <c r="DW227" i="7"/>
  <c r="DX227" i="7"/>
  <c r="DY227" i="7"/>
  <c r="DZ227" i="7"/>
  <c r="EA227" i="7"/>
  <c r="EB227" i="7"/>
  <c r="EC227" i="7"/>
  <c r="ED227" i="7"/>
  <c r="EE227" i="7"/>
  <c r="EF227" i="7"/>
  <c r="EG227" i="7"/>
  <c r="EH227" i="7"/>
  <c r="EI227" i="7"/>
  <c r="EJ227" i="7"/>
  <c r="H228" i="7"/>
  <c r="I228" i="7"/>
  <c r="J228" i="7"/>
  <c r="K228" i="7"/>
  <c r="L228" i="7"/>
  <c r="M228" i="7"/>
  <c r="N228" i="7"/>
  <c r="O228" i="7"/>
  <c r="P228" i="7"/>
  <c r="Q228" i="7"/>
  <c r="R228" i="7"/>
  <c r="S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AJ228" i="7"/>
  <c r="AK228" i="7"/>
  <c r="AL228" i="7"/>
  <c r="AM228" i="7"/>
  <c r="AN228" i="7"/>
  <c r="AO228" i="7"/>
  <c r="AP228" i="7"/>
  <c r="AQ228" i="7"/>
  <c r="AR228" i="7"/>
  <c r="AS228" i="7"/>
  <c r="AT228" i="7"/>
  <c r="AU228" i="7"/>
  <c r="AV228" i="7"/>
  <c r="AW228" i="7"/>
  <c r="AX228" i="7"/>
  <c r="AY228" i="7"/>
  <c r="AZ228" i="7"/>
  <c r="BA228" i="7"/>
  <c r="BB228" i="7"/>
  <c r="BC228" i="7"/>
  <c r="BD228" i="7"/>
  <c r="BE228" i="7"/>
  <c r="BF228" i="7"/>
  <c r="BG228" i="7"/>
  <c r="BH228" i="7"/>
  <c r="BI228" i="7"/>
  <c r="BJ228" i="7"/>
  <c r="BK228" i="7"/>
  <c r="BL228" i="7"/>
  <c r="BM228" i="7"/>
  <c r="BN228" i="7"/>
  <c r="BO228" i="7"/>
  <c r="BP228" i="7"/>
  <c r="BQ228" i="7"/>
  <c r="BR228" i="7"/>
  <c r="BS228" i="7"/>
  <c r="BT228" i="7"/>
  <c r="BU228" i="7"/>
  <c r="BV228" i="7"/>
  <c r="BW228" i="7"/>
  <c r="BX228" i="7"/>
  <c r="BY228" i="7"/>
  <c r="BZ228" i="7"/>
  <c r="CA228" i="7"/>
  <c r="CB228" i="7"/>
  <c r="CC228" i="7"/>
  <c r="CD228" i="7"/>
  <c r="CE228" i="7"/>
  <c r="CF228" i="7"/>
  <c r="CG228" i="7"/>
  <c r="CH228" i="7"/>
  <c r="CI228" i="7"/>
  <c r="CJ228" i="7"/>
  <c r="CK228" i="7"/>
  <c r="CL228" i="7"/>
  <c r="CM228" i="7"/>
  <c r="CN228" i="7"/>
  <c r="CO228" i="7"/>
  <c r="CP228" i="7"/>
  <c r="CQ228" i="7"/>
  <c r="CR228" i="7"/>
  <c r="CS228" i="7"/>
  <c r="CT228" i="7"/>
  <c r="CU228" i="7"/>
  <c r="CV228" i="7"/>
  <c r="CW228" i="7"/>
  <c r="CX228" i="7"/>
  <c r="CY228" i="7"/>
  <c r="CZ228" i="7"/>
  <c r="DA228" i="7"/>
  <c r="DB228" i="7"/>
  <c r="DC228" i="7"/>
  <c r="DD228" i="7"/>
  <c r="DE228" i="7"/>
  <c r="DF228" i="7"/>
  <c r="DG228" i="7"/>
  <c r="DH228" i="7"/>
  <c r="DI228" i="7"/>
  <c r="DJ228" i="7"/>
  <c r="DK228" i="7"/>
  <c r="DL228" i="7"/>
  <c r="DM228" i="7"/>
  <c r="DN228" i="7"/>
  <c r="DO228" i="7"/>
  <c r="DP228" i="7"/>
  <c r="DQ228" i="7"/>
  <c r="DR228" i="7"/>
  <c r="DS228" i="7"/>
  <c r="DT228" i="7"/>
  <c r="DU228" i="7"/>
  <c r="DV228" i="7"/>
  <c r="DW228" i="7"/>
  <c r="DX228" i="7"/>
  <c r="DY228" i="7"/>
  <c r="DZ228" i="7"/>
  <c r="EA228" i="7"/>
  <c r="EB228" i="7"/>
  <c r="EC228" i="7"/>
  <c r="ED228" i="7"/>
  <c r="EE228" i="7"/>
  <c r="EF228" i="7"/>
  <c r="EG228" i="7"/>
  <c r="EH228" i="7"/>
  <c r="EI228" i="7"/>
  <c r="EJ228" i="7"/>
  <c r="H229" i="7"/>
  <c r="I229" i="7"/>
  <c r="J229" i="7"/>
  <c r="K229" i="7"/>
  <c r="L229" i="7"/>
  <c r="M229" i="7"/>
  <c r="N229" i="7"/>
  <c r="O229" i="7"/>
  <c r="P229" i="7"/>
  <c r="Q229" i="7"/>
  <c r="R229" i="7"/>
  <c r="S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AJ229" i="7"/>
  <c r="AK229" i="7"/>
  <c r="AL229" i="7"/>
  <c r="AM229" i="7"/>
  <c r="AN229" i="7"/>
  <c r="AO229" i="7"/>
  <c r="AP229" i="7"/>
  <c r="AQ229" i="7"/>
  <c r="AR229" i="7"/>
  <c r="AS229" i="7"/>
  <c r="AT229" i="7"/>
  <c r="AU229" i="7"/>
  <c r="AV229" i="7"/>
  <c r="AW229" i="7"/>
  <c r="AX229" i="7"/>
  <c r="AY229" i="7"/>
  <c r="AZ229" i="7"/>
  <c r="BA229" i="7"/>
  <c r="BB229" i="7"/>
  <c r="BC229" i="7"/>
  <c r="BD229" i="7"/>
  <c r="BE229" i="7"/>
  <c r="BF229" i="7"/>
  <c r="BG229" i="7"/>
  <c r="BH229" i="7"/>
  <c r="BI229" i="7"/>
  <c r="BJ229" i="7"/>
  <c r="BK229" i="7"/>
  <c r="BL229" i="7"/>
  <c r="BM229" i="7"/>
  <c r="BN229" i="7"/>
  <c r="BO229" i="7"/>
  <c r="BP229" i="7"/>
  <c r="BQ229" i="7"/>
  <c r="BR229" i="7"/>
  <c r="BS229" i="7"/>
  <c r="BT229" i="7"/>
  <c r="BU229" i="7"/>
  <c r="BV229" i="7"/>
  <c r="BW229" i="7"/>
  <c r="BX229" i="7"/>
  <c r="BY229" i="7"/>
  <c r="BZ229" i="7"/>
  <c r="CA229" i="7"/>
  <c r="CB229" i="7"/>
  <c r="CC229" i="7"/>
  <c r="CD229" i="7"/>
  <c r="CE229" i="7"/>
  <c r="CF229" i="7"/>
  <c r="CG229" i="7"/>
  <c r="CH229" i="7"/>
  <c r="CI229" i="7"/>
  <c r="CJ229" i="7"/>
  <c r="CK229" i="7"/>
  <c r="CL229" i="7"/>
  <c r="CM229" i="7"/>
  <c r="CN229" i="7"/>
  <c r="CO229" i="7"/>
  <c r="CP229" i="7"/>
  <c r="CQ229" i="7"/>
  <c r="CR229" i="7"/>
  <c r="CS229" i="7"/>
  <c r="CT229" i="7"/>
  <c r="CU229" i="7"/>
  <c r="CV229" i="7"/>
  <c r="CW229" i="7"/>
  <c r="CX229" i="7"/>
  <c r="CY229" i="7"/>
  <c r="CZ229" i="7"/>
  <c r="DA229" i="7"/>
  <c r="DB229" i="7"/>
  <c r="DC229" i="7"/>
  <c r="DD229" i="7"/>
  <c r="DE229" i="7"/>
  <c r="DF229" i="7"/>
  <c r="DG229" i="7"/>
  <c r="DH229" i="7"/>
  <c r="DI229" i="7"/>
  <c r="DJ229" i="7"/>
  <c r="DK229" i="7"/>
  <c r="DL229" i="7"/>
  <c r="DM229" i="7"/>
  <c r="DN229" i="7"/>
  <c r="DO229" i="7"/>
  <c r="DP229" i="7"/>
  <c r="DQ229" i="7"/>
  <c r="DR229" i="7"/>
  <c r="DS229" i="7"/>
  <c r="DT229" i="7"/>
  <c r="DU229" i="7"/>
  <c r="DV229" i="7"/>
  <c r="DW229" i="7"/>
  <c r="DX229" i="7"/>
  <c r="DY229" i="7"/>
  <c r="DZ229" i="7"/>
  <c r="EA229" i="7"/>
  <c r="EB229" i="7"/>
  <c r="EC229" i="7"/>
  <c r="ED229" i="7"/>
  <c r="EE229" i="7"/>
  <c r="EF229" i="7"/>
  <c r="EG229" i="7"/>
  <c r="EH229" i="7"/>
  <c r="EI229" i="7"/>
  <c r="EJ229" i="7"/>
  <c r="H231" i="7"/>
  <c r="I231" i="7"/>
  <c r="J231" i="7"/>
  <c r="K231" i="7"/>
  <c r="L231" i="7"/>
  <c r="M231" i="7"/>
  <c r="N231" i="7"/>
  <c r="O231" i="7"/>
  <c r="P231" i="7"/>
  <c r="Q231" i="7"/>
  <c r="R231" i="7"/>
  <c r="S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AJ231" i="7"/>
  <c r="AK231" i="7"/>
  <c r="AL231" i="7"/>
  <c r="AM231" i="7"/>
  <c r="AN231" i="7"/>
  <c r="AO231" i="7"/>
  <c r="AP231" i="7"/>
  <c r="AQ231" i="7"/>
  <c r="AR231" i="7"/>
  <c r="AS231" i="7"/>
  <c r="AT231" i="7"/>
  <c r="AU231" i="7"/>
  <c r="AV231" i="7"/>
  <c r="AW231" i="7"/>
  <c r="AX231" i="7"/>
  <c r="AY231" i="7"/>
  <c r="AZ231" i="7"/>
  <c r="BA231" i="7"/>
  <c r="BB231" i="7"/>
  <c r="BC231" i="7"/>
  <c r="BD231" i="7"/>
  <c r="BE231" i="7"/>
  <c r="BF231" i="7"/>
  <c r="BG231" i="7"/>
  <c r="BH231" i="7"/>
  <c r="BI231" i="7"/>
  <c r="BJ231" i="7"/>
  <c r="BK231" i="7"/>
  <c r="BL231" i="7"/>
  <c r="BM231" i="7"/>
  <c r="BN231" i="7"/>
  <c r="BO231" i="7"/>
  <c r="BP231" i="7"/>
  <c r="BQ231" i="7"/>
  <c r="BR231" i="7"/>
  <c r="BS231" i="7"/>
  <c r="BT231" i="7"/>
  <c r="BU231" i="7"/>
  <c r="BV231" i="7"/>
  <c r="BW231" i="7"/>
  <c r="BX231" i="7"/>
  <c r="BY231" i="7"/>
  <c r="BZ231" i="7"/>
  <c r="CA231" i="7"/>
  <c r="CB231" i="7"/>
  <c r="CC231" i="7"/>
  <c r="CD231" i="7"/>
  <c r="CE231" i="7"/>
  <c r="CF231" i="7"/>
  <c r="CG231" i="7"/>
  <c r="CH231" i="7"/>
  <c r="CI231" i="7"/>
  <c r="CJ231" i="7"/>
  <c r="CK231" i="7"/>
  <c r="CL231" i="7"/>
  <c r="CM231" i="7"/>
  <c r="CN231" i="7"/>
  <c r="CO231" i="7"/>
  <c r="CP231" i="7"/>
  <c r="CQ231" i="7"/>
  <c r="CR231" i="7"/>
  <c r="CS231" i="7"/>
  <c r="CT231" i="7"/>
  <c r="CU231" i="7"/>
  <c r="CV231" i="7"/>
  <c r="CW231" i="7"/>
  <c r="CX231" i="7"/>
  <c r="CY231" i="7"/>
  <c r="CZ231" i="7"/>
  <c r="DA231" i="7"/>
  <c r="DB231" i="7"/>
  <c r="DC231" i="7"/>
  <c r="DD231" i="7"/>
  <c r="DE231" i="7"/>
  <c r="DF231" i="7"/>
  <c r="DG231" i="7"/>
  <c r="DH231" i="7"/>
  <c r="DI231" i="7"/>
  <c r="DJ231" i="7"/>
  <c r="DK231" i="7"/>
  <c r="DL231" i="7"/>
  <c r="DM231" i="7"/>
  <c r="DN231" i="7"/>
  <c r="DO231" i="7"/>
  <c r="DP231" i="7"/>
  <c r="DQ231" i="7"/>
  <c r="DR231" i="7"/>
  <c r="DS231" i="7"/>
  <c r="DT231" i="7"/>
  <c r="DU231" i="7"/>
  <c r="DV231" i="7"/>
  <c r="DW231" i="7"/>
  <c r="DX231" i="7"/>
  <c r="DY231" i="7"/>
  <c r="DZ231" i="7"/>
  <c r="EA231" i="7"/>
  <c r="EB231" i="7"/>
  <c r="EC231" i="7"/>
  <c r="ED231" i="7"/>
  <c r="EE231" i="7"/>
  <c r="EF231" i="7"/>
  <c r="EG231" i="7"/>
  <c r="EH231" i="7"/>
  <c r="EI231" i="7"/>
  <c r="EJ231" i="7"/>
  <c r="H232" i="7"/>
  <c r="I232" i="7"/>
  <c r="J232" i="7"/>
  <c r="K232" i="7"/>
  <c r="L232" i="7"/>
  <c r="M232" i="7"/>
  <c r="N232" i="7"/>
  <c r="O232" i="7"/>
  <c r="P232" i="7"/>
  <c r="Q232" i="7"/>
  <c r="R232" i="7"/>
  <c r="S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AJ232" i="7"/>
  <c r="AK232" i="7"/>
  <c r="AL232" i="7"/>
  <c r="AM232" i="7"/>
  <c r="AN232" i="7"/>
  <c r="AO232" i="7"/>
  <c r="AP232" i="7"/>
  <c r="AQ232" i="7"/>
  <c r="AR232" i="7"/>
  <c r="AS232" i="7"/>
  <c r="AT232" i="7"/>
  <c r="AU232" i="7"/>
  <c r="AV232" i="7"/>
  <c r="AW232" i="7"/>
  <c r="AX232" i="7"/>
  <c r="AY232" i="7"/>
  <c r="AZ232" i="7"/>
  <c r="BA232" i="7"/>
  <c r="BB232" i="7"/>
  <c r="BC232" i="7"/>
  <c r="BD232" i="7"/>
  <c r="BE232" i="7"/>
  <c r="BF232" i="7"/>
  <c r="BG232" i="7"/>
  <c r="BH232" i="7"/>
  <c r="BI232" i="7"/>
  <c r="BJ232" i="7"/>
  <c r="BK232" i="7"/>
  <c r="BL232" i="7"/>
  <c r="BM232" i="7"/>
  <c r="BN232" i="7"/>
  <c r="BO232" i="7"/>
  <c r="BP232" i="7"/>
  <c r="BQ232" i="7"/>
  <c r="BR232" i="7"/>
  <c r="BS232" i="7"/>
  <c r="BT232" i="7"/>
  <c r="BU232" i="7"/>
  <c r="BV232" i="7"/>
  <c r="BW232" i="7"/>
  <c r="BX232" i="7"/>
  <c r="BY232" i="7"/>
  <c r="BZ232" i="7"/>
  <c r="CA232" i="7"/>
  <c r="CB232" i="7"/>
  <c r="CC232" i="7"/>
  <c r="CD232" i="7"/>
  <c r="CE232" i="7"/>
  <c r="CF232" i="7"/>
  <c r="CG232" i="7"/>
  <c r="CH232" i="7"/>
  <c r="CI232" i="7"/>
  <c r="CJ232" i="7"/>
  <c r="CK232" i="7"/>
  <c r="CL232" i="7"/>
  <c r="CM232" i="7"/>
  <c r="CN232" i="7"/>
  <c r="CO232" i="7"/>
  <c r="CP232" i="7"/>
  <c r="CQ232" i="7"/>
  <c r="CR232" i="7"/>
  <c r="CS232" i="7"/>
  <c r="CT232" i="7"/>
  <c r="CU232" i="7"/>
  <c r="CV232" i="7"/>
  <c r="CW232" i="7"/>
  <c r="CX232" i="7"/>
  <c r="CY232" i="7"/>
  <c r="CZ232" i="7"/>
  <c r="DA232" i="7"/>
  <c r="DB232" i="7"/>
  <c r="DC232" i="7"/>
  <c r="DD232" i="7"/>
  <c r="DE232" i="7"/>
  <c r="DF232" i="7"/>
  <c r="DG232" i="7"/>
  <c r="DH232" i="7"/>
  <c r="DI232" i="7"/>
  <c r="DJ232" i="7"/>
  <c r="DK232" i="7"/>
  <c r="DL232" i="7"/>
  <c r="DM232" i="7"/>
  <c r="DN232" i="7"/>
  <c r="DO232" i="7"/>
  <c r="DP232" i="7"/>
  <c r="DQ232" i="7"/>
  <c r="DR232" i="7"/>
  <c r="DS232" i="7"/>
  <c r="DT232" i="7"/>
  <c r="DU232" i="7"/>
  <c r="DV232" i="7"/>
  <c r="DW232" i="7"/>
  <c r="DX232" i="7"/>
  <c r="DY232" i="7"/>
  <c r="DZ232" i="7"/>
  <c r="EA232" i="7"/>
  <c r="EB232" i="7"/>
  <c r="EC232" i="7"/>
  <c r="ED232" i="7"/>
  <c r="EE232" i="7"/>
  <c r="EF232" i="7"/>
  <c r="EG232" i="7"/>
  <c r="EH232" i="7"/>
  <c r="EI232" i="7"/>
  <c r="EJ232" i="7"/>
  <c r="H233" i="7"/>
  <c r="I233" i="7"/>
  <c r="J233" i="7"/>
  <c r="K233" i="7"/>
  <c r="L233" i="7"/>
  <c r="M233" i="7"/>
  <c r="N233" i="7"/>
  <c r="O233" i="7"/>
  <c r="P233" i="7"/>
  <c r="Q233" i="7"/>
  <c r="R233" i="7"/>
  <c r="S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AJ233" i="7"/>
  <c r="AK233" i="7"/>
  <c r="AL233" i="7"/>
  <c r="AM233" i="7"/>
  <c r="AN233" i="7"/>
  <c r="AO233" i="7"/>
  <c r="AP233" i="7"/>
  <c r="AQ233" i="7"/>
  <c r="AR233" i="7"/>
  <c r="AS233" i="7"/>
  <c r="AT233" i="7"/>
  <c r="AU233" i="7"/>
  <c r="AV233" i="7"/>
  <c r="AW233" i="7"/>
  <c r="AX233" i="7"/>
  <c r="AY233" i="7"/>
  <c r="AZ233" i="7"/>
  <c r="BA233" i="7"/>
  <c r="BB233" i="7"/>
  <c r="BC233" i="7"/>
  <c r="BD233" i="7"/>
  <c r="BE233" i="7"/>
  <c r="BF233" i="7"/>
  <c r="BG233" i="7"/>
  <c r="BH233" i="7"/>
  <c r="BI233" i="7"/>
  <c r="BJ233" i="7"/>
  <c r="BK233" i="7"/>
  <c r="BL233" i="7"/>
  <c r="BM233" i="7"/>
  <c r="BN233" i="7"/>
  <c r="BO233" i="7"/>
  <c r="BP233" i="7"/>
  <c r="BQ233" i="7"/>
  <c r="BR233" i="7"/>
  <c r="BS233" i="7"/>
  <c r="BT233" i="7"/>
  <c r="BU233" i="7"/>
  <c r="BV233" i="7"/>
  <c r="BW233" i="7"/>
  <c r="BX233" i="7"/>
  <c r="BY233" i="7"/>
  <c r="BZ233" i="7"/>
  <c r="CA233" i="7"/>
  <c r="CB233" i="7"/>
  <c r="CC233" i="7"/>
  <c r="CD233" i="7"/>
  <c r="CE233" i="7"/>
  <c r="CF233" i="7"/>
  <c r="CG233" i="7"/>
  <c r="CH233" i="7"/>
  <c r="CI233" i="7"/>
  <c r="CJ233" i="7"/>
  <c r="CK233" i="7"/>
  <c r="CL233" i="7"/>
  <c r="CM233" i="7"/>
  <c r="CN233" i="7"/>
  <c r="CO233" i="7"/>
  <c r="CP233" i="7"/>
  <c r="CQ233" i="7"/>
  <c r="CR233" i="7"/>
  <c r="CS233" i="7"/>
  <c r="CT233" i="7"/>
  <c r="CU233" i="7"/>
  <c r="CV233" i="7"/>
  <c r="CW233" i="7"/>
  <c r="CX233" i="7"/>
  <c r="CY233" i="7"/>
  <c r="CZ233" i="7"/>
  <c r="DA233" i="7"/>
  <c r="DB233" i="7"/>
  <c r="DC233" i="7"/>
  <c r="DD233" i="7"/>
  <c r="DE233" i="7"/>
  <c r="DF233" i="7"/>
  <c r="DG233" i="7"/>
  <c r="DH233" i="7"/>
  <c r="DI233" i="7"/>
  <c r="DJ233" i="7"/>
  <c r="DK233" i="7"/>
  <c r="DL233" i="7"/>
  <c r="DM233" i="7"/>
  <c r="DN233" i="7"/>
  <c r="DO233" i="7"/>
  <c r="DP233" i="7"/>
  <c r="DQ233" i="7"/>
  <c r="DR233" i="7"/>
  <c r="DS233" i="7"/>
  <c r="DT233" i="7"/>
  <c r="DU233" i="7"/>
  <c r="DV233" i="7"/>
  <c r="DW233" i="7"/>
  <c r="DX233" i="7"/>
  <c r="DY233" i="7"/>
  <c r="DZ233" i="7"/>
  <c r="EA233" i="7"/>
  <c r="EB233" i="7"/>
  <c r="EC233" i="7"/>
  <c r="ED233" i="7"/>
  <c r="EE233" i="7"/>
  <c r="EF233" i="7"/>
  <c r="EG233" i="7"/>
  <c r="EH233" i="7"/>
  <c r="EI233" i="7"/>
  <c r="EJ233" i="7"/>
  <c r="C235" i="7"/>
  <c r="H235" i="7"/>
  <c r="I235" i="7"/>
  <c r="J235" i="7"/>
  <c r="K235" i="7"/>
  <c r="L235" i="7"/>
  <c r="M235" i="7"/>
  <c r="N235" i="7"/>
  <c r="O235" i="7"/>
  <c r="P235" i="7"/>
  <c r="Q235" i="7"/>
  <c r="R235" i="7"/>
  <c r="S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AJ235" i="7"/>
  <c r="AK235" i="7"/>
  <c r="AL235" i="7"/>
  <c r="AM235" i="7"/>
  <c r="AN235" i="7"/>
  <c r="AO235" i="7"/>
  <c r="AP235" i="7"/>
  <c r="AQ235" i="7"/>
  <c r="AR235" i="7"/>
  <c r="AS235" i="7"/>
  <c r="AT235" i="7"/>
  <c r="AU235" i="7"/>
  <c r="AV235" i="7"/>
  <c r="AW235" i="7"/>
  <c r="AX235" i="7"/>
  <c r="AY235" i="7"/>
  <c r="AZ235" i="7"/>
  <c r="BA235" i="7"/>
  <c r="BB235" i="7"/>
  <c r="BC235" i="7"/>
  <c r="BD235" i="7"/>
  <c r="BE235" i="7"/>
  <c r="BF235" i="7"/>
  <c r="BG235" i="7"/>
  <c r="BH235" i="7"/>
  <c r="BI235" i="7"/>
  <c r="BJ235" i="7"/>
  <c r="BK235" i="7"/>
  <c r="BL235" i="7"/>
  <c r="BM235" i="7"/>
  <c r="BN235" i="7"/>
  <c r="BO235" i="7"/>
  <c r="BP235" i="7"/>
  <c r="BQ235" i="7"/>
  <c r="BR235" i="7"/>
  <c r="BS235" i="7"/>
  <c r="BT235" i="7"/>
  <c r="BU235" i="7"/>
  <c r="BV235" i="7"/>
  <c r="BW235" i="7"/>
  <c r="BX235" i="7"/>
  <c r="BY235" i="7"/>
  <c r="BZ235" i="7"/>
  <c r="CA235" i="7"/>
  <c r="CB235" i="7"/>
  <c r="CC235" i="7"/>
  <c r="CD235" i="7"/>
  <c r="CE235" i="7"/>
  <c r="CF235" i="7"/>
  <c r="CG235" i="7"/>
  <c r="CH235" i="7"/>
  <c r="CI235" i="7"/>
  <c r="CJ235" i="7"/>
  <c r="CK235" i="7"/>
  <c r="CL235" i="7"/>
  <c r="CM235" i="7"/>
  <c r="CN235" i="7"/>
  <c r="CO235" i="7"/>
  <c r="CP235" i="7"/>
  <c r="CQ235" i="7"/>
  <c r="CR235" i="7"/>
  <c r="CS235" i="7"/>
  <c r="CT235" i="7"/>
  <c r="CU235" i="7"/>
  <c r="CV235" i="7"/>
  <c r="CW235" i="7"/>
  <c r="CX235" i="7"/>
  <c r="CY235" i="7"/>
  <c r="CZ235" i="7"/>
  <c r="DA235" i="7"/>
  <c r="DB235" i="7"/>
  <c r="DC235" i="7"/>
  <c r="DD235" i="7"/>
  <c r="DE235" i="7"/>
  <c r="DF235" i="7"/>
  <c r="DG235" i="7"/>
  <c r="DH235" i="7"/>
  <c r="DI235" i="7"/>
  <c r="DJ235" i="7"/>
  <c r="DK235" i="7"/>
  <c r="DL235" i="7"/>
  <c r="DM235" i="7"/>
  <c r="DN235" i="7"/>
  <c r="DO235" i="7"/>
  <c r="DP235" i="7"/>
  <c r="DQ235" i="7"/>
  <c r="DR235" i="7"/>
  <c r="DS235" i="7"/>
  <c r="DT235" i="7"/>
  <c r="DU235" i="7"/>
  <c r="DV235" i="7"/>
  <c r="DW235" i="7"/>
  <c r="DX235" i="7"/>
  <c r="DY235" i="7"/>
  <c r="DZ235" i="7"/>
  <c r="EA235" i="7"/>
  <c r="EB235" i="7"/>
  <c r="EC235" i="7"/>
  <c r="ED235" i="7"/>
  <c r="EE235" i="7"/>
  <c r="EF235" i="7"/>
  <c r="EG235" i="7"/>
  <c r="EH235" i="7"/>
  <c r="EI235" i="7"/>
  <c r="EJ235" i="7"/>
  <c r="C236" i="7"/>
  <c r="H236" i="7"/>
  <c r="I236" i="7"/>
  <c r="J236" i="7"/>
  <c r="K236" i="7"/>
  <c r="L236" i="7"/>
  <c r="M236" i="7"/>
  <c r="N236" i="7"/>
  <c r="O236" i="7"/>
  <c r="P236" i="7"/>
  <c r="Q236" i="7"/>
  <c r="R236" i="7"/>
  <c r="S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AJ236" i="7"/>
  <c r="AK236" i="7"/>
  <c r="AL236" i="7"/>
  <c r="AM236" i="7"/>
  <c r="AN236" i="7"/>
  <c r="AO236" i="7"/>
  <c r="AP236" i="7"/>
  <c r="AQ236" i="7"/>
  <c r="AR236" i="7"/>
  <c r="AS236" i="7"/>
  <c r="AT236" i="7"/>
  <c r="AU236" i="7"/>
  <c r="AV236" i="7"/>
  <c r="AW236" i="7"/>
  <c r="AX236" i="7"/>
  <c r="AY236" i="7"/>
  <c r="AZ236" i="7"/>
  <c r="BA236" i="7"/>
  <c r="BB236" i="7"/>
  <c r="BC236" i="7"/>
  <c r="BD236" i="7"/>
  <c r="BE236" i="7"/>
  <c r="BF236" i="7"/>
  <c r="BG236" i="7"/>
  <c r="BH236" i="7"/>
  <c r="BI236" i="7"/>
  <c r="BJ236" i="7"/>
  <c r="BK236" i="7"/>
  <c r="BL236" i="7"/>
  <c r="BM236" i="7"/>
  <c r="BN236" i="7"/>
  <c r="BO236" i="7"/>
  <c r="BP236" i="7"/>
  <c r="BQ236" i="7"/>
  <c r="BR236" i="7"/>
  <c r="BS236" i="7"/>
  <c r="BT236" i="7"/>
  <c r="BU236" i="7"/>
  <c r="BV236" i="7"/>
  <c r="BW236" i="7"/>
  <c r="BX236" i="7"/>
  <c r="BY236" i="7"/>
  <c r="BZ236" i="7"/>
  <c r="CA236" i="7"/>
  <c r="CB236" i="7"/>
  <c r="CC236" i="7"/>
  <c r="CD236" i="7"/>
  <c r="CE236" i="7"/>
  <c r="CF236" i="7"/>
  <c r="CG236" i="7"/>
  <c r="CH236" i="7"/>
  <c r="CI236" i="7"/>
  <c r="CJ236" i="7"/>
  <c r="CK236" i="7"/>
  <c r="CL236" i="7"/>
  <c r="CM236" i="7"/>
  <c r="CN236" i="7"/>
  <c r="CO236" i="7"/>
  <c r="CP236" i="7"/>
  <c r="CQ236" i="7"/>
  <c r="CR236" i="7"/>
  <c r="CS236" i="7"/>
  <c r="CT236" i="7"/>
  <c r="CU236" i="7"/>
  <c r="CV236" i="7"/>
  <c r="CW236" i="7"/>
  <c r="CX236" i="7"/>
  <c r="CY236" i="7"/>
  <c r="CZ236" i="7"/>
  <c r="DA236" i="7"/>
  <c r="DB236" i="7"/>
  <c r="DC236" i="7"/>
  <c r="DD236" i="7"/>
  <c r="DE236" i="7"/>
  <c r="DF236" i="7"/>
  <c r="DG236" i="7"/>
  <c r="DH236" i="7"/>
  <c r="DI236" i="7"/>
  <c r="DJ236" i="7"/>
  <c r="DK236" i="7"/>
  <c r="DL236" i="7"/>
  <c r="DM236" i="7"/>
  <c r="DN236" i="7"/>
  <c r="DO236" i="7"/>
  <c r="DP236" i="7"/>
  <c r="DQ236" i="7"/>
  <c r="DR236" i="7"/>
  <c r="DS236" i="7"/>
  <c r="DT236" i="7"/>
  <c r="DU236" i="7"/>
  <c r="DV236" i="7"/>
  <c r="DW236" i="7"/>
  <c r="DX236" i="7"/>
  <c r="DY236" i="7"/>
  <c r="DZ236" i="7"/>
  <c r="EA236" i="7"/>
  <c r="EB236" i="7"/>
  <c r="EC236" i="7"/>
  <c r="ED236" i="7"/>
  <c r="EE236" i="7"/>
  <c r="EF236" i="7"/>
  <c r="EG236" i="7"/>
  <c r="EH236" i="7"/>
  <c r="EI236" i="7"/>
  <c r="EJ236" i="7"/>
  <c r="H237" i="7"/>
  <c r="I237" i="7"/>
  <c r="J237" i="7"/>
  <c r="K237" i="7"/>
  <c r="L237" i="7"/>
  <c r="M237" i="7"/>
  <c r="N237" i="7"/>
  <c r="O237" i="7"/>
  <c r="P237" i="7"/>
  <c r="Q237" i="7"/>
  <c r="R237" i="7"/>
  <c r="S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AJ237" i="7"/>
  <c r="AK237" i="7"/>
  <c r="AL237" i="7"/>
  <c r="AM237" i="7"/>
  <c r="AN237" i="7"/>
  <c r="AO237" i="7"/>
  <c r="AP237" i="7"/>
  <c r="AQ237" i="7"/>
  <c r="AR237" i="7"/>
  <c r="AS237" i="7"/>
  <c r="AT237" i="7"/>
  <c r="AU237" i="7"/>
  <c r="AV237" i="7"/>
  <c r="AW237" i="7"/>
  <c r="AX237" i="7"/>
  <c r="AY237" i="7"/>
  <c r="AZ237" i="7"/>
  <c r="BA237" i="7"/>
  <c r="BB237" i="7"/>
  <c r="BC237" i="7"/>
  <c r="BD237" i="7"/>
  <c r="BE237" i="7"/>
  <c r="BF237" i="7"/>
  <c r="BG237" i="7"/>
  <c r="BH237" i="7"/>
  <c r="BI237" i="7"/>
  <c r="BJ237" i="7"/>
  <c r="BK237" i="7"/>
  <c r="BL237" i="7"/>
  <c r="BM237" i="7"/>
  <c r="BN237" i="7"/>
  <c r="BO237" i="7"/>
  <c r="BP237" i="7"/>
  <c r="BQ237" i="7"/>
  <c r="BR237" i="7"/>
  <c r="BS237" i="7"/>
  <c r="BT237" i="7"/>
  <c r="BU237" i="7"/>
  <c r="BV237" i="7"/>
  <c r="BW237" i="7"/>
  <c r="BX237" i="7"/>
  <c r="BY237" i="7"/>
  <c r="BZ237" i="7"/>
  <c r="CA237" i="7"/>
  <c r="CB237" i="7"/>
  <c r="CC237" i="7"/>
  <c r="CD237" i="7"/>
  <c r="CE237" i="7"/>
  <c r="CF237" i="7"/>
  <c r="CG237" i="7"/>
  <c r="CH237" i="7"/>
  <c r="CI237" i="7"/>
  <c r="CJ237" i="7"/>
  <c r="CK237" i="7"/>
  <c r="CL237" i="7"/>
  <c r="CM237" i="7"/>
  <c r="CN237" i="7"/>
  <c r="CO237" i="7"/>
  <c r="CP237" i="7"/>
  <c r="CQ237" i="7"/>
  <c r="CR237" i="7"/>
  <c r="CS237" i="7"/>
  <c r="CT237" i="7"/>
  <c r="CU237" i="7"/>
  <c r="CV237" i="7"/>
  <c r="CW237" i="7"/>
  <c r="CX237" i="7"/>
  <c r="CY237" i="7"/>
  <c r="CZ237" i="7"/>
  <c r="DA237" i="7"/>
  <c r="DB237" i="7"/>
  <c r="DC237" i="7"/>
  <c r="DD237" i="7"/>
  <c r="DE237" i="7"/>
  <c r="DF237" i="7"/>
  <c r="DG237" i="7"/>
  <c r="DH237" i="7"/>
  <c r="DI237" i="7"/>
  <c r="DJ237" i="7"/>
  <c r="DK237" i="7"/>
  <c r="DL237" i="7"/>
  <c r="DM237" i="7"/>
  <c r="DN237" i="7"/>
  <c r="DO237" i="7"/>
  <c r="DP237" i="7"/>
  <c r="DQ237" i="7"/>
  <c r="DR237" i="7"/>
  <c r="DS237" i="7"/>
  <c r="DT237" i="7"/>
  <c r="DU237" i="7"/>
  <c r="DV237" i="7"/>
  <c r="DW237" i="7"/>
  <c r="DX237" i="7"/>
  <c r="DY237" i="7"/>
  <c r="DZ237" i="7"/>
  <c r="EA237" i="7"/>
  <c r="EB237" i="7"/>
  <c r="EC237" i="7"/>
  <c r="ED237" i="7"/>
  <c r="EE237" i="7"/>
  <c r="EF237" i="7"/>
  <c r="EG237" i="7"/>
  <c r="EH237" i="7"/>
  <c r="EI237" i="7"/>
  <c r="EJ237" i="7"/>
  <c r="H239" i="7"/>
  <c r="I239" i="7"/>
  <c r="J239" i="7"/>
  <c r="K239" i="7"/>
  <c r="L239" i="7"/>
  <c r="M239" i="7"/>
  <c r="N239" i="7"/>
  <c r="O239" i="7"/>
  <c r="P239" i="7"/>
  <c r="Q239" i="7"/>
  <c r="R239" i="7"/>
  <c r="S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AJ239" i="7"/>
  <c r="AK239" i="7"/>
  <c r="AL239" i="7"/>
  <c r="AM239" i="7"/>
  <c r="AN239" i="7"/>
  <c r="AO239" i="7"/>
  <c r="AP239" i="7"/>
  <c r="AQ239" i="7"/>
  <c r="AR239" i="7"/>
  <c r="AS239" i="7"/>
  <c r="AT239" i="7"/>
  <c r="AU239" i="7"/>
  <c r="AV239" i="7"/>
  <c r="AW239" i="7"/>
  <c r="AX239" i="7"/>
  <c r="AY239" i="7"/>
  <c r="AZ239" i="7"/>
  <c r="BA239" i="7"/>
  <c r="BB239" i="7"/>
  <c r="BC239" i="7"/>
  <c r="BD239" i="7"/>
  <c r="BE239" i="7"/>
  <c r="BF239" i="7"/>
  <c r="BG239" i="7"/>
  <c r="BH239" i="7"/>
  <c r="BI239" i="7"/>
  <c r="BJ239" i="7"/>
  <c r="BK239" i="7"/>
  <c r="BL239" i="7"/>
  <c r="BM239" i="7"/>
  <c r="BN239" i="7"/>
  <c r="BO239" i="7"/>
  <c r="BP239" i="7"/>
  <c r="BQ239" i="7"/>
  <c r="BR239" i="7"/>
  <c r="BS239" i="7"/>
  <c r="BT239" i="7"/>
  <c r="BU239" i="7"/>
  <c r="BV239" i="7"/>
  <c r="BW239" i="7"/>
  <c r="BX239" i="7"/>
  <c r="BY239" i="7"/>
  <c r="BZ239" i="7"/>
  <c r="CA239" i="7"/>
  <c r="CB239" i="7"/>
  <c r="CC239" i="7"/>
  <c r="CD239" i="7"/>
  <c r="CE239" i="7"/>
  <c r="CF239" i="7"/>
  <c r="CG239" i="7"/>
  <c r="CH239" i="7"/>
  <c r="CI239" i="7"/>
  <c r="CJ239" i="7"/>
  <c r="CK239" i="7"/>
  <c r="CL239" i="7"/>
  <c r="CM239" i="7"/>
  <c r="CN239" i="7"/>
  <c r="CO239" i="7"/>
  <c r="CP239" i="7"/>
  <c r="CQ239" i="7"/>
  <c r="CR239" i="7"/>
  <c r="CS239" i="7"/>
  <c r="CT239" i="7"/>
  <c r="CU239" i="7"/>
  <c r="CV239" i="7"/>
  <c r="CW239" i="7"/>
  <c r="CX239" i="7"/>
  <c r="CY239" i="7"/>
  <c r="CZ239" i="7"/>
  <c r="DA239" i="7"/>
  <c r="DB239" i="7"/>
  <c r="DC239" i="7"/>
  <c r="DD239" i="7"/>
  <c r="DE239" i="7"/>
  <c r="DF239" i="7"/>
  <c r="DG239" i="7"/>
  <c r="DH239" i="7"/>
  <c r="DI239" i="7"/>
  <c r="DJ239" i="7"/>
  <c r="DK239" i="7"/>
  <c r="DL239" i="7"/>
  <c r="DM239" i="7"/>
  <c r="DN239" i="7"/>
  <c r="DO239" i="7"/>
  <c r="DP239" i="7"/>
  <c r="DQ239" i="7"/>
  <c r="DR239" i="7"/>
  <c r="DS239" i="7"/>
  <c r="DT239" i="7"/>
  <c r="DU239" i="7"/>
  <c r="DV239" i="7"/>
  <c r="DW239" i="7"/>
  <c r="DX239" i="7"/>
  <c r="DY239" i="7"/>
  <c r="DZ239" i="7"/>
  <c r="EA239" i="7"/>
  <c r="EB239" i="7"/>
  <c r="EC239" i="7"/>
  <c r="ED239" i="7"/>
  <c r="EE239" i="7"/>
  <c r="EF239" i="7"/>
  <c r="EG239" i="7"/>
  <c r="EH239" i="7"/>
  <c r="EI239" i="7"/>
  <c r="EJ239" i="7"/>
  <c r="I243" i="7"/>
  <c r="J243" i="7"/>
  <c r="K243" i="7"/>
  <c r="L243" i="7"/>
  <c r="M243" i="7"/>
  <c r="N243" i="7"/>
  <c r="O243" i="7"/>
  <c r="P243" i="7"/>
  <c r="Q243" i="7"/>
  <c r="R243" i="7"/>
  <c r="S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AJ243" i="7"/>
  <c r="AK243" i="7"/>
  <c r="AL243" i="7"/>
  <c r="AM243" i="7"/>
  <c r="AN243" i="7"/>
  <c r="AO243" i="7"/>
  <c r="AP243" i="7"/>
  <c r="AQ243" i="7"/>
  <c r="AR243" i="7"/>
  <c r="AS243" i="7"/>
  <c r="AT243" i="7"/>
  <c r="AU243" i="7"/>
  <c r="AV243" i="7"/>
  <c r="AW243" i="7"/>
  <c r="AX243" i="7"/>
  <c r="AY243" i="7"/>
  <c r="AZ243" i="7"/>
  <c r="BA243" i="7"/>
  <c r="BB243" i="7"/>
  <c r="BC243" i="7"/>
  <c r="BD243" i="7"/>
  <c r="BE243" i="7"/>
  <c r="BF243" i="7"/>
  <c r="BG243" i="7"/>
  <c r="BH243" i="7"/>
  <c r="BI243" i="7"/>
  <c r="BJ243" i="7"/>
  <c r="BK243" i="7"/>
  <c r="BL243" i="7"/>
  <c r="BM243" i="7"/>
  <c r="BN243" i="7"/>
  <c r="BO243" i="7"/>
  <c r="BP243" i="7"/>
  <c r="BQ243" i="7"/>
  <c r="BR243" i="7"/>
  <c r="BS243" i="7"/>
  <c r="BT243" i="7"/>
  <c r="BU243" i="7"/>
  <c r="BV243" i="7"/>
  <c r="BW243" i="7"/>
  <c r="BX243" i="7"/>
  <c r="BY243" i="7"/>
  <c r="BZ243" i="7"/>
  <c r="CA243" i="7"/>
  <c r="CB243" i="7"/>
  <c r="CC243" i="7"/>
  <c r="CD243" i="7"/>
  <c r="CE243" i="7"/>
  <c r="CF243" i="7"/>
  <c r="CG243" i="7"/>
  <c r="CH243" i="7"/>
  <c r="CI243" i="7"/>
  <c r="CJ243" i="7"/>
  <c r="CK243" i="7"/>
  <c r="CL243" i="7"/>
  <c r="CM243" i="7"/>
  <c r="CN243" i="7"/>
  <c r="CO243" i="7"/>
  <c r="CP243" i="7"/>
  <c r="CQ243" i="7"/>
  <c r="CR243" i="7"/>
  <c r="CS243" i="7"/>
  <c r="CT243" i="7"/>
  <c r="CU243" i="7"/>
  <c r="CV243" i="7"/>
  <c r="CW243" i="7"/>
  <c r="CX243" i="7"/>
  <c r="CY243" i="7"/>
  <c r="CZ243" i="7"/>
  <c r="DA243" i="7"/>
  <c r="DB243" i="7"/>
  <c r="DC243" i="7"/>
  <c r="DD243" i="7"/>
  <c r="DE243" i="7"/>
  <c r="DF243" i="7"/>
  <c r="DG243" i="7"/>
  <c r="DH243" i="7"/>
  <c r="DI243" i="7"/>
  <c r="DJ243" i="7"/>
  <c r="DK243" i="7"/>
  <c r="DL243" i="7"/>
  <c r="DM243" i="7"/>
  <c r="DN243" i="7"/>
  <c r="DO243" i="7"/>
  <c r="DP243" i="7"/>
  <c r="DQ243" i="7"/>
  <c r="DR243" i="7"/>
  <c r="DS243" i="7"/>
  <c r="DT243" i="7"/>
  <c r="DU243" i="7"/>
  <c r="DV243" i="7"/>
  <c r="DW243" i="7"/>
  <c r="DX243" i="7"/>
  <c r="DY243" i="7"/>
  <c r="DZ243" i="7"/>
  <c r="EA243" i="7"/>
  <c r="EB243" i="7"/>
  <c r="EC243" i="7"/>
  <c r="ED243" i="7"/>
  <c r="EE243" i="7"/>
  <c r="EF243" i="7"/>
  <c r="EG243" i="7"/>
  <c r="EH243" i="7"/>
  <c r="EI243" i="7"/>
  <c r="EJ243" i="7"/>
  <c r="I244" i="7"/>
  <c r="J244" i="7"/>
  <c r="K244" i="7"/>
  <c r="L244" i="7"/>
  <c r="M244" i="7"/>
  <c r="N244" i="7"/>
  <c r="O244" i="7"/>
  <c r="P244" i="7"/>
  <c r="Q244" i="7"/>
  <c r="R244" i="7"/>
  <c r="S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AJ244" i="7"/>
  <c r="AK244" i="7"/>
  <c r="AL244" i="7"/>
  <c r="AM244" i="7"/>
  <c r="AN244" i="7"/>
  <c r="AO244" i="7"/>
  <c r="AP244" i="7"/>
  <c r="AQ244" i="7"/>
  <c r="AR244" i="7"/>
  <c r="AS244" i="7"/>
  <c r="AT244" i="7"/>
  <c r="AU244" i="7"/>
  <c r="AV244" i="7"/>
  <c r="AW244" i="7"/>
  <c r="AX244" i="7"/>
  <c r="AY244" i="7"/>
  <c r="AZ244" i="7"/>
  <c r="BA244" i="7"/>
  <c r="BB244" i="7"/>
  <c r="BC244" i="7"/>
  <c r="BD244" i="7"/>
  <c r="BE244" i="7"/>
  <c r="BF244" i="7"/>
  <c r="BG244" i="7"/>
  <c r="BH244" i="7"/>
  <c r="BI244" i="7"/>
  <c r="BJ244" i="7"/>
  <c r="BK244" i="7"/>
  <c r="BL244" i="7"/>
  <c r="BM244" i="7"/>
  <c r="BN244" i="7"/>
  <c r="BO244" i="7"/>
  <c r="BP244" i="7"/>
  <c r="BQ244" i="7"/>
  <c r="BR244" i="7"/>
  <c r="BS244" i="7"/>
  <c r="BT244" i="7"/>
  <c r="BU244" i="7"/>
  <c r="BV244" i="7"/>
  <c r="BW244" i="7"/>
  <c r="BX244" i="7"/>
  <c r="BY244" i="7"/>
  <c r="BZ244" i="7"/>
  <c r="CA244" i="7"/>
  <c r="CB244" i="7"/>
  <c r="CC244" i="7"/>
  <c r="CD244" i="7"/>
  <c r="CE244" i="7"/>
  <c r="CF244" i="7"/>
  <c r="CG244" i="7"/>
  <c r="CH244" i="7"/>
  <c r="CI244" i="7"/>
  <c r="CJ244" i="7"/>
  <c r="CK244" i="7"/>
  <c r="CL244" i="7"/>
  <c r="CM244" i="7"/>
  <c r="CN244" i="7"/>
  <c r="CO244" i="7"/>
  <c r="CP244" i="7"/>
  <c r="CQ244" i="7"/>
  <c r="CR244" i="7"/>
  <c r="CS244" i="7"/>
  <c r="CT244" i="7"/>
  <c r="CU244" i="7"/>
  <c r="CV244" i="7"/>
  <c r="CW244" i="7"/>
  <c r="CX244" i="7"/>
  <c r="CY244" i="7"/>
  <c r="CZ244" i="7"/>
  <c r="DA244" i="7"/>
  <c r="DB244" i="7"/>
  <c r="DC244" i="7"/>
  <c r="DD244" i="7"/>
  <c r="DE244" i="7"/>
  <c r="DF244" i="7"/>
  <c r="DG244" i="7"/>
  <c r="DH244" i="7"/>
  <c r="DI244" i="7"/>
  <c r="DJ244" i="7"/>
  <c r="DK244" i="7"/>
  <c r="DL244" i="7"/>
  <c r="DM244" i="7"/>
  <c r="DN244" i="7"/>
  <c r="DO244" i="7"/>
  <c r="DP244" i="7"/>
  <c r="DQ244" i="7"/>
  <c r="DR244" i="7"/>
  <c r="DS244" i="7"/>
  <c r="DT244" i="7"/>
  <c r="DU244" i="7"/>
  <c r="DV244" i="7"/>
  <c r="DW244" i="7"/>
  <c r="DX244" i="7"/>
  <c r="DY244" i="7"/>
  <c r="DZ244" i="7"/>
  <c r="EA244" i="7"/>
  <c r="EB244" i="7"/>
  <c r="EC244" i="7"/>
  <c r="ED244" i="7"/>
  <c r="EE244" i="7"/>
  <c r="EF244" i="7"/>
  <c r="EG244" i="7"/>
  <c r="EH244" i="7"/>
  <c r="EI244" i="7"/>
  <c r="EJ244" i="7"/>
  <c r="I245" i="7"/>
  <c r="J245" i="7"/>
  <c r="K245" i="7"/>
  <c r="L245" i="7"/>
  <c r="M245" i="7"/>
  <c r="N245" i="7"/>
  <c r="O245" i="7"/>
  <c r="P245" i="7"/>
  <c r="Q245" i="7"/>
  <c r="R245" i="7"/>
  <c r="S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AJ245" i="7"/>
  <c r="AK245" i="7"/>
  <c r="AL245" i="7"/>
  <c r="AM245" i="7"/>
  <c r="AN245" i="7"/>
  <c r="AO245" i="7"/>
  <c r="AP245" i="7"/>
  <c r="AQ245" i="7"/>
  <c r="AR245" i="7"/>
  <c r="AS245" i="7"/>
  <c r="AT245" i="7"/>
  <c r="AU245" i="7"/>
  <c r="AV245" i="7"/>
  <c r="AW245" i="7"/>
  <c r="AX245" i="7"/>
  <c r="AY245" i="7"/>
  <c r="AZ245" i="7"/>
  <c r="BA245" i="7"/>
  <c r="BB245" i="7"/>
  <c r="BC245" i="7"/>
  <c r="BD245" i="7"/>
  <c r="BE245" i="7"/>
  <c r="BF245" i="7"/>
  <c r="BG245" i="7"/>
  <c r="BH245" i="7"/>
  <c r="BI245" i="7"/>
  <c r="BJ245" i="7"/>
  <c r="BK245" i="7"/>
  <c r="BL245" i="7"/>
  <c r="BM245" i="7"/>
  <c r="BN245" i="7"/>
  <c r="BO245" i="7"/>
  <c r="BP245" i="7"/>
  <c r="BQ245" i="7"/>
  <c r="BR245" i="7"/>
  <c r="BS245" i="7"/>
  <c r="BT245" i="7"/>
  <c r="BU245" i="7"/>
  <c r="BV245" i="7"/>
  <c r="BW245" i="7"/>
  <c r="BX245" i="7"/>
  <c r="BY245" i="7"/>
  <c r="BZ245" i="7"/>
  <c r="CA245" i="7"/>
  <c r="CB245" i="7"/>
  <c r="CC245" i="7"/>
  <c r="CD245" i="7"/>
  <c r="CE245" i="7"/>
  <c r="CF245" i="7"/>
  <c r="CG245" i="7"/>
  <c r="CH245" i="7"/>
  <c r="CI245" i="7"/>
  <c r="CJ245" i="7"/>
  <c r="CK245" i="7"/>
  <c r="CL245" i="7"/>
  <c r="CM245" i="7"/>
  <c r="CN245" i="7"/>
  <c r="CO245" i="7"/>
  <c r="CP245" i="7"/>
  <c r="CQ245" i="7"/>
  <c r="CR245" i="7"/>
  <c r="CS245" i="7"/>
  <c r="CT245" i="7"/>
  <c r="CU245" i="7"/>
  <c r="CV245" i="7"/>
  <c r="CW245" i="7"/>
  <c r="CX245" i="7"/>
  <c r="CY245" i="7"/>
  <c r="CZ245" i="7"/>
  <c r="DA245" i="7"/>
  <c r="DB245" i="7"/>
  <c r="DC245" i="7"/>
  <c r="DD245" i="7"/>
  <c r="DE245" i="7"/>
  <c r="DF245" i="7"/>
  <c r="DG245" i="7"/>
  <c r="DH245" i="7"/>
  <c r="DI245" i="7"/>
  <c r="DJ245" i="7"/>
  <c r="DK245" i="7"/>
  <c r="DL245" i="7"/>
  <c r="DM245" i="7"/>
  <c r="DN245" i="7"/>
  <c r="DO245" i="7"/>
  <c r="DP245" i="7"/>
  <c r="DQ245" i="7"/>
  <c r="DR245" i="7"/>
  <c r="DS245" i="7"/>
  <c r="DT245" i="7"/>
  <c r="DU245" i="7"/>
  <c r="DV245" i="7"/>
  <c r="DW245" i="7"/>
  <c r="DX245" i="7"/>
  <c r="DY245" i="7"/>
  <c r="DZ245" i="7"/>
  <c r="EA245" i="7"/>
  <c r="EB245" i="7"/>
  <c r="EC245" i="7"/>
  <c r="ED245" i="7"/>
  <c r="EE245" i="7"/>
  <c r="EF245" i="7"/>
  <c r="EG245" i="7"/>
  <c r="EH245" i="7"/>
  <c r="EI245" i="7"/>
  <c r="EJ245" i="7"/>
  <c r="I246" i="7"/>
  <c r="J246" i="7"/>
  <c r="K246" i="7"/>
  <c r="L246" i="7"/>
  <c r="M246" i="7"/>
  <c r="N246" i="7"/>
  <c r="O246" i="7"/>
  <c r="P246" i="7"/>
  <c r="Q246" i="7"/>
  <c r="R246" i="7"/>
  <c r="S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AJ246" i="7"/>
  <c r="AK246" i="7"/>
  <c r="AL246" i="7"/>
  <c r="AM246" i="7"/>
  <c r="AN246" i="7"/>
  <c r="AO246" i="7"/>
  <c r="AP246" i="7"/>
  <c r="AQ246" i="7"/>
  <c r="AR246" i="7"/>
  <c r="AS246" i="7"/>
  <c r="AT246" i="7"/>
  <c r="AU246" i="7"/>
  <c r="AV246" i="7"/>
  <c r="AW246" i="7"/>
  <c r="AX246" i="7"/>
  <c r="AY246" i="7"/>
  <c r="AZ246" i="7"/>
  <c r="BA246" i="7"/>
  <c r="BB246" i="7"/>
  <c r="BC246" i="7"/>
  <c r="BD246" i="7"/>
  <c r="BE246" i="7"/>
  <c r="BF246" i="7"/>
  <c r="BG246" i="7"/>
  <c r="BH246" i="7"/>
  <c r="BI246" i="7"/>
  <c r="BJ246" i="7"/>
  <c r="BK246" i="7"/>
  <c r="BL246" i="7"/>
  <c r="BM246" i="7"/>
  <c r="BN246" i="7"/>
  <c r="BO246" i="7"/>
  <c r="BP246" i="7"/>
  <c r="BQ246" i="7"/>
  <c r="BR246" i="7"/>
  <c r="BS246" i="7"/>
  <c r="BT246" i="7"/>
  <c r="BU246" i="7"/>
  <c r="BV246" i="7"/>
  <c r="BW246" i="7"/>
  <c r="BX246" i="7"/>
  <c r="BY246" i="7"/>
  <c r="BZ246" i="7"/>
  <c r="CA246" i="7"/>
  <c r="CB246" i="7"/>
  <c r="CC246" i="7"/>
  <c r="CD246" i="7"/>
  <c r="CE246" i="7"/>
  <c r="CF246" i="7"/>
  <c r="CG246" i="7"/>
  <c r="CH246" i="7"/>
  <c r="CI246" i="7"/>
  <c r="CJ246" i="7"/>
  <c r="CK246" i="7"/>
  <c r="CL246" i="7"/>
  <c r="CM246" i="7"/>
  <c r="CN246" i="7"/>
  <c r="CO246" i="7"/>
  <c r="CP246" i="7"/>
  <c r="CQ246" i="7"/>
  <c r="CR246" i="7"/>
  <c r="CS246" i="7"/>
  <c r="CT246" i="7"/>
  <c r="CU246" i="7"/>
  <c r="CV246" i="7"/>
  <c r="CW246" i="7"/>
  <c r="CX246" i="7"/>
  <c r="CY246" i="7"/>
  <c r="CZ246" i="7"/>
  <c r="DA246" i="7"/>
  <c r="DB246" i="7"/>
  <c r="DC246" i="7"/>
  <c r="DD246" i="7"/>
  <c r="DE246" i="7"/>
  <c r="DF246" i="7"/>
  <c r="DG246" i="7"/>
  <c r="DH246" i="7"/>
  <c r="DI246" i="7"/>
  <c r="DJ246" i="7"/>
  <c r="DK246" i="7"/>
  <c r="DL246" i="7"/>
  <c r="DM246" i="7"/>
  <c r="DN246" i="7"/>
  <c r="DO246" i="7"/>
  <c r="DP246" i="7"/>
  <c r="DQ246" i="7"/>
  <c r="DR246" i="7"/>
  <c r="DS246" i="7"/>
  <c r="DT246" i="7"/>
  <c r="DU246" i="7"/>
  <c r="DV246" i="7"/>
  <c r="DW246" i="7"/>
  <c r="DX246" i="7"/>
  <c r="DY246" i="7"/>
  <c r="DZ246" i="7"/>
  <c r="EA246" i="7"/>
  <c r="EB246" i="7"/>
  <c r="EC246" i="7"/>
  <c r="ED246" i="7"/>
  <c r="EE246" i="7"/>
  <c r="EF246" i="7"/>
  <c r="EG246" i="7"/>
  <c r="EH246" i="7"/>
  <c r="EI246" i="7"/>
  <c r="EJ246" i="7"/>
  <c r="H247" i="7"/>
  <c r="I247" i="7"/>
  <c r="J247" i="7"/>
  <c r="K247" i="7"/>
  <c r="L247" i="7"/>
  <c r="M247" i="7"/>
  <c r="N247" i="7"/>
  <c r="O247" i="7"/>
  <c r="P247" i="7"/>
  <c r="Q247" i="7"/>
  <c r="R247" i="7"/>
  <c r="S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AJ247" i="7"/>
  <c r="AK247" i="7"/>
  <c r="AL247" i="7"/>
  <c r="AM247" i="7"/>
  <c r="AN247" i="7"/>
  <c r="AO247" i="7"/>
  <c r="AP247" i="7"/>
  <c r="AQ247" i="7"/>
  <c r="AR247" i="7"/>
  <c r="AS247" i="7"/>
  <c r="AT247" i="7"/>
  <c r="AU247" i="7"/>
  <c r="AV247" i="7"/>
  <c r="AW247" i="7"/>
  <c r="AX247" i="7"/>
  <c r="AY247" i="7"/>
  <c r="AZ247" i="7"/>
  <c r="BA247" i="7"/>
  <c r="BB247" i="7"/>
  <c r="BC247" i="7"/>
  <c r="BD247" i="7"/>
  <c r="BE247" i="7"/>
  <c r="BF247" i="7"/>
  <c r="BG247" i="7"/>
  <c r="BH247" i="7"/>
  <c r="BI247" i="7"/>
  <c r="BJ247" i="7"/>
  <c r="BK247" i="7"/>
  <c r="BL247" i="7"/>
  <c r="BM247" i="7"/>
  <c r="BN247" i="7"/>
  <c r="BO247" i="7"/>
  <c r="BP247" i="7"/>
  <c r="BQ247" i="7"/>
  <c r="BR247" i="7"/>
  <c r="BS247" i="7"/>
  <c r="BT247" i="7"/>
  <c r="BU247" i="7"/>
  <c r="BV247" i="7"/>
  <c r="BW247" i="7"/>
  <c r="BX247" i="7"/>
  <c r="BY247" i="7"/>
  <c r="BZ247" i="7"/>
  <c r="CA247" i="7"/>
  <c r="CB247" i="7"/>
  <c r="CC247" i="7"/>
  <c r="CD247" i="7"/>
  <c r="CE247" i="7"/>
  <c r="CF247" i="7"/>
  <c r="CG247" i="7"/>
  <c r="CH247" i="7"/>
  <c r="CI247" i="7"/>
  <c r="CJ247" i="7"/>
  <c r="CK247" i="7"/>
  <c r="CL247" i="7"/>
  <c r="CM247" i="7"/>
  <c r="CN247" i="7"/>
  <c r="CO247" i="7"/>
  <c r="CP247" i="7"/>
  <c r="CQ247" i="7"/>
  <c r="CR247" i="7"/>
  <c r="CS247" i="7"/>
  <c r="CT247" i="7"/>
  <c r="CU247" i="7"/>
  <c r="CV247" i="7"/>
  <c r="CW247" i="7"/>
  <c r="CX247" i="7"/>
  <c r="CY247" i="7"/>
  <c r="CZ247" i="7"/>
  <c r="DA247" i="7"/>
  <c r="DB247" i="7"/>
  <c r="DC247" i="7"/>
  <c r="DD247" i="7"/>
  <c r="DE247" i="7"/>
  <c r="DF247" i="7"/>
  <c r="DG247" i="7"/>
  <c r="DH247" i="7"/>
  <c r="DI247" i="7"/>
  <c r="DJ247" i="7"/>
  <c r="DK247" i="7"/>
  <c r="DL247" i="7"/>
  <c r="DM247" i="7"/>
  <c r="DN247" i="7"/>
  <c r="DO247" i="7"/>
  <c r="DP247" i="7"/>
  <c r="DQ247" i="7"/>
  <c r="DR247" i="7"/>
  <c r="DS247" i="7"/>
  <c r="DT247" i="7"/>
  <c r="DU247" i="7"/>
  <c r="DV247" i="7"/>
  <c r="DW247" i="7"/>
  <c r="DX247" i="7"/>
  <c r="DY247" i="7"/>
  <c r="DZ247" i="7"/>
  <c r="EA247" i="7"/>
  <c r="EB247" i="7"/>
  <c r="EC247" i="7"/>
  <c r="ED247" i="7"/>
  <c r="EE247" i="7"/>
  <c r="EF247" i="7"/>
  <c r="EG247" i="7"/>
  <c r="EH247" i="7"/>
  <c r="EI247" i="7"/>
  <c r="EJ247" i="7"/>
  <c r="H248" i="7"/>
  <c r="I248" i="7"/>
  <c r="J248" i="7"/>
  <c r="K248" i="7"/>
  <c r="L248" i="7"/>
  <c r="M248" i="7"/>
  <c r="N248" i="7"/>
  <c r="O248" i="7"/>
  <c r="P248" i="7"/>
  <c r="Q248" i="7"/>
  <c r="R248" i="7"/>
  <c r="S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AJ248" i="7"/>
  <c r="AK248" i="7"/>
  <c r="AL248" i="7"/>
  <c r="AM248" i="7"/>
  <c r="AN248" i="7"/>
  <c r="AO248" i="7"/>
  <c r="AP248" i="7"/>
  <c r="AQ248" i="7"/>
  <c r="AR248" i="7"/>
  <c r="AS248" i="7"/>
  <c r="AT248" i="7"/>
  <c r="AU248" i="7"/>
  <c r="AV248" i="7"/>
  <c r="AW248" i="7"/>
  <c r="AX248" i="7"/>
  <c r="AY248" i="7"/>
  <c r="AZ248" i="7"/>
  <c r="BA248" i="7"/>
  <c r="BB248" i="7"/>
  <c r="BC248" i="7"/>
  <c r="BD248" i="7"/>
  <c r="BE248" i="7"/>
  <c r="BF248" i="7"/>
  <c r="BG248" i="7"/>
  <c r="BH248" i="7"/>
  <c r="BI248" i="7"/>
  <c r="BJ248" i="7"/>
  <c r="BK248" i="7"/>
  <c r="BL248" i="7"/>
  <c r="BM248" i="7"/>
  <c r="BN248" i="7"/>
  <c r="BO248" i="7"/>
  <c r="BP248" i="7"/>
  <c r="BQ248" i="7"/>
  <c r="BR248" i="7"/>
  <c r="BS248" i="7"/>
  <c r="BT248" i="7"/>
  <c r="BU248" i="7"/>
  <c r="BV248" i="7"/>
  <c r="BW248" i="7"/>
  <c r="BX248" i="7"/>
  <c r="BY248" i="7"/>
  <c r="BZ248" i="7"/>
  <c r="CA248" i="7"/>
  <c r="CB248" i="7"/>
  <c r="CC248" i="7"/>
  <c r="CD248" i="7"/>
  <c r="CE248" i="7"/>
  <c r="CF248" i="7"/>
  <c r="CG248" i="7"/>
  <c r="CH248" i="7"/>
  <c r="CI248" i="7"/>
  <c r="CJ248" i="7"/>
  <c r="CK248" i="7"/>
  <c r="CL248" i="7"/>
  <c r="CM248" i="7"/>
  <c r="CN248" i="7"/>
  <c r="CO248" i="7"/>
  <c r="CP248" i="7"/>
  <c r="CQ248" i="7"/>
  <c r="CR248" i="7"/>
  <c r="CS248" i="7"/>
  <c r="CT248" i="7"/>
  <c r="CU248" i="7"/>
  <c r="CV248" i="7"/>
  <c r="CW248" i="7"/>
  <c r="CX248" i="7"/>
  <c r="CY248" i="7"/>
  <c r="CZ248" i="7"/>
  <c r="DA248" i="7"/>
  <c r="DB248" i="7"/>
  <c r="DC248" i="7"/>
  <c r="DD248" i="7"/>
  <c r="DE248" i="7"/>
  <c r="DF248" i="7"/>
  <c r="DG248" i="7"/>
  <c r="DH248" i="7"/>
  <c r="DI248" i="7"/>
  <c r="DJ248" i="7"/>
  <c r="DK248" i="7"/>
  <c r="DL248" i="7"/>
  <c r="DM248" i="7"/>
  <c r="DN248" i="7"/>
  <c r="DO248" i="7"/>
  <c r="DP248" i="7"/>
  <c r="DQ248" i="7"/>
  <c r="DR248" i="7"/>
  <c r="DS248" i="7"/>
  <c r="DT248" i="7"/>
  <c r="DU248" i="7"/>
  <c r="DV248" i="7"/>
  <c r="DW248" i="7"/>
  <c r="DX248" i="7"/>
  <c r="DY248" i="7"/>
  <c r="DZ248" i="7"/>
  <c r="EA248" i="7"/>
  <c r="EB248" i="7"/>
  <c r="EC248" i="7"/>
  <c r="ED248" i="7"/>
  <c r="EE248" i="7"/>
  <c r="EF248" i="7"/>
  <c r="EG248" i="7"/>
  <c r="EH248" i="7"/>
  <c r="EI248" i="7"/>
  <c r="EJ248" i="7"/>
  <c r="H250" i="7"/>
  <c r="I250" i="7"/>
  <c r="J250" i="7"/>
  <c r="K250" i="7"/>
  <c r="L250" i="7"/>
  <c r="M250" i="7"/>
  <c r="N250" i="7"/>
  <c r="O250" i="7"/>
  <c r="P250" i="7"/>
  <c r="Q250" i="7"/>
  <c r="R250" i="7"/>
  <c r="S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AJ250" i="7"/>
  <c r="AK250" i="7"/>
  <c r="AL250" i="7"/>
  <c r="AM250" i="7"/>
  <c r="AN250" i="7"/>
  <c r="AO250" i="7"/>
  <c r="AP250" i="7"/>
  <c r="AQ250" i="7"/>
  <c r="AR250" i="7"/>
  <c r="AS250" i="7"/>
  <c r="AT250" i="7"/>
  <c r="AU250" i="7"/>
  <c r="AV250" i="7"/>
  <c r="AW250" i="7"/>
  <c r="AX250" i="7"/>
  <c r="AY250" i="7"/>
  <c r="AZ250" i="7"/>
  <c r="BA250" i="7"/>
  <c r="BB250" i="7"/>
  <c r="BC250" i="7"/>
  <c r="BD250" i="7"/>
  <c r="BE250" i="7"/>
  <c r="BF250" i="7"/>
  <c r="BG250" i="7"/>
  <c r="BH250" i="7"/>
  <c r="BI250" i="7"/>
  <c r="BJ250" i="7"/>
  <c r="BK250" i="7"/>
  <c r="BL250" i="7"/>
  <c r="BM250" i="7"/>
  <c r="BN250" i="7"/>
  <c r="BO250" i="7"/>
  <c r="BP250" i="7"/>
  <c r="BQ250" i="7"/>
  <c r="BR250" i="7"/>
  <c r="BS250" i="7"/>
  <c r="BT250" i="7"/>
  <c r="BU250" i="7"/>
  <c r="BV250" i="7"/>
  <c r="BW250" i="7"/>
  <c r="BX250" i="7"/>
  <c r="BY250" i="7"/>
  <c r="BZ250" i="7"/>
  <c r="CA250" i="7"/>
  <c r="CB250" i="7"/>
  <c r="CC250" i="7"/>
  <c r="CD250" i="7"/>
  <c r="CE250" i="7"/>
  <c r="CF250" i="7"/>
  <c r="CG250" i="7"/>
  <c r="CH250" i="7"/>
  <c r="CI250" i="7"/>
  <c r="CJ250" i="7"/>
  <c r="CK250" i="7"/>
  <c r="CL250" i="7"/>
  <c r="CM250" i="7"/>
  <c r="CN250" i="7"/>
  <c r="CO250" i="7"/>
  <c r="CP250" i="7"/>
  <c r="CQ250" i="7"/>
  <c r="CR250" i="7"/>
  <c r="CS250" i="7"/>
  <c r="CT250" i="7"/>
  <c r="CU250" i="7"/>
  <c r="CV250" i="7"/>
  <c r="CW250" i="7"/>
  <c r="CX250" i="7"/>
  <c r="CY250" i="7"/>
  <c r="CZ250" i="7"/>
  <c r="DA250" i="7"/>
  <c r="DB250" i="7"/>
  <c r="DC250" i="7"/>
  <c r="DD250" i="7"/>
  <c r="DE250" i="7"/>
  <c r="DF250" i="7"/>
  <c r="DG250" i="7"/>
  <c r="DH250" i="7"/>
  <c r="DI250" i="7"/>
  <c r="DJ250" i="7"/>
  <c r="DK250" i="7"/>
  <c r="DL250" i="7"/>
  <c r="DM250" i="7"/>
  <c r="DN250" i="7"/>
  <c r="DO250" i="7"/>
  <c r="DP250" i="7"/>
  <c r="DQ250" i="7"/>
  <c r="DR250" i="7"/>
  <c r="DS250" i="7"/>
  <c r="DT250" i="7"/>
  <c r="DU250" i="7"/>
  <c r="DV250" i="7"/>
  <c r="DW250" i="7"/>
  <c r="DX250" i="7"/>
  <c r="DY250" i="7"/>
  <c r="DZ250" i="7"/>
  <c r="EA250" i="7"/>
  <c r="EB250" i="7"/>
  <c r="EC250" i="7"/>
  <c r="ED250" i="7"/>
  <c r="EE250" i="7"/>
  <c r="EF250" i="7"/>
  <c r="EG250" i="7"/>
  <c r="EH250" i="7"/>
  <c r="EI250" i="7"/>
  <c r="EJ250" i="7"/>
  <c r="H251" i="7"/>
  <c r="I251" i="7"/>
  <c r="J251" i="7"/>
  <c r="K251" i="7"/>
  <c r="L251" i="7"/>
  <c r="M251" i="7"/>
  <c r="N251" i="7"/>
  <c r="O251" i="7"/>
  <c r="P251" i="7"/>
  <c r="Q251" i="7"/>
  <c r="R251" i="7"/>
  <c r="S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AJ251" i="7"/>
  <c r="AK251" i="7"/>
  <c r="AL251" i="7"/>
  <c r="AM251" i="7"/>
  <c r="AN251" i="7"/>
  <c r="AO251" i="7"/>
  <c r="AP251" i="7"/>
  <c r="AQ251" i="7"/>
  <c r="AR251" i="7"/>
  <c r="AS251" i="7"/>
  <c r="AT251" i="7"/>
  <c r="AU251" i="7"/>
  <c r="AV251" i="7"/>
  <c r="AW251" i="7"/>
  <c r="AX251" i="7"/>
  <c r="AY251" i="7"/>
  <c r="AZ251" i="7"/>
  <c r="BA251" i="7"/>
  <c r="BB251" i="7"/>
  <c r="BC251" i="7"/>
  <c r="BD251" i="7"/>
  <c r="BE251" i="7"/>
  <c r="BF251" i="7"/>
  <c r="BG251" i="7"/>
  <c r="BH251" i="7"/>
  <c r="BI251" i="7"/>
  <c r="BJ251" i="7"/>
  <c r="BK251" i="7"/>
  <c r="BL251" i="7"/>
  <c r="BM251" i="7"/>
  <c r="BN251" i="7"/>
  <c r="BO251" i="7"/>
  <c r="BP251" i="7"/>
  <c r="BQ251" i="7"/>
  <c r="BR251" i="7"/>
  <c r="BS251" i="7"/>
  <c r="BT251" i="7"/>
  <c r="BU251" i="7"/>
  <c r="BV251" i="7"/>
  <c r="BW251" i="7"/>
  <c r="BX251" i="7"/>
  <c r="BY251" i="7"/>
  <c r="BZ251" i="7"/>
  <c r="CA251" i="7"/>
  <c r="CB251" i="7"/>
  <c r="CC251" i="7"/>
  <c r="CD251" i="7"/>
  <c r="CE251" i="7"/>
  <c r="CF251" i="7"/>
  <c r="CG251" i="7"/>
  <c r="CH251" i="7"/>
  <c r="CI251" i="7"/>
  <c r="CJ251" i="7"/>
  <c r="CK251" i="7"/>
  <c r="CL251" i="7"/>
  <c r="CM251" i="7"/>
  <c r="CN251" i="7"/>
  <c r="CO251" i="7"/>
  <c r="CP251" i="7"/>
  <c r="CQ251" i="7"/>
  <c r="CR251" i="7"/>
  <c r="CS251" i="7"/>
  <c r="CT251" i="7"/>
  <c r="CU251" i="7"/>
  <c r="CV251" i="7"/>
  <c r="CW251" i="7"/>
  <c r="CX251" i="7"/>
  <c r="CY251" i="7"/>
  <c r="CZ251" i="7"/>
  <c r="DA251" i="7"/>
  <c r="DB251" i="7"/>
  <c r="DC251" i="7"/>
  <c r="DD251" i="7"/>
  <c r="DE251" i="7"/>
  <c r="DF251" i="7"/>
  <c r="DG251" i="7"/>
  <c r="DH251" i="7"/>
  <c r="DI251" i="7"/>
  <c r="DJ251" i="7"/>
  <c r="DK251" i="7"/>
  <c r="DL251" i="7"/>
  <c r="DM251" i="7"/>
  <c r="DN251" i="7"/>
  <c r="DO251" i="7"/>
  <c r="DP251" i="7"/>
  <c r="DQ251" i="7"/>
  <c r="DR251" i="7"/>
  <c r="DS251" i="7"/>
  <c r="DT251" i="7"/>
  <c r="DU251" i="7"/>
  <c r="DV251" i="7"/>
  <c r="DW251" i="7"/>
  <c r="DX251" i="7"/>
  <c r="DY251" i="7"/>
  <c r="DZ251" i="7"/>
  <c r="EA251" i="7"/>
  <c r="EB251" i="7"/>
  <c r="EC251" i="7"/>
  <c r="ED251" i="7"/>
  <c r="EE251" i="7"/>
  <c r="EF251" i="7"/>
  <c r="EG251" i="7"/>
  <c r="EH251" i="7"/>
  <c r="EI251" i="7"/>
  <c r="EJ251" i="7"/>
  <c r="H252" i="7"/>
  <c r="I252" i="7"/>
  <c r="J252" i="7"/>
  <c r="K252" i="7"/>
  <c r="L252" i="7"/>
  <c r="M252" i="7"/>
  <c r="N252" i="7"/>
  <c r="O252" i="7"/>
  <c r="P252" i="7"/>
  <c r="Q252" i="7"/>
  <c r="R252" i="7"/>
  <c r="S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AJ252" i="7"/>
  <c r="AK252" i="7"/>
  <c r="AL252" i="7"/>
  <c r="AM252" i="7"/>
  <c r="AN252" i="7"/>
  <c r="AO252" i="7"/>
  <c r="AP252" i="7"/>
  <c r="AQ252" i="7"/>
  <c r="AR252" i="7"/>
  <c r="AS252" i="7"/>
  <c r="AT252" i="7"/>
  <c r="AU252" i="7"/>
  <c r="AV252" i="7"/>
  <c r="AW252" i="7"/>
  <c r="AX252" i="7"/>
  <c r="AY252" i="7"/>
  <c r="AZ252" i="7"/>
  <c r="BA252" i="7"/>
  <c r="BB252" i="7"/>
  <c r="BC252" i="7"/>
  <c r="BD252" i="7"/>
  <c r="BE252" i="7"/>
  <c r="BF252" i="7"/>
  <c r="BG252" i="7"/>
  <c r="BH252" i="7"/>
  <c r="BI252" i="7"/>
  <c r="BJ252" i="7"/>
  <c r="BK252" i="7"/>
  <c r="BL252" i="7"/>
  <c r="BM252" i="7"/>
  <c r="BN252" i="7"/>
  <c r="BO252" i="7"/>
  <c r="BP252" i="7"/>
  <c r="BQ252" i="7"/>
  <c r="BR252" i="7"/>
  <c r="BS252" i="7"/>
  <c r="BT252" i="7"/>
  <c r="BU252" i="7"/>
  <c r="BV252" i="7"/>
  <c r="BW252" i="7"/>
  <c r="BX252" i="7"/>
  <c r="BY252" i="7"/>
  <c r="BZ252" i="7"/>
  <c r="CA252" i="7"/>
  <c r="CB252" i="7"/>
  <c r="CC252" i="7"/>
  <c r="CD252" i="7"/>
  <c r="CE252" i="7"/>
  <c r="CF252" i="7"/>
  <c r="CG252" i="7"/>
  <c r="CH252" i="7"/>
  <c r="CI252" i="7"/>
  <c r="CJ252" i="7"/>
  <c r="CK252" i="7"/>
  <c r="CL252" i="7"/>
  <c r="CM252" i="7"/>
  <c r="CN252" i="7"/>
  <c r="CO252" i="7"/>
  <c r="CP252" i="7"/>
  <c r="CQ252" i="7"/>
  <c r="CR252" i="7"/>
  <c r="CS252" i="7"/>
  <c r="CT252" i="7"/>
  <c r="CU252" i="7"/>
  <c r="CV252" i="7"/>
  <c r="CW252" i="7"/>
  <c r="CX252" i="7"/>
  <c r="CY252" i="7"/>
  <c r="CZ252" i="7"/>
  <c r="DA252" i="7"/>
  <c r="DB252" i="7"/>
  <c r="DC252" i="7"/>
  <c r="DD252" i="7"/>
  <c r="DE252" i="7"/>
  <c r="DF252" i="7"/>
  <c r="DG252" i="7"/>
  <c r="DH252" i="7"/>
  <c r="DI252" i="7"/>
  <c r="DJ252" i="7"/>
  <c r="DK252" i="7"/>
  <c r="DL252" i="7"/>
  <c r="DM252" i="7"/>
  <c r="DN252" i="7"/>
  <c r="DO252" i="7"/>
  <c r="DP252" i="7"/>
  <c r="DQ252" i="7"/>
  <c r="DR252" i="7"/>
  <c r="DS252" i="7"/>
  <c r="DT252" i="7"/>
  <c r="DU252" i="7"/>
  <c r="DV252" i="7"/>
  <c r="DW252" i="7"/>
  <c r="DX252" i="7"/>
  <c r="DY252" i="7"/>
  <c r="DZ252" i="7"/>
  <c r="EA252" i="7"/>
  <c r="EB252" i="7"/>
  <c r="EC252" i="7"/>
  <c r="ED252" i="7"/>
  <c r="EE252" i="7"/>
  <c r="EF252" i="7"/>
  <c r="EG252" i="7"/>
  <c r="EH252" i="7"/>
  <c r="EI252" i="7"/>
  <c r="EJ252" i="7"/>
  <c r="C254" i="7"/>
  <c r="H254" i="7"/>
  <c r="I254" i="7"/>
  <c r="J254" i="7"/>
  <c r="K254" i="7"/>
  <c r="L254" i="7"/>
  <c r="M254" i="7"/>
  <c r="N254" i="7"/>
  <c r="O254" i="7"/>
  <c r="P254" i="7"/>
  <c r="Q254" i="7"/>
  <c r="R254" i="7"/>
  <c r="S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AJ254" i="7"/>
  <c r="AK254" i="7"/>
  <c r="AL254" i="7"/>
  <c r="AM254" i="7"/>
  <c r="AN254" i="7"/>
  <c r="AO254" i="7"/>
  <c r="AP254" i="7"/>
  <c r="AQ254" i="7"/>
  <c r="AR254" i="7"/>
  <c r="AS254" i="7"/>
  <c r="AT254" i="7"/>
  <c r="AU254" i="7"/>
  <c r="AV254" i="7"/>
  <c r="AW254" i="7"/>
  <c r="AX254" i="7"/>
  <c r="AY254" i="7"/>
  <c r="AZ254" i="7"/>
  <c r="BA254" i="7"/>
  <c r="BB254" i="7"/>
  <c r="BC254" i="7"/>
  <c r="BD254" i="7"/>
  <c r="BE254" i="7"/>
  <c r="BF254" i="7"/>
  <c r="BG254" i="7"/>
  <c r="BH254" i="7"/>
  <c r="BI254" i="7"/>
  <c r="BJ254" i="7"/>
  <c r="BK254" i="7"/>
  <c r="BL254" i="7"/>
  <c r="BM254" i="7"/>
  <c r="BN254" i="7"/>
  <c r="BO254" i="7"/>
  <c r="BP254" i="7"/>
  <c r="BQ254" i="7"/>
  <c r="BR254" i="7"/>
  <c r="BS254" i="7"/>
  <c r="BT254" i="7"/>
  <c r="BU254" i="7"/>
  <c r="BV254" i="7"/>
  <c r="BW254" i="7"/>
  <c r="BX254" i="7"/>
  <c r="BY254" i="7"/>
  <c r="BZ254" i="7"/>
  <c r="CA254" i="7"/>
  <c r="CB254" i="7"/>
  <c r="CC254" i="7"/>
  <c r="CD254" i="7"/>
  <c r="CE254" i="7"/>
  <c r="CF254" i="7"/>
  <c r="CG254" i="7"/>
  <c r="CH254" i="7"/>
  <c r="CI254" i="7"/>
  <c r="CJ254" i="7"/>
  <c r="CK254" i="7"/>
  <c r="CL254" i="7"/>
  <c r="CM254" i="7"/>
  <c r="CN254" i="7"/>
  <c r="CO254" i="7"/>
  <c r="CP254" i="7"/>
  <c r="CQ254" i="7"/>
  <c r="CR254" i="7"/>
  <c r="CS254" i="7"/>
  <c r="CT254" i="7"/>
  <c r="CU254" i="7"/>
  <c r="CV254" i="7"/>
  <c r="CW254" i="7"/>
  <c r="CX254" i="7"/>
  <c r="CY254" i="7"/>
  <c r="CZ254" i="7"/>
  <c r="DA254" i="7"/>
  <c r="DB254" i="7"/>
  <c r="DC254" i="7"/>
  <c r="DD254" i="7"/>
  <c r="DE254" i="7"/>
  <c r="DF254" i="7"/>
  <c r="DG254" i="7"/>
  <c r="DH254" i="7"/>
  <c r="DI254" i="7"/>
  <c r="DJ254" i="7"/>
  <c r="DK254" i="7"/>
  <c r="DL254" i="7"/>
  <c r="DM254" i="7"/>
  <c r="DN254" i="7"/>
  <c r="DO254" i="7"/>
  <c r="DP254" i="7"/>
  <c r="DQ254" i="7"/>
  <c r="DR254" i="7"/>
  <c r="DS254" i="7"/>
  <c r="DT254" i="7"/>
  <c r="DU254" i="7"/>
  <c r="DV254" i="7"/>
  <c r="DW254" i="7"/>
  <c r="DX254" i="7"/>
  <c r="DY254" i="7"/>
  <c r="DZ254" i="7"/>
  <c r="EA254" i="7"/>
  <c r="EB254" i="7"/>
  <c r="EC254" i="7"/>
  <c r="ED254" i="7"/>
  <c r="EE254" i="7"/>
  <c r="EF254" i="7"/>
  <c r="EG254" i="7"/>
  <c r="EH254" i="7"/>
  <c r="EI254" i="7"/>
  <c r="EJ254" i="7"/>
  <c r="C255" i="7"/>
  <c r="H255" i="7"/>
  <c r="I255" i="7"/>
  <c r="J255" i="7"/>
  <c r="K255" i="7"/>
  <c r="L255" i="7"/>
  <c r="M255" i="7"/>
  <c r="N255" i="7"/>
  <c r="O255" i="7"/>
  <c r="P255" i="7"/>
  <c r="Q255" i="7"/>
  <c r="R255" i="7"/>
  <c r="S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AJ255" i="7"/>
  <c r="AK255" i="7"/>
  <c r="AL255" i="7"/>
  <c r="AM255" i="7"/>
  <c r="AN255" i="7"/>
  <c r="AO255" i="7"/>
  <c r="AP255" i="7"/>
  <c r="AQ255" i="7"/>
  <c r="AR255" i="7"/>
  <c r="AS255" i="7"/>
  <c r="AT255" i="7"/>
  <c r="AU255" i="7"/>
  <c r="AV255" i="7"/>
  <c r="AW255" i="7"/>
  <c r="AX255" i="7"/>
  <c r="AY255" i="7"/>
  <c r="AZ255" i="7"/>
  <c r="BA255" i="7"/>
  <c r="BB255" i="7"/>
  <c r="BC255" i="7"/>
  <c r="BD255" i="7"/>
  <c r="BE255" i="7"/>
  <c r="BF255" i="7"/>
  <c r="BG255" i="7"/>
  <c r="BH255" i="7"/>
  <c r="BI255" i="7"/>
  <c r="BJ255" i="7"/>
  <c r="BK255" i="7"/>
  <c r="BL255" i="7"/>
  <c r="BM255" i="7"/>
  <c r="BN255" i="7"/>
  <c r="BO255" i="7"/>
  <c r="BP255" i="7"/>
  <c r="BQ255" i="7"/>
  <c r="BR255" i="7"/>
  <c r="BS255" i="7"/>
  <c r="BT255" i="7"/>
  <c r="BU255" i="7"/>
  <c r="BV255" i="7"/>
  <c r="BW255" i="7"/>
  <c r="BX255" i="7"/>
  <c r="BY255" i="7"/>
  <c r="BZ255" i="7"/>
  <c r="CA255" i="7"/>
  <c r="CB255" i="7"/>
  <c r="CC255" i="7"/>
  <c r="CD255" i="7"/>
  <c r="CE255" i="7"/>
  <c r="CF255" i="7"/>
  <c r="CG255" i="7"/>
  <c r="CH255" i="7"/>
  <c r="CI255" i="7"/>
  <c r="CJ255" i="7"/>
  <c r="CK255" i="7"/>
  <c r="CL255" i="7"/>
  <c r="CM255" i="7"/>
  <c r="CN255" i="7"/>
  <c r="CO255" i="7"/>
  <c r="CP255" i="7"/>
  <c r="CQ255" i="7"/>
  <c r="CR255" i="7"/>
  <c r="CS255" i="7"/>
  <c r="CT255" i="7"/>
  <c r="CU255" i="7"/>
  <c r="CV255" i="7"/>
  <c r="CW255" i="7"/>
  <c r="CX255" i="7"/>
  <c r="CY255" i="7"/>
  <c r="CZ255" i="7"/>
  <c r="DA255" i="7"/>
  <c r="DB255" i="7"/>
  <c r="DC255" i="7"/>
  <c r="DD255" i="7"/>
  <c r="DE255" i="7"/>
  <c r="DF255" i="7"/>
  <c r="DG255" i="7"/>
  <c r="DH255" i="7"/>
  <c r="DI255" i="7"/>
  <c r="DJ255" i="7"/>
  <c r="DK255" i="7"/>
  <c r="DL255" i="7"/>
  <c r="DM255" i="7"/>
  <c r="DN255" i="7"/>
  <c r="DO255" i="7"/>
  <c r="DP255" i="7"/>
  <c r="DQ255" i="7"/>
  <c r="DR255" i="7"/>
  <c r="DS255" i="7"/>
  <c r="DT255" i="7"/>
  <c r="DU255" i="7"/>
  <c r="DV255" i="7"/>
  <c r="DW255" i="7"/>
  <c r="DX255" i="7"/>
  <c r="DY255" i="7"/>
  <c r="DZ255" i="7"/>
  <c r="EA255" i="7"/>
  <c r="EB255" i="7"/>
  <c r="EC255" i="7"/>
  <c r="ED255" i="7"/>
  <c r="EE255" i="7"/>
  <c r="EF255" i="7"/>
  <c r="EG255" i="7"/>
  <c r="EH255" i="7"/>
  <c r="EI255" i="7"/>
  <c r="EJ255" i="7"/>
  <c r="H256" i="7"/>
  <c r="I256" i="7"/>
  <c r="J256" i="7"/>
  <c r="K256" i="7"/>
  <c r="L256" i="7"/>
  <c r="M256" i="7"/>
  <c r="N256" i="7"/>
  <c r="O256" i="7"/>
  <c r="P256" i="7"/>
  <c r="Q256" i="7"/>
  <c r="R256" i="7"/>
  <c r="S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AJ256" i="7"/>
  <c r="AK256" i="7"/>
  <c r="AL256" i="7"/>
  <c r="AM256" i="7"/>
  <c r="AN256" i="7"/>
  <c r="AO256" i="7"/>
  <c r="AP256" i="7"/>
  <c r="AQ256" i="7"/>
  <c r="AR256" i="7"/>
  <c r="AS256" i="7"/>
  <c r="AT256" i="7"/>
  <c r="AU256" i="7"/>
  <c r="AV256" i="7"/>
  <c r="AW256" i="7"/>
  <c r="AX256" i="7"/>
  <c r="AY256" i="7"/>
  <c r="AZ256" i="7"/>
  <c r="BA256" i="7"/>
  <c r="BB256" i="7"/>
  <c r="BC256" i="7"/>
  <c r="BD256" i="7"/>
  <c r="BE256" i="7"/>
  <c r="BF256" i="7"/>
  <c r="BG256" i="7"/>
  <c r="BH256" i="7"/>
  <c r="BI256" i="7"/>
  <c r="BJ256" i="7"/>
  <c r="BK256" i="7"/>
  <c r="BL256" i="7"/>
  <c r="BM256" i="7"/>
  <c r="BN256" i="7"/>
  <c r="BO256" i="7"/>
  <c r="BP256" i="7"/>
  <c r="BQ256" i="7"/>
  <c r="BR256" i="7"/>
  <c r="BS256" i="7"/>
  <c r="BT256" i="7"/>
  <c r="BU256" i="7"/>
  <c r="BV256" i="7"/>
  <c r="BW256" i="7"/>
  <c r="BX256" i="7"/>
  <c r="BY256" i="7"/>
  <c r="BZ256" i="7"/>
  <c r="CA256" i="7"/>
  <c r="CB256" i="7"/>
  <c r="CC256" i="7"/>
  <c r="CD256" i="7"/>
  <c r="CE256" i="7"/>
  <c r="CF256" i="7"/>
  <c r="CG256" i="7"/>
  <c r="CH256" i="7"/>
  <c r="CI256" i="7"/>
  <c r="CJ256" i="7"/>
  <c r="CK256" i="7"/>
  <c r="CL256" i="7"/>
  <c r="CM256" i="7"/>
  <c r="CN256" i="7"/>
  <c r="CO256" i="7"/>
  <c r="CP256" i="7"/>
  <c r="CQ256" i="7"/>
  <c r="CR256" i="7"/>
  <c r="CS256" i="7"/>
  <c r="CT256" i="7"/>
  <c r="CU256" i="7"/>
  <c r="CV256" i="7"/>
  <c r="CW256" i="7"/>
  <c r="CX256" i="7"/>
  <c r="CY256" i="7"/>
  <c r="CZ256" i="7"/>
  <c r="DA256" i="7"/>
  <c r="DB256" i="7"/>
  <c r="DC256" i="7"/>
  <c r="DD256" i="7"/>
  <c r="DE256" i="7"/>
  <c r="DF256" i="7"/>
  <c r="DG256" i="7"/>
  <c r="DH256" i="7"/>
  <c r="DI256" i="7"/>
  <c r="DJ256" i="7"/>
  <c r="DK256" i="7"/>
  <c r="DL256" i="7"/>
  <c r="DM256" i="7"/>
  <c r="DN256" i="7"/>
  <c r="DO256" i="7"/>
  <c r="DP256" i="7"/>
  <c r="DQ256" i="7"/>
  <c r="DR256" i="7"/>
  <c r="DS256" i="7"/>
  <c r="DT256" i="7"/>
  <c r="DU256" i="7"/>
  <c r="DV256" i="7"/>
  <c r="DW256" i="7"/>
  <c r="DX256" i="7"/>
  <c r="DY256" i="7"/>
  <c r="DZ256" i="7"/>
  <c r="EA256" i="7"/>
  <c r="EB256" i="7"/>
  <c r="EC256" i="7"/>
  <c r="ED256" i="7"/>
  <c r="EE256" i="7"/>
  <c r="EF256" i="7"/>
  <c r="EG256" i="7"/>
  <c r="EH256" i="7"/>
  <c r="EI256" i="7"/>
  <c r="EJ256" i="7"/>
  <c r="C258" i="7"/>
  <c r="H258" i="7"/>
  <c r="I258" i="7"/>
  <c r="J258" i="7"/>
  <c r="K258" i="7"/>
  <c r="L258" i="7"/>
  <c r="M258" i="7"/>
  <c r="N258" i="7"/>
  <c r="O258" i="7"/>
  <c r="P258" i="7"/>
  <c r="Q258" i="7"/>
  <c r="R258" i="7"/>
  <c r="S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AJ258" i="7"/>
  <c r="AK258" i="7"/>
  <c r="AL258" i="7"/>
  <c r="AM258" i="7"/>
  <c r="AN258" i="7"/>
  <c r="AO258" i="7"/>
  <c r="AP258" i="7"/>
  <c r="AQ258" i="7"/>
  <c r="AR258" i="7"/>
  <c r="AS258" i="7"/>
  <c r="AT258" i="7"/>
  <c r="AU258" i="7"/>
  <c r="AV258" i="7"/>
  <c r="AW258" i="7"/>
  <c r="AX258" i="7"/>
  <c r="AY258" i="7"/>
  <c r="AZ258" i="7"/>
  <c r="BA258" i="7"/>
  <c r="BB258" i="7"/>
  <c r="BC258" i="7"/>
  <c r="BD258" i="7"/>
  <c r="BE258" i="7"/>
  <c r="BF258" i="7"/>
  <c r="BG258" i="7"/>
  <c r="BH258" i="7"/>
  <c r="BI258" i="7"/>
  <c r="BJ258" i="7"/>
  <c r="BK258" i="7"/>
  <c r="BL258" i="7"/>
  <c r="BM258" i="7"/>
  <c r="BN258" i="7"/>
  <c r="BO258" i="7"/>
  <c r="BP258" i="7"/>
  <c r="BQ258" i="7"/>
  <c r="BR258" i="7"/>
  <c r="BS258" i="7"/>
  <c r="BT258" i="7"/>
  <c r="BU258" i="7"/>
  <c r="BV258" i="7"/>
  <c r="BW258" i="7"/>
  <c r="BX258" i="7"/>
  <c r="BY258" i="7"/>
  <c r="BZ258" i="7"/>
  <c r="CA258" i="7"/>
  <c r="CB258" i="7"/>
  <c r="CC258" i="7"/>
  <c r="CD258" i="7"/>
  <c r="CE258" i="7"/>
  <c r="CF258" i="7"/>
  <c r="CG258" i="7"/>
  <c r="CH258" i="7"/>
  <c r="CI258" i="7"/>
  <c r="CJ258" i="7"/>
  <c r="CK258" i="7"/>
  <c r="CL258" i="7"/>
  <c r="CM258" i="7"/>
  <c r="CN258" i="7"/>
  <c r="CO258" i="7"/>
  <c r="CP258" i="7"/>
  <c r="CQ258" i="7"/>
  <c r="CR258" i="7"/>
  <c r="CS258" i="7"/>
  <c r="CT258" i="7"/>
  <c r="CU258" i="7"/>
  <c r="CV258" i="7"/>
  <c r="CW258" i="7"/>
  <c r="CX258" i="7"/>
  <c r="CY258" i="7"/>
  <c r="CZ258" i="7"/>
  <c r="DA258" i="7"/>
  <c r="DB258" i="7"/>
  <c r="DC258" i="7"/>
  <c r="DD258" i="7"/>
  <c r="DE258" i="7"/>
  <c r="DF258" i="7"/>
  <c r="DG258" i="7"/>
  <c r="DH258" i="7"/>
  <c r="DI258" i="7"/>
  <c r="DJ258" i="7"/>
  <c r="DK258" i="7"/>
  <c r="DL258" i="7"/>
  <c r="DM258" i="7"/>
  <c r="DN258" i="7"/>
  <c r="DO258" i="7"/>
  <c r="DP258" i="7"/>
  <c r="DQ258" i="7"/>
  <c r="DR258" i="7"/>
  <c r="DS258" i="7"/>
  <c r="DT258" i="7"/>
  <c r="DU258" i="7"/>
  <c r="DV258" i="7"/>
  <c r="DW258" i="7"/>
  <c r="DX258" i="7"/>
  <c r="DY258" i="7"/>
  <c r="DZ258" i="7"/>
  <c r="EA258" i="7"/>
  <c r="EB258" i="7"/>
  <c r="EC258" i="7"/>
  <c r="ED258" i="7"/>
  <c r="EE258" i="7"/>
  <c r="EF258" i="7"/>
  <c r="EG258" i="7"/>
  <c r="EH258" i="7"/>
  <c r="EI258" i="7"/>
  <c r="EJ258" i="7"/>
  <c r="H261" i="7"/>
  <c r="I261" i="7"/>
  <c r="J261" i="7"/>
  <c r="K261" i="7"/>
  <c r="L261" i="7"/>
  <c r="M261" i="7"/>
  <c r="N261" i="7"/>
  <c r="O261" i="7"/>
  <c r="P261" i="7"/>
  <c r="Q261" i="7"/>
  <c r="R261" i="7"/>
  <c r="S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AJ261" i="7"/>
  <c r="AK261" i="7"/>
  <c r="AL261" i="7"/>
  <c r="AM261" i="7"/>
  <c r="AN261" i="7"/>
  <c r="AO261" i="7"/>
  <c r="AP261" i="7"/>
  <c r="AQ261" i="7"/>
  <c r="AR261" i="7"/>
  <c r="AS261" i="7"/>
  <c r="AT261" i="7"/>
  <c r="AU261" i="7"/>
  <c r="AV261" i="7"/>
  <c r="AW261" i="7"/>
  <c r="AX261" i="7"/>
  <c r="AY261" i="7"/>
  <c r="AZ261" i="7"/>
  <c r="BA261" i="7"/>
  <c r="BB261" i="7"/>
  <c r="BC261" i="7"/>
  <c r="BD261" i="7"/>
  <c r="BE261" i="7"/>
  <c r="BF261" i="7"/>
  <c r="BG261" i="7"/>
  <c r="BH261" i="7"/>
  <c r="BI261" i="7"/>
  <c r="BJ261" i="7"/>
  <c r="BK261" i="7"/>
  <c r="BL261" i="7"/>
  <c r="BM261" i="7"/>
  <c r="BN261" i="7"/>
  <c r="BO261" i="7"/>
  <c r="BP261" i="7"/>
  <c r="BQ261" i="7"/>
  <c r="BR261" i="7"/>
  <c r="BS261" i="7"/>
  <c r="BT261" i="7"/>
  <c r="BU261" i="7"/>
  <c r="BV261" i="7"/>
  <c r="BW261" i="7"/>
  <c r="BX261" i="7"/>
  <c r="BY261" i="7"/>
  <c r="BZ261" i="7"/>
  <c r="CA261" i="7"/>
  <c r="CB261" i="7"/>
  <c r="CC261" i="7"/>
  <c r="CD261" i="7"/>
  <c r="CE261" i="7"/>
  <c r="CF261" i="7"/>
  <c r="CG261" i="7"/>
  <c r="CH261" i="7"/>
  <c r="CI261" i="7"/>
  <c r="CJ261" i="7"/>
  <c r="CK261" i="7"/>
  <c r="CL261" i="7"/>
  <c r="CM261" i="7"/>
  <c r="CN261" i="7"/>
  <c r="CO261" i="7"/>
  <c r="CP261" i="7"/>
  <c r="CQ261" i="7"/>
  <c r="CR261" i="7"/>
  <c r="CS261" i="7"/>
  <c r="CT261" i="7"/>
  <c r="CU261" i="7"/>
  <c r="CV261" i="7"/>
  <c r="CW261" i="7"/>
  <c r="CX261" i="7"/>
  <c r="CY261" i="7"/>
  <c r="CZ261" i="7"/>
  <c r="DA261" i="7"/>
  <c r="DB261" i="7"/>
  <c r="DC261" i="7"/>
  <c r="DD261" i="7"/>
  <c r="DE261" i="7"/>
  <c r="DF261" i="7"/>
  <c r="DG261" i="7"/>
  <c r="DH261" i="7"/>
  <c r="DI261" i="7"/>
  <c r="DJ261" i="7"/>
  <c r="DK261" i="7"/>
  <c r="DL261" i="7"/>
  <c r="DM261" i="7"/>
  <c r="DN261" i="7"/>
  <c r="DO261" i="7"/>
  <c r="DP261" i="7"/>
  <c r="DQ261" i="7"/>
  <c r="DR261" i="7"/>
  <c r="DS261" i="7"/>
  <c r="DT261" i="7"/>
  <c r="DU261" i="7"/>
  <c r="DV261" i="7"/>
  <c r="DW261" i="7"/>
  <c r="DX261" i="7"/>
  <c r="DY261" i="7"/>
  <c r="DZ261" i="7"/>
  <c r="EA261" i="7"/>
  <c r="EB261" i="7"/>
  <c r="EC261" i="7"/>
  <c r="ED261" i="7"/>
  <c r="EE261" i="7"/>
  <c r="EF261" i="7"/>
  <c r="EG261" i="7"/>
  <c r="EH261" i="7"/>
  <c r="EI261" i="7"/>
  <c r="EJ261" i="7"/>
  <c r="C263" i="7"/>
  <c r="C264" i="7"/>
  <c r="C265" i="7"/>
  <c r="C266" i="7"/>
  <c r="H268" i="7"/>
  <c r="I268" i="7"/>
  <c r="J268" i="7"/>
  <c r="K268" i="7"/>
  <c r="L268" i="7"/>
  <c r="M268" i="7"/>
  <c r="N268" i="7"/>
  <c r="O268" i="7"/>
  <c r="P268" i="7"/>
  <c r="Q268" i="7"/>
  <c r="R268" i="7"/>
  <c r="S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AJ268" i="7"/>
  <c r="AK268" i="7"/>
  <c r="AL268" i="7"/>
  <c r="AM268" i="7"/>
  <c r="AN268" i="7"/>
  <c r="AO268" i="7"/>
  <c r="AP268" i="7"/>
  <c r="AQ268" i="7"/>
  <c r="AR268" i="7"/>
  <c r="AS268" i="7"/>
  <c r="AT268" i="7"/>
  <c r="AU268" i="7"/>
  <c r="AV268" i="7"/>
  <c r="AW268" i="7"/>
  <c r="AX268" i="7"/>
  <c r="AY268" i="7"/>
  <c r="AZ268" i="7"/>
  <c r="BA268" i="7"/>
  <c r="BB268" i="7"/>
  <c r="BC268" i="7"/>
  <c r="BD268" i="7"/>
  <c r="BE268" i="7"/>
  <c r="BF268" i="7"/>
  <c r="BG268" i="7"/>
  <c r="BH268" i="7"/>
  <c r="BI268" i="7"/>
  <c r="BJ268" i="7"/>
  <c r="BK268" i="7"/>
  <c r="BL268" i="7"/>
  <c r="BM268" i="7"/>
  <c r="BN268" i="7"/>
  <c r="BO268" i="7"/>
  <c r="BP268" i="7"/>
  <c r="BQ268" i="7"/>
  <c r="BR268" i="7"/>
  <c r="BS268" i="7"/>
  <c r="BT268" i="7"/>
  <c r="BU268" i="7"/>
  <c r="BV268" i="7"/>
  <c r="BW268" i="7"/>
  <c r="BX268" i="7"/>
  <c r="BY268" i="7"/>
  <c r="BZ268" i="7"/>
  <c r="CA268" i="7"/>
  <c r="CB268" i="7"/>
  <c r="CC268" i="7"/>
  <c r="CD268" i="7"/>
  <c r="CE268" i="7"/>
  <c r="CF268" i="7"/>
  <c r="CG268" i="7"/>
  <c r="CH268" i="7"/>
  <c r="CI268" i="7"/>
  <c r="CJ268" i="7"/>
  <c r="CK268" i="7"/>
  <c r="CL268" i="7"/>
  <c r="CM268" i="7"/>
  <c r="CN268" i="7"/>
  <c r="CO268" i="7"/>
  <c r="CP268" i="7"/>
  <c r="CQ268" i="7"/>
  <c r="CR268" i="7"/>
  <c r="CS268" i="7"/>
  <c r="CT268" i="7"/>
  <c r="CU268" i="7"/>
  <c r="CV268" i="7"/>
  <c r="CW268" i="7"/>
  <c r="CX268" i="7"/>
  <c r="CY268" i="7"/>
  <c r="CZ268" i="7"/>
  <c r="DA268" i="7"/>
  <c r="DB268" i="7"/>
  <c r="DC268" i="7"/>
  <c r="DD268" i="7"/>
  <c r="DE268" i="7"/>
  <c r="DF268" i="7"/>
  <c r="DG268" i="7"/>
  <c r="DH268" i="7"/>
  <c r="DI268" i="7"/>
  <c r="DJ268" i="7"/>
  <c r="DK268" i="7"/>
  <c r="DL268" i="7"/>
  <c r="DM268" i="7"/>
  <c r="DN268" i="7"/>
  <c r="DO268" i="7"/>
  <c r="DP268" i="7"/>
  <c r="DQ268" i="7"/>
  <c r="DR268" i="7"/>
  <c r="DS268" i="7"/>
  <c r="DT268" i="7"/>
  <c r="DU268" i="7"/>
  <c r="DV268" i="7"/>
  <c r="DW268" i="7"/>
  <c r="DX268" i="7"/>
  <c r="DY268" i="7"/>
  <c r="DZ268" i="7"/>
  <c r="EA268" i="7"/>
  <c r="EB268" i="7"/>
  <c r="EC268" i="7"/>
  <c r="ED268" i="7"/>
  <c r="EE268" i="7"/>
  <c r="EF268" i="7"/>
  <c r="EG268" i="7"/>
  <c r="EH268" i="7"/>
  <c r="EI268" i="7"/>
  <c r="EJ268" i="7"/>
  <c r="C270" i="7"/>
  <c r="C271" i="7"/>
  <c r="C272" i="7"/>
  <c r="C273" i="7"/>
  <c r="H275" i="7"/>
  <c r="I275" i="7"/>
  <c r="J275" i="7"/>
  <c r="K275" i="7"/>
  <c r="L275" i="7"/>
  <c r="M275" i="7"/>
  <c r="N275" i="7"/>
  <c r="O275" i="7"/>
  <c r="P275" i="7"/>
  <c r="Q275" i="7"/>
  <c r="R275" i="7"/>
  <c r="S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AJ275" i="7"/>
  <c r="AK275" i="7"/>
  <c r="AL275" i="7"/>
  <c r="AM275" i="7"/>
  <c r="AN275" i="7"/>
  <c r="AO275" i="7"/>
  <c r="AP275" i="7"/>
  <c r="AQ275" i="7"/>
  <c r="AR275" i="7"/>
  <c r="AS275" i="7"/>
  <c r="AT275" i="7"/>
  <c r="AU275" i="7"/>
  <c r="AV275" i="7"/>
  <c r="AW275" i="7"/>
  <c r="AX275" i="7"/>
  <c r="AY275" i="7"/>
  <c r="AZ275" i="7"/>
  <c r="BA275" i="7"/>
  <c r="BB275" i="7"/>
  <c r="BC275" i="7"/>
  <c r="BD275" i="7"/>
  <c r="BE275" i="7"/>
  <c r="BF275" i="7"/>
  <c r="BG275" i="7"/>
  <c r="BH275" i="7"/>
  <c r="BI275" i="7"/>
  <c r="BJ275" i="7"/>
  <c r="BK275" i="7"/>
  <c r="BL275" i="7"/>
  <c r="BM275" i="7"/>
  <c r="BN275" i="7"/>
  <c r="BO275" i="7"/>
  <c r="BP275" i="7"/>
  <c r="BQ275" i="7"/>
  <c r="BR275" i="7"/>
  <c r="BS275" i="7"/>
  <c r="BT275" i="7"/>
  <c r="BU275" i="7"/>
  <c r="BV275" i="7"/>
  <c r="BW275" i="7"/>
  <c r="BX275" i="7"/>
  <c r="BY275" i="7"/>
  <c r="BZ275" i="7"/>
  <c r="CA275" i="7"/>
  <c r="CB275" i="7"/>
  <c r="CC275" i="7"/>
  <c r="CD275" i="7"/>
  <c r="CE275" i="7"/>
  <c r="CF275" i="7"/>
  <c r="CG275" i="7"/>
  <c r="CH275" i="7"/>
  <c r="CI275" i="7"/>
  <c r="CJ275" i="7"/>
  <c r="CK275" i="7"/>
  <c r="CL275" i="7"/>
  <c r="CM275" i="7"/>
  <c r="CN275" i="7"/>
  <c r="CO275" i="7"/>
  <c r="CP275" i="7"/>
  <c r="CQ275" i="7"/>
  <c r="CR275" i="7"/>
  <c r="CS275" i="7"/>
  <c r="CT275" i="7"/>
  <c r="CU275" i="7"/>
  <c r="CV275" i="7"/>
  <c r="CW275" i="7"/>
  <c r="CX275" i="7"/>
  <c r="CY275" i="7"/>
  <c r="CZ275" i="7"/>
  <c r="DA275" i="7"/>
  <c r="DB275" i="7"/>
  <c r="DC275" i="7"/>
  <c r="DD275" i="7"/>
  <c r="DE275" i="7"/>
  <c r="DF275" i="7"/>
  <c r="DG275" i="7"/>
  <c r="DH275" i="7"/>
  <c r="DI275" i="7"/>
  <c r="DJ275" i="7"/>
  <c r="DK275" i="7"/>
  <c r="DL275" i="7"/>
  <c r="DM275" i="7"/>
  <c r="DN275" i="7"/>
  <c r="DO275" i="7"/>
  <c r="DP275" i="7"/>
  <c r="DQ275" i="7"/>
  <c r="DR275" i="7"/>
  <c r="DS275" i="7"/>
  <c r="DT275" i="7"/>
  <c r="DU275" i="7"/>
  <c r="DV275" i="7"/>
  <c r="DW275" i="7"/>
  <c r="DX275" i="7"/>
  <c r="DY275" i="7"/>
  <c r="DZ275" i="7"/>
  <c r="EA275" i="7"/>
  <c r="EB275" i="7"/>
  <c r="EC275" i="7"/>
  <c r="ED275" i="7"/>
  <c r="EE275" i="7"/>
  <c r="EF275" i="7"/>
  <c r="EG275" i="7"/>
  <c r="EH275" i="7"/>
  <c r="EI275" i="7"/>
  <c r="EJ275" i="7"/>
  <c r="C277" i="7"/>
  <c r="C278" i="7"/>
  <c r="C279" i="7"/>
  <c r="C280" i="7"/>
  <c r="E8" i="14"/>
  <c r="I8" i="14"/>
  <c r="E9" i="14"/>
  <c r="I9" i="14"/>
  <c r="E10" i="14"/>
  <c r="I10" i="14"/>
  <c r="E11" i="14"/>
  <c r="I11" i="14"/>
  <c r="D12" i="14"/>
  <c r="E12" i="14"/>
  <c r="F12" i="14"/>
  <c r="H12" i="14"/>
  <c r="I12" i="14"/>
  <c r="J12" i="14"/>
  <c r="E13" i="14"/>
  <c r="I13" i="14"/>
  <c r="D14" i="14"/>
  <c r="E14" i="14"/>
  <c r="F14" i="14"/>
  <c r="H14" i="14"/>
  <c r="I14" i="14"/>
  <c r="J14" i="14"/>
  <c r="D17" i="14"/>
  <c r="E17" i="14"/>
  <c r="F17" i="14"/>
  <c r="H17" i="14"/>
  <c r="I17" i="14"/>
  <c r="J17" i="14"/>
  <c r="D18" i="14"/>
  <c r="E18" i="14"/>
  <c r="F18" i="14"/>
  <c r="H18" i="14"/>
  <c r="I18" i="14"/>
  <c r="J18" i="14"/>
  <c r="D19" i="14"/>
  <c r="E19" i="14"/>
  <c r="F19" i="14"/>
  <c r="H19" i="14"/>
  <c r="I19" i="14"/>
  <c r="J19" i="14"/>
  <c r="D20" i="14"/>
  <c r="E20" i="14"/>
  <c r="F20" i="14"/>
  <c r="H20" i="14"/>
  <c r="I20" i="14"/>
  <c r="J20" i="14"/>
  <c r="C25" i="14" a="1"/>
  <c r="C25" i="14"/>
  <c r="D25" i="14"/>
  <c r="E25" i="14"/>
  <c r="F25" i="14"/>
  <c r="C26" i="14" a="1"/>
  <c r="C26" i="14"/>
  <c r="D26" i="14"/>
  <c r="E26" i="14"/>
  <c r="F26" i="14"/>
  <c r="C27" i="14" a="1"/>
  <c r="C27" i="14"/>
  <c r="D27" i="14"/>
  <c r="E27" i="14"/>
  <c r="F27" i="14"/>
  <c r="C28" i="14" a="1"/>
  <c r="C28" i="14"/>
  <c r="D28" i="14"/>
  <c r="E28" i="14"/>
  <c r="F28" i="14"/>
  <c r="E29" i="14"/>
  <c r="E33" i="14"/>
  <c r="F33" i="14"/>
  <c r="J33" i="14"/>
  <c r="E34" i="14"/>
  <c r="F34" i="14"/>
  <c r="E35" i="14"/>
  <c r="F35" i="14"/>
  <c r="E36" i="14"/>
  <c r="F36" i="14"/>
  <c r="E37" i="14"/>
  <c r="F37" i="14"/>
  <c r="E38" i="14"/>
  <c r="F38" i="14"/>
  <c r="E45" i="14"/>
  <c r="E46" i="14"/>
  <c r="D47" i="14"/>
  <c r="E47" i="14"/>
  <c r="D48" i="14"/>
  <c r="E48" i="14"/>
  <c r="D49" i="14"/>
  <c r="E49" i="14"/>
  <c r="F75" i="14"/>
  <c r="G75" i="14"/>
  <c r="H75" i="14"/>
  <c r="I75" i="14"/>
  <c r="J75" i="14"/>
  <c r="F76" i="14"/>
  <c r="G76" i="14"/>
  <c r="H76" i="14"/>
  <c r="I76" i="14"/>
  <c r="J76" i="14"/>
  <c r="F77" i="14"/>
  <c r="G77" i="14"/>
  <c r="H77" i="14"/>
  <c r="I77" i="14"/>
  <c r="J77" i="14"/>
  <c r="D81" i="14"/>
  <c r="E81" i="14"/>
  <c r="F81" i="14"/>
  <c r="G81" i="14"/>
  <c r="H81" i="14"/>
  <c r="I81" i="14"/>
  <c r="J81" i="14"/>
  <c r="F83" i="14"/>
  <c r="G83" i="14"/>
  <c r="H83" i="14"/>
  <c r="I83" i="14"/>
  <c r="J83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Aaron Hancock</author>
  </authors>
  <commentList>
    <comment ref="AD7" authorId="0" shapeId="0" xr:uid="{BB96A596-F141-4C0E-83F1-0ED30FF77AAE}">
      <text>
        <r>
          <rPr>
            <b/>
            <sz val="9"/>
            <color indexed="81"/>
            <rFont val="Tahoma"/>
            <family val="2"/>
          </rPr>
          <t>Aaron Hancock:</t>
        </r>
        <r>
          <rPr>
            <sz val="9"/>
            <color indexed="81"/>
            <rFont val="Tahoma"/>
            <family val="2"/>
          </rPr>
          <t xml:space="preserve">
=E54</t>
        </r>
      </text>
    </comment>
    <comment ref="AA12" authorId="0" shapeId="0" xr:uid="{A7958C34-9BF5-4405-8D87-B392E2F3322D}">
      <text>
        <r>
          <rPr>
            <b/>
            <sz val="9"/>
            <color indexed="81"/>
            <rFont val="Tahoma"/>
            <family val="2"/>
          </rPr>
          <t>Aaron Hancock:</t>
        </r>
        <r>
          <rPr>
            <sz val="9"/>
            <color indexed="81"/>
            <rFont val="Tahoma"/>
            <family val="2"/>
          </rPr>
          <t xml:space="preserve">
=J14</t>
        </r>
      </text>
    </comment>
    <comment ref="AD19" authorId="0" shapeId="0" xr:uid="{6B855954-17E7-4805-99FB-6CA9362ECFBA}">
      <text>
        <r>
          <rPr>
            <b/>
            <sz val="9"/>
            <color indexed="81"/>
            <rFont val="Tahoma"/>
            <family val="2"/>
          </rPr>
          <t>Aaron Hancock:</t>
        </r>
        <r>
          <rPr>
            <sz val="9"/>
            <color indexed="81"/>
            <rFont val="Tahoma"/>
            <family val="2"/>
          </rPr>
          <t xml:space="preserve">
=E13</t>
        </r>
      </text>
    </comment>
    <comment ref="AD31" authorId="0" shapeId="0" xr:uid="{57B34CF4-C3F2-45D8-B5E9-5B90DE7C5CA7}">
      <text>
        <r>
          <rPr>
            <b/>
            <sz val="9"/>
            <color indexed="81"/>
            <rFont val="Tahoma"/>
            <family val="2"/>
          </rPr>
          <t>Aaron Hancock:</t>
        </r>
        <r>
          <rPr>
            <sz val="9"/>
            <color indexed="81"/>
            <rFont val="Tahoma"/>
            <family val="2"/>
          </rPr>
          <t xml:space="preserve">
=E75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<sst xmlns="http://schemas.openxmlformats.org/spreadsheetml/2006/main" count="555" uniqueCount="328">
  <si>
    <t>Hold Period</t>
  </si>
  <si>
    <t>Inputs</t>
  </si>
  <si>
    <t>Year</t>
  </si>
  <si>
    <t>Total</t>
  </si>
  <si>
    <t>Property Overview</t>
  </si>
  <si>
    <t>Location</t>
  </si>
  <si>
    <t>Growth</t>
  </si>
  <si>
    <t>Type</t>
  </si>
  <si>
    <t>Occupancy</t>
  </si>
  <si>
    <t>Total Income</t>
  </si>
  <si>
    <t>Name</t>
  </si>
  <si>
    <t>Size</t>
  </si>
  <si>
    <t>Units</t>
  </si>
  <si>
    <t>Year Built</t>
  </si>
  <si>
    <t>Acquisition Date</t>
  </si>
  <si>
    <t>Drivers</t>
  </si>
  <si>
    <t>Assumption</t>
  </si>
  <si>
    <t>Effective Rent / Month</t>
  </si>
  <si>
    <t>Vacancy Loss</t>
  </si>
  <si>
    <t>Non-Revenue Units</t>
  </si>
  <si>
    <t>Total Rental Income</t>
  </si>
  <si>
    <t>Utility Reimbursement</t>
  </si>
  <si>
    <t>Rent</t>
  </si>
  <si>
    <t>Start</t>
  </si>
  <si>
    <t>End</t>
  </si>
  <si>
    <t>Duration</t>
  </si>
  <si>
    <t>Model</t>
  </si>
  <si>
    <t>Rent Growth</t>
  </si>
  <si>
    <t>INCOME</t>
  </si>
  <si>
    <t>Physical Occupancy</t>
  </si>
  <si>
    <t>Other Revenue</t>
  </si>
  <si>
    <t>Total Other Revenue</t>
  </si>
  <si>
    <t>TOTAL INCOME</t>
  </si>
  <si>
    <t>Check</t>
  </si>
  <si>
    <t>Bad Debt</t>
  </si>
  <si>
    <t>Multifamily Property</t>
  </si>
  <si>
    <t>Boston, MA</t>
  </si>
  <si>
    <t>Acq Date</t>
  </si>
  <si>
    <t>Net Effective Rent</t>
  </si>
  <si>
    <t>OPERATING EXPENSES</t>
  </si>
  <si>
    <t>Repairs &amp; Maintenance</t>
  </si>
  <si>
    <t>Turnover</t>
  </si>
  <si>
    <t>Marketing</t>
  </si>
  <si>
    <t>General &amp; Administrative</t>
  </si>
  <si>
    <t>Payroll</t>
  </si>
  <si>
    <t>Management Fees</t>
  </si>
  <si>
    <t>Utilities</t>
  </si>
  <si>
    <t>Real Estate Taxes</t>
  </si>
  <si>
    <t>Property Insurance</t>
  </si>
  <si>
    <t>TOTAL OPERATING EXPENSES</t>
  </si>
  <si>
    <t>NET OPERATING INCOME</t>
  </si>
  <si>
    <t>%</t>
  </si>
  <si>
    <t>Per Unit</t>
  </si>
  <si>
    <t>Capital Reserves</t>
  </si>
  <si>
    <t>Revenue &amp; Expense Assumptions</t>
  </si>
  <si>
    <t>Expense</t>
  </si>
  <si>
    <t>RET</t>
  </si>
  <si>
    <t>Subtotal</t>
  </si>
  <si>
    <t>Capital Expenditures</t>
  </si>
  <si>
    <t>Contingency</t>
  </si>
  <si>
    <t>CAPITAL EXPENDITURES</t>
  </si>
  <si>
    <t>TOTAL CAPITAL EXPENDITURES</t>
  </si>
  <si>
    <t>Exit Date</t>
  </si>
  <si>
    <t>Exit Cap Rate</t>
  </si>
  <si>
    <t>Sale Price</t>
  </si>
  <si>
    <t>Exit Closing Costs</t>
  </si>
  <si>
    <t>Sale Proceeds</t>
  </si>
  <si>
    <t>Forward 12 Month NOI</t>
  </si>
  <si>
    <t>UNLEVERED CASH FLOW</t>
  </si>
  <si>
    <t>Financing Assumptions</t>
  </si>
  <si>
    <t>Start Date</t>
  </si>
  <si>
    <t>Term</t>
  </si>
  <si>
    <t>Maturity Date</t>
  </si>
  <si>
    <t>Loan Amount</t>
  </si>
  <si>
    <t>Interest Rate Spread</t>
  </si>
  <si>
    <t>All-in Rate</t>
  </si>
  <si>
    <t>Interest Only Period</t>
  </si>
  <si>
    <t>Amortization Period</t>
  </si>
  <si>
    <t>Origination Fee</t>
  </si>
  <si>
    <t>LIBOR Index</t>
  </si>
  <si>
    <t>Date</t>
  </si>
  <si>
    <t>LIBOR</t>
  </si>
  <si>
    <t>Amortization Table</t>
  </si>
  <si>
    <t>Payment</t>
  </si>
  <si>
    <t>Beg. Balance</t>
  </si>
  <si>
    <t>Principal</t>
  </si>
  <si>
    <t>Interest</t>
  </si>
  <si>
    <t>End Balance</t>
  </si>
  <si>
    <t>PMT</t>
  </si>
  <si>
    <t>L+</t>
  </si>
  <si>
    <t>Amortization Rate</t>
  </si>
  <si>
    <t>Period</t>
  </si>
  <si>
    <t>FINANCING COSTS</t>
  </si>
  <si>
    <t>Interest Expense</t>
  </si>
  <si>
    <t>Financing Fees</t>
  </si>
  <si>
    <t>Beginning Balance</t>
  </si>
  <si>
    <t>Loan Funding</t>
  </si>
  <si>
    <t>Amortization</t>
  </si>
  <si>
    <t>Loan Payoff</t>
  </si>
  <si>
    <t>Ending Balance</t>
  </si>
  <si>
    <t>LEVERED CASH FLOW</t>
  </si>
  <si>
    <t>Promote</t>
  </si>
  <si>
    <t>Splits</t>
  </si>
  <si>
    <t>Hurdle #1</t>
  </si>
  <si>
    <t>n/a</t>
  </si>
  <si>
    <t>Hurdle #2</t>
  </si>
  <si>
    <t>Hurdle #3</t>
  </si>
  <si>
    <t>Hurdle #4</t>
  </si>
  <si>
    <t>GP Cash Flows After Promote</t>
  </si>
  <si>
    <t>GP Cash Flows Before Promote</t>
  </si>
  <si>
    <t>LP Cash Flows</t>
  </si>
  <si>
    <t>TOTAL CASH FLOWS</t>
  </si>
  <si>
    <t>Remaining Cash Flow</t>
  </si>
  <si>
    <t>Promote Cash Flows</t>
  </si>
  <si>
    <t>GP Cash Flows</t>
  </si>
  <si>
    <t>Promote Hurdle #3 Cash Flows</t>
  </si>
  <si>
    <t>GP Hurdle #3 Cash Flows</t>
  </si>
  <si>
    <t>LP Hurdle #3 Cash Flows</t>
  </si>
  <si>
    <t>Equity Infusions</t>
  </si>
  <si>
    <t>Payoff</t>
  </si>
  <si>
    <t>Preferred Returns</t>
  </si>
  <si>
    <t>Promote Hurdle #2 Cash Flows</t>
  </si>
  <si>
    <t>GP Hurdle #2 Cash Flows</t>
  </si>
  <si>
    <t>LP Hurdle #2 Cash Flows</t>
  </si>
  <si>
    <t>GP Equity %</t>
  </si>
  <si>
    <t>LP Equity %</t>
  </si>
  <si>
    <t>WATERFALL</t>
  </si>
  <si>
    <t>Pref</t>
  </si>
  <si>
    <t>LP Hurdle #4 Cash Flows</t>
  </si>
  <si>
    <t>GP Hurdle #4 Cash Flows</t>
  </si>
  <si>
    <t>Promote Hurdle #4 Cash Flows</t>
  </si>
  <si>
    <t>Joint Venture Assumptions</t>
  </si>
  <si>
    <t>Effective Rent PSF / Month</t>
  </si>
  <si>
    <t>Economic Occupancy</t>
  </si>
  <si>
    <t>Unit Mix</t>
  </si>
  <si>
    <t>Count</t>
  </si>
  <si>
    <t>Studio</t>
  </si>
  <si>
    <t>1 BR, 1 BA</t>
  </si>
  <si>
    <t>2 BR, 2 BA</t>
  </si>
  <si>
    <t>3 BR, 2 BA</t>
  </si>
  <si>
    <t>% of Total</t>
  </si>
  <si>
    <t>Margin</t>
  </si>
  <si>
    <t>Peak Equity</t>
  </si>
  <si>
    <t>IRR</t>
  </si>
  <si>
    <t>Profit</t>
  </si>
  <si>
    <t>Multiple</t>
  </si>
  <si>
    <t>DSCR</t>
  </si>
  <si>
    <t>Debt Yield</t>
  </si>
  <si>
    <t>USES</t>
  </si>
  <si>
    <t>Close</t>
  </si>
  <si>
    <t>Hold</t>
  </si>
  <si>
    <t>Closing Costs</t>
  </si>
  <si>
    <t>Total Uses</t>
  </si>
  <si>
    <t>SOURCES</t>
  </si>
  <si>
    <t>Equity</t>
  </si>
  <si>
    <t>Debt</t>
  </si>
  <si>
    <t>Operating Cashflow</t>
  </si>
  <si>
    <t>Operating Cash Flow</t>
  </si>
  <si>
    <t>Total Sources</t>
  </si>
  <si>
    <t>Transaction Summary</t>
  </si>
  <si>
    <t>Sources &amp; Uses</t>
  </si>
  <si>
    <t>CLOSE</t>
  </si>
  <si>
    <t>HOLD</t>
  </si>
  <si>
    <t>Uses</t>
  </si>
  <si>
    <t>Sources</t>
  </si>
  <si>
    <t>Returns Summary</t>
  </si>
  <si>
    <t>Unlevered Project</t>
  </si>
  <si>
    <t>Vintage</t>
  </si>
  <si>
    <t>Levered Project</t>
  </si>
  <si>
    <t>Total Units</t>
  </si>
  <si>
    <t>Rentable SF</t>
  </si>
  <si>
    <t>Avg Unit Size</t>
  </si>
  <si>
    <t>NOI Summary</t>
  </si>
  <si>
    <t>NOI</t>
  </si>
  <si>
    <t>NOI YoC</t>
  </si>
  <si>
    <t>Delta to Exit Cap</t>
  </si>
  <si>
    <t>Debt Summary</t>
  </si>
  <si>
    <t>Loan Proceeds</t>
  </si>
  <si>
    <t>Leverage (Close / Life)</t>
  </si>
  <si>
    <t>Rate</t>
  </si>
  <si>
    <t>Fees</t>
  </si>
  <si>
    <t>IO Period</t>
  </si>
  <si>
    <t>Maturity</t>
  </si>
  <si>
    <t>Exit Summary</t>
  </si>
  <si>
    <t>Fwd NOI</t>
  </si>
  <si>
    <t>Exit Cap</t>
  </si>
  <si>
    <t>Total $</t>
  </si>
  <si>
    <t>Less: Sale Costs</t>
  </si>
  <si>
    <t>Net Sale Proceeds</t>
  </si>
  <si>
    <t>Less: Outstanding Debt</t>
  </si>
  <si>
    <t>Value</t>
  </si>
  <si>
    <t>Less: Equity</t>
  </si>
  <si>
    <t>Allocation</t>
  </si>
  <si>
    <t>Terminal Value Profit</t>
  </si>
  <si>
    <t>Interim Cash Flow</t>
  </si>
  <si>
    <t>Total Profit</t>
  </si>
  <si>
    <t>Revenue &amp; Expense Summary</t>
  </si>
  <si>
    <t>Year 1</t>
  </si>
  <si>
    <t>Year 2</t>
  </si>
  <si>
    <t>Year 3</t>
  </si>
  <si>
    <t>Year 4</t>
  </si>
  <si>
    <t>Year 5</t>
  </si>
  <si>
    <t>Effective Rent</t>
  </si>
  <si>
    <t>Effective Rent Growth</t>
  </si>
  <si>
    <t>NOI Margin</t>
  </si>
  <si>
    <t>Cash-on-Cash</t>
  </si>
  <si>
    <t>GP</t>
  </si>
  <si>
    <t>LP</t>
  </si>
  <si>
    <t>GP Project</t>
  </si>
  <si>
    <t>GP Promote</t>
  </si>
  <si>
    <t>Deal Summary</t>
  </si>
  <si>
    <t>Joint Venture Summary</t>
  </si>
  <si>
    <t>GP Equity</t>
  </si>
  <si>
    <t>Checks</t>
  </si>
  <si>
    <t>S&amp;U - Close</t>
  </si>
  <si>
    <t>S&amp;U - Monthly</t>
  </si>
  <si>
    <t>S&amp;U - Summary</t>
  </si>
  <si>
    <t>Debt Paydown</t>
  </si>
  <si>
    <t>Deal Profit</t>
  </si>
  <si>
    <t>Remaining CF</t>
  </si>
  <si>
    <t>S&amp;U - Hold</t>
  </si>
  <si>
    <t>Project Returns</t>
  </si>
  <si>
    <t>LP Returns</t>
  </si>
  <si>
    <t>GP Returns after Promote</t>
  </si>
  <si>
    <t>Sensitivity Tables</t>
  </si>
  <si>
    <t>Renovation Premium</t>
  </si>
  <si>
    <t>Annual Rent Growth - Steady State</t>
  </si>
  <si>
    <t>Yield-on-Cost</t>
  </si>
  <si>
    <t>YoC</t>
  </si>
  <si>
    <t>Untrended Stabilized Income</t>
  </si>
  <si>
    <t>Stabilized Occupancy</t>
  </si>
  <si>
    <t>Net Potential Rent</t>
  </si>
  <si>
    <t>Concessions</t>
  </si>
  <si>
    <t>Timetable</t>
  </si>
  <si>
    <t>Acquisition</t>
  </si>
  <si>
    <t>Hard Costs</t>
  </si>
  <si>
    <t>Soft Costs</t>
  </si>
  <si>
    <t>Lease-up</t>
  </si>
  <si>
    <t>Exit</t>
  </si>
  <si>
    <t>Month</t>
  </si>
  <si>
    <t>Stabilization</t>
  </si>
  <si>
    <t>Units Leased / Month</t>
  </si>
  <si>
    <t>Development Budget</t>
  </si>
  <si>
    <t>Total Development Costs</t>
  </si>
  <si>
    <t>% Total</t>
  </si>
  <si>
    <t>Total Cost</t>
  </si>
  <si>
    <t>$ / Unit</t>
  </si>
  <si>
    <t>Land Purchase Price</t>
  </si>
  <si>
    <t>Land Mark-up</t>
  </si>
  <si>
    <t>Site Development</t>
  </si>
  <si>
    <t>Shell Construction</t>
  </si>
  <si>
    <t>FF&amp;E</t>
  </si>
  <si>
    <t>Permitting Fees</t>
  </si>
  <si>
    <t>A&amp;E</t>
  </si>
  <si>
    <t>Legal</t>
  </si>
  <si>
    <t>Development Fee</t>
  </si>
  <si>
    <t>Additional Contingency</t>
  </si>
  <si>
    <t>Soft Cost Contingency</t>
  </si>
  <si>
    <t>Hard Cost Contingency</t>
  </si>
  <si>
    <t>% of Soft Costs</t>
  </si>
  <si>
    <t>% of Hard Costs</t>
  </si>
  <si>
    <t>Investment Month</t>
  </si>
  <si>
    <t>Construction Month</t>
  </si>
  <si>
    <t>Acquisition Costs</t>
  </si>
  <si>
    <t>Other Development Costs</t>
  </si>
  <si>
    <t>Development Timeline</t>
  </si>
  <si>
    <t>BOP - Occupied Units</t>
  </si>
  <si>
    <t>Units Leased</t>
  </si>
  <si>
    <t>EOP - Occupied Units</t>
  </si>
  <si>
    <t>Remaining Unleased Units</t>
  </si>
  <si>
    <t>Lease-up Timeline</t>
  </si>
  <si>
    <t>Lease-up Month</t>
  </si>
  <si>
    <t>Concession Month</t>
  </si>
  <si>
    <t>Concession Burnoff</t>
  </si>
  <si>
    <t>Potential Rent / Month</t>
  </si>
  <si>
    <t>Potential Rent</t>
  </si>
  <si>
    <t>Rent PSF</t>
  </si>
  <si>
    <t>Pre-Construction Leasing</t>
  </si>
  <si>
    <t>Lease-up Assumptions</t>
  </si>
  <si>
    <t>Parking Revenue</t>
  </si>
  <si>
    <t>Other Revenue (per month)</t>
  </si>
  <si>
    <t>Operating Expenses (per year)</t>
  </si>
  <si>
    <t>DEVELOPMENT &amp; SALE</t>
  </si>
  <si>
    <t>TOTAL DEVELOPMENT &amp; SALE</t>
  </si>
  <si>
    <t>Interest Reserve</t>
  </si>
  <si>
    <t>Sources of Financing</t>
  </si>
  <si>
    <t>Loan-to-Cost</t>
  </si>
  <si>
    <t>FUNDING TIMELINE</t>
  </si>
  <si>
    <t>Beginning Blance</t>
  </si>
  <si>
    <t>Draw</t>
  </si>
  <si>
    <t>Unlevered Cash Flow</t>
  </si>
  <si>
    <t>Funding</t>
  </si>
  <si>
    <t>RESERVES</t>
  </si>
  <si>
    <t>Shortfalls</t>
  </si>
  <si>
    <t>Operating Reserve</t>
  </si>
  <si>
    <t>Operating</t>
  </si>
  <si>
    <t>Total Unlevered Costs</t>
  </si>
  <si>
    <t>Financing Costs</t>
  </si>
  <si>
    <t>Stabilized YoC</t>
  </si>
  <si>
    <t>Untrended YoC</t>
  </si>
  <si>
    <t>Investment Overview</t>
  </si>
  <si>
    <t>Total SF</t>
  </si>
  <si>
    <t>Unit Size</t>
  </si>
  <si>
    <t>Debt Draw</t>
  </si>
  <si>
    <t>Dev. Budget</t>
  </si>
  <si>
    <t>Reserves</t>
  </si>
  <si>
    <t>Deal Timetable</t>
  </si>
  <si>
    <t>Untrended Stabilized Operating Expenses</t>
  </si>
  <si>
    <t>Untrended</t>
  </si>
  <si>
    <t>Stabilized</t>
  </si>
  <si>
    <t>Uncollectible Rent</t>
  </si>
  <si>
    <t>Operating Expenses</t>
  </si>
  <si>
    <t>Development Cost</t>
  </si>
  <si>
    <t>Debt Service</t>
  </si>
  <si>
    <t>Loan Funding / Payoff (net of fees)</t>
  </si>
  <si>
    <t>Levered Cash Flow</t>
  </si>
  <si>
    <t>Summary NOI</t>
  </si>
  <si>
    <t>% of Total Development Costs</t>
  </si>
  <si>
    <t>Contingencies</t>
  </si>
  <si>
    <t>% of Land + Hard + Soft Costs (excl. contingency)</t>
  </si>
  <si>
    <t>Unlevered Development Costs</t>
  </si>
  <si>
    <t>Development</t>
  </si>
  <si>
    <t>Fixed Rate</t>
  </si>
  <si>
    <t>Floating</t>
  </si>
  <si>
    <t>Previous Payoff</t>
  </si>
  <si>
    <t>Current Payoff</t>
  </si>
  <si>
    <t>Interest Reserve Draw</t>
  </si>
  <si>
    <t>Operating Reserve Draw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</si>
</sst>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5" formatCode="&quot;$&quot;#,##0_);\(&quot;$&quot;#,##0\)"/>
    <numFmt numFmtId="44" formatCode="_(&quot;$&quot;* #,##0.00_);_(&quot;$&quot;* \(#,##0.00\);_(&quot;$&quot;* &quot;-&quot;??_);_(@_)"/>
    <numFmt numFmtId="164" formatCode="&quot;Year &quot;General"/>
    <numFmt numFmtId="165" formatCode="&quot;Month &quot;General"/>
    <numFmt numFmtId="166" formatCode="General&quot; Months&quot;"/>
    <numFmt numFmtId="167" formatCode="#,##0;\(#,##0\);&quot;–&quot;;@"/>
    <numFmt numFmtId="168" formatCode="0%_);\(0%\);&quot;–&quot;_)"/>
    <numFmt numFmtId="169" formatCode="[$$]#,##0;\([$$]#,##0\);&quot;–&quot;;@"/>
    <numFmt numFmtId="170" formatCode="0.0%_);\(0.0%\);&quot;–&quot;_)"/>
    <numFmt numFmtId="171" formatCode="#,##0_);\(#,##0\);\–_);&quot;–&quot;_)"/>
    <numFmt numFmtId="172" formatCode="&quot;$&quot;#,##0_);\(&quot;$&quot;#,##0\);\–_);&quot;–&quot;_)"/>
    <numFmt numFmtId="173" formatCode="0.0%"/>
    <numFmt numFmtId="174" formatCode="0.00%_);\(0.00%\);&quot;–&quot;_)"/>
    <numFmt numFmtId="175" formatCode="General&quot; bps&quot;"/>
    <numFmt numFmtId="176" formatCode="General&quot; Years&quot;"/>
    <numFmt numFmtId="177" formatCode="[$$]#,##0.00;\([$$]#,##0.00\);&quot;–&quot;;@"/>
    <numFmt numFmtId="178" formatCode="[$$-380A]\ #,##0.00;\-[$$-380A]\ #,##0.00"/>
    <numFmt numFmtId="179" formatCode="0.0\x;\(0.0\x\);&quot;–&quot;"/>
    <numFmt numFmtId="180" formatCode="0.00\x;\(0.00\x\);&quot;–&quot;"/>
    <numFmt numFmtId="181" formatCode="[$$-380A]\ #,##0;\-[$$-380A]\ #,##0"/>
    <numFmt numFmtId="182" formatCode="#,##0.00%_);\(#,##0.00%\)"/>
    <numFmt numFmtId="183" formatCode="General\ &quot;Months&quot;"/>
    <numFmt numFmtId="184" formatCode="#,##0.00;\(#,##0.00\);&quot;–&quot;;@"/>
    <numFmt numFmtId="185" formatCode="0.000000000%_);\(0.000000000%\);&quot;–&quot;_)"/>
    <numFmt numFmtId="186" formatCode="[$$-380A]\ #,##0&quot;/unit&quot;;\-[$$-380A]\ #,##0"/>
  </numFmts>
  <fonts count="25" x14ac:knownFonts="1">
    <font>
      <sz val="11"/>
      <color theme="1"/>
      <name val="Calibri"/>
      <family val="2"/>
      <scheme val="minor"/>
    </font>
    <font>
      <b/>
      <sz val="10"/>
      <color theme="1"/>
      <name val="Palatino Linotype"/>
      <family val="1"/>
    </font>
    <font>
      <sz val="10"/>
      <color theme="1"/>
      <name val="Palatino Linotype"/>
      <family val="1"/>
    </font>
    <font>
      <sz val="10"/>
      <name val="Palatino Linotype"/>
      <family val="1"/>
    </font>
    <font>
      <b/>
      <u/>
      <sz val="10"/>
      <name val="Palatino Linotype"/>
      <family val="1"/>
    </font>
    <font>
      <sz val="10"/>
      <color rgb="FF0000FF"/>
      <name val="Palatino Linotype"/>
      <family val="1"/>
    </font>
    <font>
      <sz val="10"/>
      <color rgb="FF008000"/>
      <name val="Palatino Linotype"/>
      <family val="1"/>
    </font>
    <font>
      <b/>
      <i/>
      <sz val="10"/>
      <color theme="1"/>
      <name val="Palatino Linotype"/>
      <family val="1"/>
    </font>
    <font>
      <b/>
      <i/>
      <sz val="10"/>
      <color rgb="FF008000"/>
      <name val="Palatino Linotype"/>
      <family val="1"/>
    </font>
    <font>
      <u/>
      <sz val="10"/>
      <color theme="1"/>
      <name val="Palatino Linotype"/>
      <family val="1"/>
    </font>
    <font>
      <i/>
      <sz val="10"/>
      <color theme="1"/>
      <name val="Palatino Linotype"/>
      <family val="1"/>
    </font>
    <font>
      <sz val="10"/>
      <color rgb="FFFF0000"/>
      <name val="Palatino Linotype"/>
      <family val="1"/>
    </font>
    <font>
      <b/>
      <sz val="10"/>
      <name val="Palatino Linotype"/>
      <family val="1"/>
    </font>
    <font>
      <u/>
      <sz val="10"/>
      <name val="Palatino Linotype"/>
      <family val="1"/>
    </font>
    <font>
      <b/>
      <u/>
      <sz val="10"/>
      <color theme="1"/>
      <name val="Palatino Linotype"/>
      <family val="1"/>
    </font>
    <font>
      <i/>
      <u/>
      <sz val="10"/>
      <color theme="1"/>
      <name val="Palatino Linotype"/>
      <family val="1"/>
    </font>
    <font>
      <u val="singleAccounting"/>
      <sz val="10"/>
      <name val="Palatino Linotype"/>
      <family val="1"/>
    </font>
    <font>
      <b/>
      <u val="singleAccounting"/>
      <sz val="10"/>
      <color theme="1"/>
      <name val="Palatino Linotype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Palatino Linotype"/>
      <family val="1"/>
    </font>
    <font>
      <u val="singleAccounting"/>
      <sz val="10"/>
      <color theme="1"/>
      <name val="Palatino Linotype"/>
      <family val="1"/>
    </font>
    <font>
      <b/>
      <u val="singleAccounting"/>
      <sz val="10"/>
      <name val="Palatino Linotype"/>
      <family val="1"/>
    </font>
    <font>
      <i/>
      <sz val="10"/>
      <name val="Palatino Linotype"/>
      <family val="1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DEDED"/>
        <bgColor rgb="FF000000"/>
      </patternFill>
    </fill>
    <fill>
      <patternFill patternType="solid">
        <fgColor theme="5" tint="0.79998168889431442"/>
        <bgColor indexed="64"/>
      </patternFill>
    </fill>
  </fills>
  <borders count="3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 style="thin">
        <color rgb="FF000000"/>
      </top>
      <bottom/>
      <diagonal/>
    </border>
  </borders>
  <cellStyleXfs count="3">
    <xf numFmtId="0" fontId="0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</cellStyleXfs>
  <cellXfs count="344">
    <xf numFmtId="0" fontId="0" fillId="0" borderId="0" xfId="0"/>
    <xf numFmtId="0" fontId="2" fillId="0" borderId="0" xfId="0" applyFont="1"/>
    <xf numFmtId="14" fontId="8" fillId="0" borderId="0" xfId="0" applyNumberFormat="1" applyFont="1"/>
    <xf numFmtId="164" fontId="5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8" fillId="0" borderId="0" xfId="0" applyFont="1"/>
    <xf numFmtId="14" fontId="9" fillId="0" borderId="0" xfId="0" applyNumberFormat="1" applyFont="1" applyAlignment="1">
      <alignment horizontal="center"/>
    </xf>
    <xf numFmtId="171" fontId="2" fillId="0" borderId="0" xfId="0" applyNumberFormat="1" applyFont="1"/>
    <xf numFmtId="0" fontId="10" fillId="0" borderId="0" xfId="0" applyFont="1"/>
    <xf numFmtId="0" fontId="1" fillId="0" borderId="0" xfId="0" applyFont="1"/>
    <xf numFmtId="170" fontId="3" fillId="0" borderId="0" xfId="0" applyNumberFormat="1" applyFont="1"/>
    <xf numFmtId="167" fontId="2" fillId="0" borderId="0" xfId="0" applyNumberFormat="1" applyFont="1"/>
    <xf numFmtId="170" fontId="2" fillId="0" borderId="0" xfId="0" applyNumberFormat="1" applyFont="1"/>
    <xf numFmtId="167" fontId="3" fillId="0" borderId="0" xfId="0" applyNumberFormat="1" applyFont="1"/>
    <xf numFmtId="168" fontId="2" fillId="0" borderId="0" xfId="0" applyNumberFormat="1" applyFont="1"/>
    <xf numFmtId="0" fontId="7" fillId="0" borderId="0" xfId="0" applyFont="1"/>
    <xf numFmtId="165" fontId="5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9" fontId="2" fillId="0" borderId="0" xfId="0" applyNumberFormat="1" applyFont="1"/>
    <xf numFmtId="168" fontId="10" fillId="0" borderId="0" xfId="0" applyNumberFormat="1" applyFont="1"/>
    <xf numFmtId="0" fontId="3" fillId="0" borderId="1" xfId="0" applyFont="1" applyBorder="1"/>
    <xf numFmtId="0" fontId="3" fillId="0" borderId="0" xfId="0" applyFont="1"/>
    <xf numFmtId="168" fontId="3" fillId="0" borderId="0" xfId="0" applyNumberFormat="1" applyFont="1"/>
    <xf numFmtId="0" fontId="3" fillId="0" borderId="0" xfId="0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indent="1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Continuous"/>
    </xf>
    <xf numFmtId="0" fontId="4" fillId="0" borderId="1" xfId="0" applyFont="1" applyBorder="1" applyAlignment="1">
      <alignment horizontal="center"/>
    </xf>
    <xf numFmtId="0" fontId="12" fillId="0" borderId="2" xfId="0" applyFont="1" applyBorder="1"/>
    <xf numFmtId="0" fontId="3" fillId="0" borderId="2" xfId="0" applyFont="1" applyBorder="1"/>
    <xf numFmtId="0" fontId="12" fillId="0" borderId="1" xfId="0" applyFont="1" applyBorder="1" applyAlignment="1">
      <alignment horizontal="center"/>
    </xf>
    <xf numFmtId="0" fontId="12" fillId="3" borderId="0" xfId="0" applyFont="1" applyFill="1"/>
    <xf numFmtId="5" fontId="12" fillId="3" borderId="0" xfId="0" applyNumberFormat="1" applyFont="1" applyFill="1"/>
    <xf numFmtId="5" fontId="12" fillId="2" borderId="0" xfId="0" applyNumberFormat="1" applyFont="1" applyFill="1"/>
    <xf numFmtId="0" fontId="12" fillId="2" borderId="0" xfId="0" applyFont="1" applyFill="1"/>
    <xf numFmtId="0" fontId="3" fillId="2" borderId="0" xfId="0" applyFont="1" applyFill="1"/>
    <xf numFmtId="0" fontId="3" fillId="0" borderId="1" xfId="0" applyFont="1" applyBorder="1" applyAlignment="1">
      <alignment horizontal="center"/>
    </xf>
    <xf numFmtId="0" fontId="1" fillId="4" borderId="0" xfId="0" applyFont="1" applyFill="1"/>
    <xf numFmtId="0" fontId="2" fillId="4" borderId="0" xfId="0" applyFont="1" applyFill="1"/>
    <xf numFmtId="0" fontId="1" fillId="5" borderId="0" xfId="0" applyFont="1" applyFill="1"/>
    <xf numFmtId="0" fontId="2" fillId="5" borderId="0" xfId="0" applyFont="1" applyFill="1"/>
    <xf numFmtId="171" fontId="1" fillId="5" borderId="0" xfId="0" applyNumberFormat="1" applyFont="1" applyFill="1"/>
    <xf numFmtId="0" fontId="1" fillId="0" borderId="2" xfId="0" applyFont="1" applyBorder="1"/>
    <xf numFmtId="0" fontId="2" fillId="0" borderId="2" xfId="0" applyFont="1" applyBorder="1"/>
    <xf numFmtId="0" fontId="5" fillId="0" borderId="1" xfId="0" applyFont="1" applyBorder="1" applyAlignment="1">
      <alignment horizontal="right"/>
    </xf>
    <xf numFmtId="0" fontId="5" fillId="0" borderId="0" xfId="0" applyFont="1" applyAlignment="1">
      <alignment horizontal="right"/>
    </xf>
    <xf numFmtId="14" fontId="5" fillId="0" borderId="1" xfId="0" applyNumberFormat="1" applyFont="1" applyBorder="1"/>
    <xf numFmtId="166" fontId="5" fillId="0" borderId="0" xfId="0" applyNumberFormat="1" applyFont="1"/>
    <xf numFmtId="167" fontId="5" fillId="0" borderId="0" xfId="0" applyNumberFormat="1" applyFont="1"/>
    <xf numFmtId="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73" fontId="5" fillId="0" borderId="0" xfId="0" applyNumberFormat="1" applyFont="1" applyAlignment="1">
      <alignment horizontal="center"/>
    </xf>
    <xf numFmtId="173" fontId="3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7" fontId="6" fillId="0" borderId="0" xfId="0" applyNumberFormat="1" applyFont="1"/>
    <xf numFmtId="167" fontId="1" fillId="4" borderId="0" xfId="0" applyNumberFormat="1" applyFont="1" applyFill="1"/>
    <xf numFmtId="169" fontId="10" fillId="0" borderId="0" xfId="0" applyNumberFormat="1" applyFont="1"/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7" fontId="3" fillId="0" borderId="0" xfId="0" applyNumberFormat="1" applyFont="1" applyAlignment="1">
      <alignment horizontal="left" indent="1"/>
    </xf>
    <xf numFmtId="170" fontId="5" fillId="0" borderId="0" xfId="0" applyNumberFormat="1" applyFont="1" applyAlignment="1">
      <alignment horizontal="center"/>
    </xf>
    <xf numFmtId="167" fontId="12" fillId="3" borderId="0" xfId="0" applyNumberFormat="1" applyFont="1" applyFill="1"/>
    <xf numFmtId="167" fontId="12" fillId="2" borderId="0" xfId="0" applyNumberFormat="1" applyFont="1" applyFill="1"/>
    <xf numFmtId="171" fontId="3" fillId="0" borderId="0" xfId="0" applyNumberFormat="1" applyFont="1"/>
    <xf numFmtId="0" fontId="1" fillId="2" borderId="0" xfId="0" applyFont="1" applyFill="1"/>
    <xf numFmtId="174" fontId="5" fillId="0" borderId="0" xfId="0" applyNumberFormat="1" applyFont="1"/>
    <xf numFmtId="0" fontId="10" fillId="0" borderId="0" xfId="0" applyFont="1" applyAlignment="1">
      <alignment horizontal="left"/>
    </xf>
    <xf numFmtId="171" fontId="10" fillId="0" borderId="0" xfId="0" applyNumberFormat="1" applyFont="1"/>
    <xf numFmtId="14" fontId="3" fillId="0" borderId="1" xfId="0" applyNumberFormat="1" applyFont="1" applyBorder="1"/>
    <xf numFmtId="166" fontId="3" fillId="0" borderId="0" xfId="0" applyNumberFormat="1" applyFont="1"/>
    <xf numFmtId="174" fontId="3" fillId="0" borderId="0" xfId="0" applyNumberFormat="1" applyFont="1"/>
    <xf numFmtId="0" fontId="12" fillId="0" borderId="0" xfId="0" applyFont="1"/>
    <xf numFmtId="0" fontId="4" fillId="0" borderId="0" xfId="0" applyFont="1" applyAlignment="1">
      <alignment horizontal="centerContinuous"/>
    </xf>
    <xf numFmtId="174" fontId="5" fillId="0" borderId="0" xfId="0" applyNumberFormat="1" applyFont="1" applyAlignment="1">
      <alignment horizontal="center"/>
    </xf>
    <xf numFmtId="172" fontId="3" fillId="0" borderId="0" xfId="0" applyNumberFormat="1" applyFont="1"/>
    <xf numFmtId="0" fontId="3" fillId="0" borderId="0" xfId="0" quotePrefix="1" applyFont="1" applyAlignment="1">
      <alignment horizontal="right"/>
    </xf>
    <xf numFmtId="176" fontId="5" fillId="0" borderId="0" xfId="0" applyNumberFormat="1" applyFont="1"/>
    <xf numFmtId="14" fontId="5" fillId="0" borderId="0" xfId="0" applyNumberFormat="1" applyFont="1" applyAlignment="1">
      <alignment horizontal="center"/>
    </xf>
    <xf numFmtId="14" fontId="2" fillId="0" borderId="0" xfId="0" applyNumberFormat="1" applyFont="1"/>
    <xf numFmtId="0" fontId="5" fillId="0" borderId="0" xfId="0" applyFont="1"/>
    <xf numFmtId="172" fontId="2" fillId="0" borderId="0" xfId="0" applyNumberFormat="1" applyFont="1"/>
    <xf numFmtId="174" fontId="6" fillId="0" borderId="0" xfId="0" applyNumberFormat="1" applyFont="1"/>
    <xf numFmtId="174" fontId="2" fillId="0" borderId="1" xfId="0" applyNumberFormat="1" applyFont="1" applyBorder="1"/>
    <xf numFmtId="171" fontId="5" fillId="0" borderId="0" xfId="0" applyNumberFormat="1" applyFont="1"/>
    <xf numFmtId="171" fontId="6" fillId="0" borderId="0" xfId="0" applyNumberFormat="1" applyFont="1"/>
    <xf numFmtId="0" fontId="1" fillId="0" borderId="1" xfId="0" applyFont="1" applyBorder="1"/>
    <xf numFmtId="172" fontId="1" fillId="0" borderId="1" xfId="0" applyNumberFormat="1" applyFont="1" applyBorder="1"/>
    <xf numFmtId="0" fontId="3" fillId="0" borderId="1" xfId="0" applyFont="1" applyBorder="1" applyAlignment="1">
      <alignment horizontal="left"/>
    </xf>
    <xf numFmtId="170" fontId="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2" fillId="2" borderId="0" xfId="0" applyFont="1" applyFill="1"/>
    <xf numFmtId="167" fontId="2" fillId="0" borderId="1" xfId="0" applyNumberFormat="1" applyFont="1" applyBorder="1"/>
    <xf numFmtId="0" fontId="1" fillId="0" borderId="1" xfId="0" quotePrefix="1" applyFont="1" applyBorder="1" applyAlignment="1">
      <alignment horizontal="right"/>
    </xf>
    <xf numFmtId="0" fontId="1" fillId="0" borderId="0" xfId="0" quotePrefix="1" applyFont="1" applyAlignment="1">
      <alignment horizontal="right"/>
    </xf>
    <xf numFmtId="170" fontId="5" fillId="0" borderId="1" xfId="0" applyNumberFormat="1" applyFont="1" applyBorder="1" applyAlignment="1">
      <alignment horizontal="center"/>
    </xf>
    <xf numFmtId="170" fontId="2" fillId="0" borderId="0" xfId="0" applyNumberFormat="1" applyFont="1" applyAlignment="1">
      <alignment horizontal="center"/>
    </xf>
    <xf numFmtId="0" fontId="12" fillId="0" borderId="1" xfId="0" applyFont="1" applyBorder="1"/>
    <xf numFmtId="0" fontId="4" fillId="0" borderId="1" xfId="0" applyFont="1" applyBorder="1"/>
    <xf numFmtId="167" fontId="12" fillId="0" borderId="1" xfId="0" applyNumberFormat="1" applyFont="1" applyBorder="1" applyAlignment="1">
      <alignment horizontal="center"/>
    </xf>
    <xf numFmtId="168" fontId="12" fillId="0" borderId="1" xfId="0" applyNumberFormat="1" applyFont="1" applyBorder="1" applyAlignment="1">
      <alignment horizontal="center"/>
    </xf>
    <xf numFmtId="177" fontId="10" fillId="0" borderId="0" xfId="0" applyNumberFormat="1" applyFont="1"/>
    <xf numFmtId="0" fontId="2" fillId="0" borderId="1" xfId="0" applyFont="1" applyBorder="1"/>
    <xf numFmtId="0" fontId="1" fillId="0" borderId="6" xfId="0" applyFont="1" applyBorder="1"/>
    <xf numFmtId="0" fontId="1" fillId="0" borderId="5" xfId="0" applyFont="1" applyBorder="1"/>
    <xf numFmtId="0" fontId="1" fillId="0" borderId="10" xfId="0" applyFont="1" applyBorder="1"/>
    <xf numFmtId="169" fontId="2" fillId="0" borderId="9" xfId="0" applyNumberFormat="1" applyFont="1" applyBorder="1"/>
    <xf numFmtId="170" fontId="2" fillId="0" borderId="9" xfId="0" applyNumberFormat="1" applyFont="1" applyBorder="1"/>
    <xf numFmtId="169" fontId="2" fillId="0" borderId="8" xfId="0" applyNumberFormat="1" applyFont="1" applyBorder="1"/>
    <xf numFmtId="180" fontId="2" fillId="0" borderId="11" xfId="0" applyNumberFormat="1" applyFont="1" applyBorder="1"/>
    <xf numFmtId="179" fontId="10" fillId="0" borderId="0" xfId="0" applyNumberFormat="1" applyFont="1" applyAlignment="1">
      <alignment horizontal="right"/>
    </xf>
    <xf numFmtId="170" fontId="10" fillId="0" borderId="0" xfId="0" applyNumberFormat="1" applyFont="1" applyAlignment="1">
      <alignment horizontal="right"/>
    </xf>
    <xf numFmtId="169" fontId="1" fillId="0" borderId="1" xfId="0" applyNumberFormat="1" applyFont="1" applyBorder="1"/>
    <xf numFmtId="169" fontId="1" fillId="0" borderId="0" xfId="0" applyNumberFormat="1" applyFont="1"/>
    <xf numFmtId="169" fontId="10" fillId="0" borderId="0" xfId="0" applyNumberFormat="1" applyFont="1" applyAlignment="1">
      <alignment horizontal="center"/>
    </xf>
    <xf numFmtId="167" fontId="2" fillId="0" borderId="12" xfId="0" applyNumberFormat="1" applyFont="1" applyBorder="1"/>
    <xf numFmtId="172" fontId="1" fillId="0" borderId="0" xfId="0" applyNumberFormat="1" applyFont="1"/>
    <xf numFmtId="164" fontId="3" fillId="0" borderId="0" xfId="0" applyNumberFormat="1" applyFont="1" applyAlignment="1">
      <alignment horizontal="left"/>
    </xf>
    <xf numFmtId="169" fontId="3" fillId="0" borderId="1" xfId="0" applyNumberFormat="1" applyFont="1" applyBorder="1"/>
    <xf numFmtId="168" fontId="3" fillId="0" borderId="1" xfId="0" applyNumberFormat="1" applyFont="1" applyBorder="1"/>
    <xf numFmtId="168" fontId="12" fillId="0" borderId="1" xfId="0" applyNumberFormat="1" applyFont="1" applyBorder="1"/>
    <xf numFmtId="16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Continuous"/>
    </xf>
    <xf numFmtId="0" fontId="4" fillId="0" borderId="0" xfId="0" applyFont="1"/>
    <xf numFmtId="169" fontId="12" fillId="0" borderId="1" xfId="0" applyNumberFormat="1" applyFont="1" applyBorder="1"/>
    <xf numFmtId="169" fontId="3" fillId="0" borderId="0" xfId="0" applyNumberFormat="1" applyFont="1"/>
    <xf numFmtId="180" fontId="3" fillId="0" borderId="0" xfId="0" applyNumberFormat="1" applyFont="1"/>
    <xf numFmtId="178" fontId="3" fillId="0" borderId="0" xfId="0" applyNumberFormat="1" applyFont="1"/>
    <xf numFmtId="0" fontId="16" fillId="0" borderId="1" xfId="0" applyFont="1" applyBorder="1" applyAlignment="1">
      <alignment horizontal="centerContinuous"/>
    </xf>
    <xf numFmtId="169" fontId="3" fillId="0" borderId="0" xfId="0" applyNumberFormat="1" applyFont="1" applyAlignment="1">
      <alignment horizontal="right"/>
    </xf>
    <xf numFmtId="170" fontId="3" fillId="0" borderId="0" xfId="0" applyNumberFormat="1" applyFont="1" applyAlignment="1">
      <alignment horizontal="right"/>
    </xf>
    <xf numFmtId="180" fontId="3" fillId="0" borderId="0" xfId="0" applyNumberFormat="1" applyFont="1" applyAlignment="1">
      <alignment horizontal="right"/>
    </xf>
    <xf numFmtId="0" fontId="12" fillId="0" borderId="0" xfId="0" applyFont="1" applyAlignment="1">
      <alignment horizontal="center"/>
    </xf>
    <xf numFmtId="181" fontId="3" fillId="0" borderId="0" xfId="0" applyNumberFormat="1" applyFont="1"/>
    <xf numFmtId="14" fontId="16" fillId="0" borderId="0" xfId="0" applyNumberFormat="1" applyFont="1" applyAlignment="1">
      <alignment horizontal="center"/>
    </xf>
    <xf numFmtId="9" fontId="3" fillId="0" borderId="1" xfId="0" applyNumberFormat="1" applyFont="1" applyBorder="1"/>
    <xf numFmtId="0" fontId="3" fillId="0" borderId="0" xfId="0" applyFont="1" applyAlignment="1">
      <alignment horizontal="right"/>
    </xf>
    <xf numFmtId="0" fontId="2" fillId="0" borderId="3" xfId="0" applyFont="1" applyBorder="1" applyAlignment="1">
      <alignment horizontal="center"/>
    </xf>
    <xf numFmtId="179" fontId="2" fillId="0" borderId="0" xfId="0" applyNumberFormat="1" applyFont="1"/>
    <xf numFmtId="0" fontId="17" fillId="0" borderId="0" xfId="0" applyFont="1" applyAlignment="1">
      <alignment horizontal="centerContinuous"/>
    </xf>
    <xf numFmtId="182" fontId="2" fillId="0" borderId="0" xfId="0" applyNumberFormat="1" applyFont="1" applyAlignment="1">
      <alignment horizontal="centerContinuous"/>
    </xf>
    <xf numFmtId="182" fontId="2" fillId="0" borderId="0" xfId="0" applyNumberFormat="1" applyFont="1" applyAlignment="1">
      <alignment horizontal="center"/>
    </xf>
    <xf numFmtId="183" fontId="2" fillId="0" borderId="0" xfId="0" applyNumberFormat="1" applyFont="1" applyAlignment="1">
      <alignment horizontal="centerContinuous"/>
    </xf>
    <xf numFmtId="5" fontId="2" fillId="0" borderId="0" xfId="0" applyNumberFormat="1" applyFont="1" applyAlignment="1">
      <alignment horizontal="center"/>
    </xf>
    <xf numFmtId="182" fontId="5" fillId="0" borderId="0" xfId="0" applyNumberFormat="1" applyFont="1" applyAlignment="1">
      <alignment horizontal="centerContinuous"/>
    </xf>
    <xf numFmtId="182" fontId="5" fillId="0" borderId="0" xfId="0" applyNumberFormat="1" applyFont="1" applyAlignment="1">
      <alignment horizontal="center"/>
    </xf>
    <xf numFmtId="183" fontId="5" fillId="0" borderId="0" xfId="0" applyNumberFormat="1" applyFont="1" applyAlignment="1">
      <alignment horizontal="centerContinuous"/>
    </xf>
    <xf numFmtId="5" fontId="5" fillId="0" borderId="0" xfId="0" applyNumberFormat="1" applyFont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170" fontId="10" fillId="0" borderId="0" xfId="0" applyNumberFormat="1" applyFont="1"/>
    <xf numFmtId="178" fontId="2" fillId="0" borderId="0" xfId="0" applyNumberFormat="1" applyFont="1"/>
    <xf numFmtId="0" fontId="2" fillId="0" borderId="7" xfId="0" applyFont="1" applyBorder="1" applyAlignment="1">
      <alignment horizontal="center"/>
    </xf>
    <xf numFmtId="0" fontId="3" fillId="0" borderId="0" xfId="0" applyFont="1" applyAlignment="1">
      <alignment horizontal="centerContinuous"/>
    </xf>
    <xf numFmtId="1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4" fontId="3" fillId="0" borderId="0" xfId="0" applyNumberFormat="1" applyFont="1"/>
    <xf numFmtId="0" fontId="20" fillId="0" borderId="1" xfId="0" applyFont="1" applyBorder="1"/>
    <xf numFmtId="167" fontId="12" fillId="0" borderId="1" xfId="0" applyNumberFormat="1" applyFont="1" applyBorder="1"/>
    <xf numFmtId="184" fontId="12" fillId="0" borderId="1" xfId="0" applyNumberFormat="1" applyFont="1" applyBorder="1"/>
    <xf numFmtId="185" fontId="2" fillId="0" borderId="0" xfId="0" applyNumberFormat="1" applyFont="1"/>
    <xf numFmtId="0" fontId="2" fillId="0" borderId="18" xfId="0" applyFont="1" applyBorder="1"/>
    <xf numFmtId="0" fontId="21" fillId="0" borderId="0" xfId="0" applyFont="1" applyAlignment="1">
      <alignment horizontal="center"/>
    </xf>
    <xf numFmtId="167" fontId="1" fillId="0" borderId="1" xfId="0" applyNumberFormat="1" applyFont="1" applyBorder="1"/>
    <xf numFmtId="0" fontId="1" fillId="3" borderId="0" xfId="0" applyFont="1" applyFill="1"/>
    <xf numFmtId="167" fontId="10" fillId="0" borderId="0" xfId="0" quotePrefix="1" applyNumberFormat="1" applyFont="1" applyAlignment="1">
      <alignment horizontal="right"/>
    </xf>
    <xf numFmtId="174" fontId="2" fillId="0" borderId="0" xfId="0" applyNumberFormat="1" applyFont="1"/>
    <xf numFmtId="167" fontId="3" fillId="0" borderId="1" xfId="0" applyNumberFormat="1" applyFont="1" applyBorder="1"/>
    <xf numFmtId="169" fontId="2" fillId="0" borderId="19" xfId="0" applyNumberFormat="1" applyFont="1" applyBorder="1"/>
    <xf numFmtId="170" fontId="2" fillId="0" borderId="20" xfId="0" applyNumberFormat="1" applyFont="1" applyBorder="1"/>
    <xf numFmtId="169" fontId="2" fillId="0" borderId="20" xfId="0" applyNumberFormat="1" applyFont="1" applyBorder="1"/>
    <xf numFmtId="180" fontId="2" fillId="0" borderId="21" xfId="0" applyNumberFormat="1" applyFont="1" applyBorder="1"/>
    <xf numFmtId="0" fontId="2" fillId="0" borderId="9" xfId="0" applyFont="1" applyBorder="1"/>
    <xf numFmtId="167" fontId="3" fillId="0" borderId="0" xfId="0" applyNumberFormat="1" applyFont="1" applyAlignment="1">
      <alignment horizontal="right"/>
    </xf>
    <xf numFmtId="181" fontId="12" fillId="0" borderId="1" xfId="0" applyNumberFormat="1" applyFont="1" applyBorder="1"/>
    <xf numFmtId="170" fontId="3" fillId="0" borderId="1" xfId="0" applyNumberFormat="1" applyFont="1" applyBorder="1"/>
    <xf numFmtId="0" fontId="3" fillId="0" borderId="1" xfId="0" applyFont="1" applyBorder="1" applyAlignment="1">
      <alignment horizontal="right"/>
    </xf>
    <xf numFmtId="167" fontId="11" fillId="0" borderId="0" xfId="0" applyNumberFormat="1" applyFont="1"/>
    <xf numFmtId="170" fontId="1" fillId="0" borderId="0" xfId="0" applyNumberFormat="1" applyFont="1"/>
    <xf numFmtId="0" fontId="14" fillId="0" borderId="0" xfId="0" applyFont="1" applyAlignment="1">
      <alignment horizontal="center"/>
    </xf>
    <xf numFmtId="170" fontId="2" fillId="0" borderId="1" xfId="0" applyNumberFormat="1" applyFont="1" applyBorder="1"/>
    <xf numFmtId="0" fontId="22" fillId="0" borderId="1" xfId="0" applyFont="1" applyBorder="1" applyAlignment="1">
      <alignment horizontal="centerContinuous"/>
    </xf>
    <xf numFmtId="167" fontId="3" fillId="0" borderId="1" xfId="0" applyNumberFormat="1" applyFont="1" applyBorder="1" applyAlignment="1">
      <alignment horizontal="center"/>
    </xf>
    <xf numFmtId="14" fontId="16" fillId="0" borderId="23" xfId="0" applyNumberFormat="1" applyFont="1" applyBorder="1" applyAlignment="1">
      <alignment horizontal="center"/>
    </xf>
    <xf numFmtId="165" fontId="3" fillId="0" borderId="22" xfId="0" applyNumberFormat="1" applyFont="1" applyBorder="1" applyAlignment="1">
      <alignment horizontal="center"/>
    </xf>
    <xf numFmtId="169" fontId="3" fillId="0" borderId="22" xfId="0" applyNumberFormat="1" applyFont="1" applyBorder="1"/>
    <xf numFmtId="169" fontId="12" fillId="2" borderId="0" xfId="0" applyNumberFormat="1" applyFont="1" applyFill="1"/>
    <xf numFmtId="169" fontId="12" fillId="2" borderId="23" xfId="0" applyNumberFormat="1" applyFont="1" applyFill="1" applyBorder="1"/>
    <xf numFmtId="169" fontId="12" fillId="2" borderId="0" xfId="0" applyNumberFormat="1" applyFont="1" applyFill="1" applyAlignment="1">
      <alignment horizontal="right"/>
    </xf>
    <xf numFmtId="169" fontId="12" fillId="3" borderId="0" xfId="0" applyNumberFormat="1" applyFont="1" applyFill="1"/>
    <xf numFmtId="0" fontId="23" fillId="0" borderId="0" xfId="0" applyFont="1"/>
    <xf numFmtId="169" fontId="23" fillId="0" borderId="0" xfId="0" applyNumberFormat="1" applyFont="1"/>
    <xf numFmtId="170" fontId="23" fillId="0" borderId="0" xfId="0" applyNumberFormat="1" applyFont="1" applyAlignment="1">
      <alignment horizontal="right"/>
    </xf>
    <xf numFmtId="168" fontId="23" fillId="0" borderId="23" xfId="0" applyNumberFormat="1" applyFont="1" applyBorder="1"/>
    <xf numFmtId="168" fontId="23" fillId="0" borderId="0" xfId="0" applyNumberFormat="1" applyFont="1"/>
    <xf numFmtId="168" fontId="23" fillId="0" borderId="0" xfId="0" applyNumberFormat="1" applyFont="1" applyAlignment="1">
      <alignment horizontal="right"/>
    </xf>
    <xf numFmtId="179" fontId="23" fillId="0" borderId="0" xfId="0" applyNumberFormat="1" applyFont="1" applyAlignment="1">
      <alignment horizontal="right"/>
    </xf>
    <xf numFmtId="0" fontId="12" fillId="6" borderId="0" xfId="0" applyFont="1" applyFill="1"/>
    <xf numFmtId="169" fontId="12" fillId="6" borderId="0" xfId="0" applyNumberFormat="1" applyFont="1" applyFill="1"/>
    <xf numFmtId="170" fontId="12" fillId="6" borderId="0" xfId="0" applyNumberFormat="1" applyFont="1" applyFill="1"/>
    <xf numFmtId="180" fontId="12" fillId="6" borderId="0" xfId="0" applyNumberFormat="1" applyFont="1" applyFill="1"/>
    <xf numFmtId="168" fontId="12" fillId="2" borderId="0" xfId="0" applyNumberFormat="1" applyFont="1" applyFill="1"/>
    <xf numFmtId="0" fontId="3" fillId="0" borderId="0" xfId="0" applyFont="1" applyAlignment="1">
      <alignment vertical="center"/>
    </xf>
    <xf numFmtId="167" fontId="5" fillId="0" borderId="0" xfId="0" applyNumberFormat="1" applyFont="1" applyAlignment="1">
      <alignment horizontal="center" vertical="center"/>
    </xf>
    <xf numFmtId="170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vertical="center"/>
    </xf>
    <xf numFmtId="167" fontId="5" fillId="0" borderId="0" xfId="0" applyNumberFormat="1" applyFont="1" applyAlignment="1">
      <alignment vertical="center"/>
    </xf>
    <xf numFmtId="184" fontId="3" fillId="0" borderId="0" xfId="0" applyNumberFormat="1" applyFont="1" applyAlignment="1">
      <alignment vertical="center"/>
    </xf>
    <xf numFmtId="167" fontId="10" fillId="0" borderId="1" xfId="0" quotePrefix="1" applyNumberFormat="1" applyFont="1" applyBorder="1" applyAlignment="1">
      <alignment horizontal="right"/>
    </xf>
    <xf numFmtId="169" fontId="1" fillId="4" borderId="0" xfId="0" applyNumberFormat="1" applyFont="1" applyFill="1"/>
    <xf numFmtId="169" fontId="2" fillId="4" borderId="0" xfId="0" applyNumberFormat="1" applyFont="1" applyFill="1"/>
    <xf numFmtId="169" fontId="1" fillId="5" borderId="0" xfId="0" applyNumberFormat="1" applyFont="1" applyFill="1"/>
    <xf numFmtId="169" fontId="2" fillId="5" borderId="0" xfId="0" applyNumberFormat="1" applyFont="1" applyFill="1"/>
    <xf numFmtId="169" fontId="12" fillId="5" borderId="0" xfId="0" applyNumberFormat="1" applyFont="1" applyFill="1"/>
    <xf numFmtId="171" fontId="1" fillId="7" borderId="0" xfId="0" applyNumberFormat="1" applyFont="1" applyFill="1"/>
    <xf numFmtId="0" fontId="2" fillId="7" borderId="0" xfId="0" applyFont="1" applyFill="1"/>
    <xf numFmtId="169" fontId="1" fillId="7" borderId="0" xfId="0" applyNumberFormat="1" applyFont="1" applyFill="1"/>
    <xf numFmtId="169" fontId="2" fillId="7" borderId="0" xfId="0" applyNumberFormat="1" applyFont="1" applyFill="1"/>
    <xf numFmtId="0" fontId="1" fillId="7" borderId="0" xfId="0" applyFont="1" applyFill="1" applyAlignment="1">
      <alignment horizontal="left"/>
    </xf>
    <xf numFmtId="169" fontId="1" fillId="7" borderId="0" xfId="0" applyNumberFormat="1" applyFont="1" applyFill="1" applyAlignment="1">
      <alignment horizontal="left"/>
    </xf>
    <xf numFmtId="0" fontId="1" fillId="7" borderId="0" xfId="0" applyFont="1" applyFill="1"/>
    <xf numFmtId="172" fontId="1" fillId="7" borderId="0" xfId="0" applyNumberFormat="1" applyFont="1" applyFill="1"/>
    <xf numFmtId="0" fontId="1" fillId="7" borderId="0" xfId="0" quotePrefix="1" applyFont="1" applyFill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72" fontId="5" fillId="0" borderId="0" xfId="0" applyNumberFormat="1" applyFont="1"/>
    <xf numFmtId="175" fontId="5" fillId="0" borderId="0" xfId="0" applyNumberFormat="1" applyFont="1"/>
    <xf numFmtId="169" fontId="6" fillId="0" borderId="7" xfId="0" applyNumberFormat="1" applyFont="1" applyBorder="1"/>
    <xf numFmtId="169" fontId="6" fillId="0" borderId="3" xfId="0" applyNumberFormat="1" applyFont="1" applyBorder="1"/>
    <xf numFmtId="186" fontId="3" fillId="0" borderId="0" xfId="0" applyNumberFormat="1" applyFont="1"/>
    <xf numFmtId="170" fontId="3" fillId="0" borderId="7" xfId="0" applyNumberFormat="1" applyFont="1" applyBorder="1"/>
    <xf numFmtId="170" fontId="3" fillId="0" borderId="3" xfId="0" applyNumberFormat="1" applyFont="1" applyBorder="1"/>
    <xf numFmtId="173" fontId="3" fillId="0" borderId="0" xfId="0" applyNumberFormat="1" applyFont="1"/>
    <xf numFmtId="167" fontId="2" fillId="0" borderId="7" xfId="0" applyNumberFormat="1" applyFont="1" applyBorder="1"/>
    <xf numFmtId="167" fontId="2" fillId="0" borderId="3" xfId="0" applyNumberFormat="1" applyFont="1" applyBorder="1"/>
    <xf numFmtId="167" fontId="11" fillId="0" borderId="3" xfId="0" applyNumberFormat="1" applyFont="1" applyBorder="1"/>
    <xf numFmtId="167" fontId="11" fillId="0" borderId="1" xfId="0" applyNumberFormat="1" applyFont="1" applyBorder="1"/>
    <xf numFmtId="168" fontId="2" fillId="0" borderId="3" xfId="0" applyNumberFormat="1" applyFont="1" applyBorder="1"/>
    <xf numFmtId="0" fontId="2" fillId="0" borderId="7" xfId="0" applyFont="1" applyBorder="1"/>
    <xf numFmtId="0" fontId="2" fillId="0" borderId="3" xfId="0" applyFont="1" applyBorder="1"/>
    <xf numFmtId="0" fontId="11" fillId="0" borderId="27" xfId="0" applyFont="1" applyBorder="1"/>
    <xf numFmtId="0" fontId="2" fillId="0" borderId="12" xfId="0" applyFont="1" applyBorder="1"/>
    <xf numFmtId="0" fontId="5" fillId="0" borderId="9" xfId="0" applyFont="1" applyBorder="1"/>
    <xf numFmtId="167" fontId="6" fillId="0" borderId="7" xfId="0" applyNumberFormat="1" applyFont="1" applyBorder="1"/>
    <xf numFmtId="167" fontId="6" fillId="0" borderId="27" xfId="0" applyNumberFormat="1" applyFont="1" applyBorder="1"/>
    <xf numFmtId="167" fontId="2" fillId="0" borderId="6" xfId="0" applyNumberFormat="1" applyFont="1" applyBorder="1"/>
    <xf numFmtId="167" fontId="6" fillId="0" borderId="6" xfId="0" applyNumberFormat="1" applyFont="1" applyBorder="1"/>
    <xf numFmtId="0" fontId="6" fillId="0" borderId="27" xfId="0" applyFont="1" applyBorder="1"/>
    <xf numFmtId="170" fontId="2" fillId="0" borderId="7" xfId="0" applyNumberFormat="1" applyFont="1" applyBorder="1"/>
    <xf numFmtId="170" fontId="2" fillId="0" borderId="3" xfId="0" applyNumberFormat="1" applyFont="1" applyBorder="1"/>
    <xf numFmtId="169" fontId="3" fillId="0" borderId="7" xfId="0" applyNumberFormat="1" applyFont="1" applyBorder="1"/>
    <xf numFmtId="169" fontId="3" fillId="0" borderId="3" xfId="0" applyNumberFormat="1" applyFont="1" applyBorder="1"/>
    <xf numFmtId="169" fontId="6" fillId="0" borderId="6" xfId="0" applyNumberFormat="1" applyFont="1" applyBorder="1"/>
    <xf numFmtId="171" fontId="3" fillId="0" borderId="7" xfId="0" applyNumberFormat="1" applyFont="1" applyBorder="1"/>
    <xf numFmtId="169" fontId="2" fillId="0" borderId="7" xfId="0" applyNumberFormat="1" applyFont="1" applyBorder="1"/>
    <xf numFmtId="167" fontId="3" fillId="0" borderId="7" xfId="0" applyNumberFormat="1" applyFont="1" applyBorder="1"/>
    <xf numFmtId="167" fontId="3" fillId="0" borderId="3" xfId="0" applyNumberFormat="1" applyFont="1" applyBorder="1"/>
    <xf numFmtId="167" fontId="3" fillId="0" borderId="6" xfId="0" applyNumberFormat="1" applyFont="1" applyBorder="1"/>
    <xf numFmtId="169" fontId="3" fillId="0" borderId="25" xfId="0" applyNumberFormat="1" applyFont="1" applyBorder="1"/>
    <xf numFmtId="0" fontId="2" fillId="0" borderId="5" xfId="0" applyFont="1" applyBorder="1"/>
    <xf numFmtId="167" fontId="5" fillId="0" borderId="9" xfId="0" applyNumberFormat="1" applyFont="1" applyBorder="1"/>
    <xf numFmtId="167" fontId="5" fillId="0" borderId="6" xfId="0" applyNumberFormat="1" applyFont="1" applyBorder="1"/>
    <xf numFmtId="167" fontId="5" fillId="0" borderId="8" xfId="0" applyNumberFormat="1" applyFont="1" applyBorder="1"/>
    <xf numFmtId="167" fontId="3" fillId="0" borderId="29" xfId="0" applyNumberFormat="1" applyFont="1" applyBorder="1"/>
    <xf numFmtId="167" fontId="3" fillId="0" borderId="27" xfId="0" applyNumberFormat="1" applyFont="1" applyBorder="1"/>
    <xf numFmtId="164" fontId="16" fillId="0" borderId="30" xfId="0" applyNumberFormat="1" applyFont="1" applyBorder="1" applyAlignment="1">
      <alignment horizontal="center"/>
    </xf>
    <xf numFmtId="167" fontId="3" fillId="0" borderId="26" xfId="0" applyNumberFormat="1" applyFont="1" applyBorder="1"/>
    <xf numFmtId="167" fontId="3" fillId="0" borderId="31" xfId="0" applyNumberFormat="1" applyFont="1" applyBorder="1"/>
    <xf numFmtId="169" fontId="3" fillId="0" borderId="32" xfId="0" applyNumberFormat="1" applyFont="1" applyBorder="1"/>
    <xf numFmtId="167" fontId="3" fillId="0" borderId="24" xfId="0" applyNumberFormat="1" applyFont="1" applyBorder="1"/>
    <xf numFmtId="169" fontId="12" fillId="3" borderId="24" xfId="0" applyNumberFormat="1" applyFont="1" applyFill="1" applyBorder="1"/>
    <xf numFmtId="169" fontId="12" fillId="3" borderId="33" xfId="0" applyNumberFormat="1" applyFont="1" applyFill="1" applyBorder="1"/>
    <xf numFmtId="169" fontId="12" fillId="3" borderId="32" xfId="0" applyNumberFormat="1" applyFont="1" applyFill="1" applyBorder="1"/>
    <xf numFmtId="169" fontId="12" fillId="2" borderId="22" xfId="0" applyNumberFormat="1" applyFont="1" applyFill="1" applyBorder="1"/>
    <xf numFmtId="169" fontId="12" fillId="2" borderId="3" xfId="0" applyNumberFormat="1" applyFont="1" applyFill="1" applyBorder="1"/>
    <xf numFmtId="169" fontId="12" fillId="2" borderId="32" xfId="0" applyNumberFormat="1" applyFont="1" applyFill="1" applyBorder="1"/>
    <xf numFmtId="169" fontId="12" fillId="2" borderId="7" xfId="0" applyNumberFormat="1" applyFont="1" applyFill="1" applyBorder="1" applyAlignment="1">
      <alignment horizontal="right"/>
    </xf>
    <xf numFmtId="167" fontId="3" fillId="0" borderId="7" xfId="0" applyNumberFormat="1" applyFont="1" applyBorder="1" applyAlignment="1">
      <alignment horizontal="right"/>
    </xf>
    <xf numFmtId="167" fontId="3" fillId="0" borderId="3" xfId="0" applyNumberFormat="1" applyFont="1" applyBorder="1" applyAlignment="1">
      <alignment horizontal="right"/>
    </xf>
    <xf numFmtId="169" fontId="23" fillId="0" borderId="5" xfId="0" applyNumberFormat="1" applyFont="1" applyBorder="1"/>
    <xf numFmtId="169" fontId="12" fillId="2" borderId="32" xfId="0" applyNumberFormat="1" applyFont="1" applyFill="1" applyBorder="1" applyAlignment="1">
      <alignment horizontal="right"/>
    </xf>
    <xf numFmtId="169" fontId="23" fillId="0" borderId="3" xfId="0" applyNumberFormat="1" applyFont="1" applyBorder="1"/>
    <xf numFmtId="169" fontId="23" fillId="0" borderId="27" xfId="0" applyNumberFormat="1" applyFont="1" applyBorder="1"/>
    <xf numFmtId="169" fontId="23" fillId="0" borderId="28" xfId="0" applyNumberFormat="1" applyFont="1" applyBorder="1"/>
    <xf numFmtId="170" fontId="23" fillId="0" borderId="3" xfId="0" applyNumberFormat="1" applyFont="1" applyBorder="1" applyAlignment="1">
      <alignment horizontal="right"/>
    </xf>
    <xf numFmtId="170" fontId="23" fillId="0" borderId="1" xfId="0" applyNumberFormat="1" applyFont="1" applyBorder="1"/>
    <xf numFmtId="168" fontId="23" fillId="0" borderId="6" xfId="0" applyNumberFormat="1" applyFont="1" applyBorder="1"/>
    <xf numFmtId="168" fontId="23" fillId="0" borderId="3" xfId="0" applyNumberFormat="1" applyFont="1" applyBorder="1"/>
    <xf numFmtId="0" fontId="23" fillId="0" borderId="22" xfId="0" applyFont="1" applyBorder="1"/>
    <xf numFmtId="168" fontId="23" fillId="0" borderId="27" xfId="0" applyNumberFormat="1" applyFont="1" applyBorder="1"/>
    <xf numFmtId="170" fontId="23" fillId="0" borderId="34" xfId="0" applyNumberFormat="1" applyFont="1" applyBorder="1" applyAlignment="1">
      <alignment horizontal="right"/>
    </xf>
    <xf numFmtId="168" fontId="23" fillId="0" borderId="1" xfId="0" applyNumberFormat="1" applyFont="1" applyBorder="1"/>
    <xf numFmtId="170" fontId="23" fillId="0" borderId="35" xfId="0" applyNumberFormat="1" applyFont="1" applyBorder="1" applyAlignment="1">
      <alignment horizontal="right"/>
    </xf>
    <xf numFmtId="170" fontId="23" fillId="0" borderId="36" xfId="0" applyNumberFormat="1" applyFont="1" applyBorder="1"/>
    <xf numFmtId="170" fontId="23" fillId="0" borderId="7" xfId="0" applyNumberFormat="1" applyFont="1" applyBorder="1"/>
    <xf numFmtId="168" fontId="23" fillId="0" borderId="30" xfId="0" applyNumberFormat="1" applyFont="1" applyBorder="1" applyAlignment="1">
      <alignment horizontal="right"/>
    </xf>
    <xf numFmtId="179" fontId="23" fillId="0" borderId="3" xfId="0" applyNumberFormat="1" applyFont="1" applyBorder="1" applyAlignment="1">
      <alignment horizontal="right"/>
    </xf>
    <xf numFmtId="167" fontId="5" fillId="0" borderId="5" xfId="0" applyNumberFormat="1" applyFont="1" applyBorder="1"/>
    <xf numFmtId="0" fontId="2" fillId="3" borderId="0" xfId="0" applyFont="1" applyFill="1"/>
    <xf numFmtId="167" fontId="6" fillId="0" borderId="3" xfId="0" applyNumberFormat="1" applyFont="1" applyBorder="1"/>
    <xf numFmtId="167" fontId="6" fillId="0" borderId="12" xfId="0" applyNumberFormat="1" applyFont="1" applyBorder="1"/>
    <xf numFmtId="167" fontId="10" fillId="0" borderId="12" xfId="0" quotePrefix="1" applyNumberFormat="1" applyFont="1" applyBorder="1" applyAlignment="1">
      <alignment horizontal="right"/>
    </xf>
    <xf numFmtId="167" fontId="2" fillId="0" borderId="27" xfId="0" quotePrefix="1" applyNumberFormat="1" applyFont="1" applyBorder="1" applyAlignment="1">
      <alignment horizontal="right"/>
    </xf>
    <xf numFmtId="169" fontId="2" fillId="0" borderId="3" xfId="0" applyNumberFormat="1" applyFont="1" applyBorder="1"/>
    <xf numFmtId="0" fontId="5" fillId="0" borderId="1" xfId="0" applyFont="1" applyBorder="1"/>
    <xf numFmtId="0" fontId="6" fillId="0" borderId="0" xfId="0" applyFont="1"/>
    <xf numFmtId="0" fontId="20" fillId="0" borderId="0" xfId="0" applyFont="1"/>
    <xf numFmtId="170" fontId="6" fillId="0" borderId="0" xfId="0" applyNumberFormat="1" applyFont="1"/>
    <xf numFmtId="167" fontId="20" fillId="0" borderId="0" xfId="0" applyNumberFormat="1" applyFont="1"/>
    <xf numFmtId="167" fontId="20" fillId="0" borderId="1" xfId="0" applyNumberFormat="1" applyFont="1" applyBorder="1"/>
    <xf numFmtId="170" fontId="10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/>
    </xf>
    <xf numFmtId="0" fontId="5" fillId="0" borderId="7" xfId="0" applyFont="1" applyBorder="1"/>
    <xf numFmtId="166" fontId="5" fillId="0" borderId="3" xfId="0" applyNumberFormat="1" applyFont="1" applyBorder="1" applyAlignment="1">
      <alignment horizontal="right"/>
    </xf>
    <xf numFmtId="166" fontId="5" fillId="0" borderId="7" xfId="0" applyNumberFormat="1" applyFont="1" applyBorder="1" applyAlignment="1">
      <alignment horizontal="right"/>
    </xf>
    <xf numFmtId="165" fontId="5" fillId="0" borderId="7" xfId="0" applyNumberFormat="1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166" fontId="5" fillId="0" borderId="7" xfId="0" applyNumberFormat="1" applyFont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44" fontId="1" fillId="3" borderId="3" xfId="1" applyFont="1" applyFill="1" applyBorder="1"/>
    <xf numFmtId="44" fontId="1" fillId="2" borderId="3" xfId="1" applyFont="1" applyFill="1" applyBorder="1"/>
    <xf numFmtId="9" fontId="2" fillId="0" borderId="0" xfId="2" applyFont="1"/>
    <xf numFmtId="9" fontId="2" fillId="0" borderId="18" xfId="2" applyFont="1" applyBorder="1"/>
    <xf numFmtId="173" fontId="21" fillId="0" borderId="0" xfId="2" applyNumberFormat="1" applyFont="1" applyAlignment="1">
      <alignment horizontal="center"/>
    </xf>
    <xf numFmtId="173" fontId="2" fillId="0" borderId="0" xfId="2" applyNumberFormat="1" applyFont="1"/>
    <xf numFmtId="173" fontId="2" fillId="0" borderId="3" xfId="2" applyNumberFormat="1" applyFont="1" applyBorder="1"/>
    <xf numFmtId="173" fontId="1" fillId="0" borderId="3" xfId="2" applyNumberFormat="1" applyFont="1" applyBorder="1"/>
    <xf numFmtId="173" fontId="2" fillId="0" borderId="1" xfId="2" applyNumberFormat="1" applyFont="1" applyBorder="1"/>
    <xf numFmtId="173" fontId="1" fillId="3" borderId="3" xfId="2" applyNumberFormat="1" applyFont="1" applyFill="1" applyBorder="1"/>
    <xf numFmtId="173" fontId="1" fillId="2" borderId="3" xfId="2" applyNumberFormat="1" applyFont="1" applyFill="1" applyBorder="1"/>
    <xf numFmtId="2" fontId="2" fillId="0" borderId="3" xfId="2" applyNumberFormat="1" applyFont="1" applyBorder="1"/>
    <xf numFmtId="1" fontId="2" fillId="0" borderId="3" xfId="2" applyNumberFormat="1" applyFont="1" applyBorder="1"/>
    <xf numFmtId="1" fontId="2" fillId="0" borderId="3" xfId="0" applyNumberFormat="1" applyFon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10" Type="http://schemas.openxmlformats.org/officeDocument/2006/relationships/externalLink" Target="externalLinks/externalLink6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doug/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mahers/conoco%20old-fixe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Startup" Target="doug/xo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Startup" Target="doug/REFINE/TSO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Startup" Target="TEMP/data/excel/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Startup" Target="DOUG/Modelware/CoP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Startup" Target="DOUG/Modelware/Copy%20of%20COP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Startup" Target="Dave/Company/VSE/VS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Startup" Target="ENERGY/LLOYD/E_&amp;_P/STOCKS/PXP/old%20models/PXP%20Model%20base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rkady/Dropbox%20(Wall%20Street%20Prep)/Course%20Materials-%20WSP/Oil%20&amp;%20Gas%20Modeling/2014/Introduction%20to%20O&amp;G/Interesting%20readings%20&amp;%20resources/O&amp;Gprojectionmodel_complete.xls" TargetMode="External"/><Relationship Id="rId1" Type="http://schemas.openxmlformats.org/officeDocument/2006/relationships/externalLinkPath" Target="/Users/Arkady/Dropbox%20(Wall%20Street%20Prep)/Course%20Materials-%20WSP/Oil%20&amp;%20Gas%20Modeling/2014/Introduction%20to%20O&amp;G/Interesting%20readings%20&amp;%20resources/O&amp;Gprojectionmodel_complete.xls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Roaming/Microsoft/Excel/Development_Solution%20(version%201).xlsb" TargetMode="External"/><Relationship Id="rId2" Type="http://schemas.openxmlformats.org/officeDocument/2006/relationships/externalLinkPath" Target="file:///C:\Users\13135\AppData\Roaming\Microsoft\Excel\Development_Solution%20(version%201).xlsb" TargetMode="External"/><Relationship Id="rId1" Type="http://schemas.openxmlformats.org/officeDocument/2006/relationships/externalLinkPath" Target="/Users/13135/AppData/Roaming/Microsoft/Excel/Development_Solution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"/>
      <sheetName val="BS"/>
      <sheetName val="Variance"/>
      <sheetName val="Segment ROCE"/>
      <sheetName val="Capex"/>
      <sheetName val="E&amp;P"/>
      <sheetName val="Relative"/>
      <sheetName val="ROGIC"/>
      <sheetName val="NEPS"/>
      <sheetName val="Hamaca"/>
      <sheetName val="Bohai"/>
      <sheetName val="Bayu Undan"/>
      <sheetName val="R&amp;M"/>
      <sheetName val="GPM"/>
      <sheetName val="ARCO - Alaska"/>
      <sheetName val="RefineryMaint"/>
      <sheetName val="TOSCO"/>
      <sheetName val="Reserves"/>
      <sheetName val="WACC"/>
      <sheetName val="Valuation"/>
      <sheetName val="NAV"/>
      <sheetName val="Chemical JV"/>
      <sheetName val="Chems"/>
      <sheetName val="EKOFISK"/>
      <sheetName val="PUDS"/>
      <sheetName val="GE Data"/>
      <sheetName val="MainCode"/>
      <sheetName val="NY UPLOAD"/>
      <sheetName val="NY UPLOAD shadow"/>
      <sheetName val="Disclaimer"/>
      <sheetName val="Quarterly"/>
      <sheetName val="IndexInformation"/>
      <sheetName val="NORM"/>
      <sheetName val="NY UPLOAD.bak"/>
      <sheetName val="NY UPLOAD Shadow.bak"/>
      <sheetName val="Normalized"/>
      <sheetName val="DDM"/>
      <sheetName val="B Sheet"/>
      <sheetName val="Ratios"/>
      <sheetName val="SOLP"/>
      <sheetName val="Liquids"/>
      <sheetName val="charts"/>
      <sheetName val="Apples-Ratios"/>
      <sheetName val="IS"/>
      <sheetName val="Quarterly Data"/>
      <sheetName val="Debt"/>
      <sheetName val="Sheet1"/>
      <sheetName val="A-Link Source"/>
      <sheetName val="IBES"/>
      <sheetName val="Model"/>
      <sheetName val="Value-A"/>
      <sheetName val="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"/>
      <sheetName val="Variance"/>
      <sheetName val="BS"/>
      <sheetName val="Capex"/>
      <sheetName val="ROCE"/>
      <sheetName val="Corp. "/>
      <sheetName val="Emerging Bus."/>
      <sheetName val="NEPS"/>
      <sheetName val="Quarterly"/>
      <sheetName val="US E&amp;P"/>
      <sheetName val="Eu.E&amp;P"/>
      <sheetName val="Other E&amp;P"/>
      <sheetName val="P"/>
      <sheetName val="R&amp;M"/>
      <sheetName val="COC vs. Wood Mac Prod. Profile"/>
      <sheetName val="E&amp;P-Conoco"/>
      <sheetName val="E&amp;P-Total"/>
      <sheetName val="GOU"/>
      <sheetName val="PETROZUATA"/>
      <sheetName val="Lifting_DD&amp;A"/>
      <sheetName val="PZ2"/>
      <sheetName val="Corporate ROGIC"/>
      <sheetName val="WACC"/>
      <sheetName val="NAV"/>
      <sheetName val="Reserves"/>
      <sheetName val="Charts"/>
      <sheetName val="Debt Cov"/>
      <sheetName val="NG&amp;GP"/>
      <sheetName val="LOBO"/>
      <sheetName val="Pro-Forma Reserves"/>
      <sheetName val="F&amp;D"/>
      <sheetName val="Split"/>
      <sheetName val="GE Data"/>
      <sheetName val="mStartup"/>
      <sheetName val="NY UPLOAD"/>
      <sheetName val="NY UPLOAD shad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OM"/>
      <sheetName val="BS"/>
      <sheetName val="ROCE"/>
      <sheetName val="Variance"/>
      <sheetName val="E&amp;P"/>
      <sheetName val="CapEx"/>
      <sheetName val="NSOURCE"/>
      <sheetName val="EE&amp;P"/>
      <sheetName val="Global E&amp;P Field Percentages"/>
      <sheetName val="Chems"/>
      <sheetName val="Realtive"/>
      <sheetName val="DIVIS"/>
      <sheetName val="MobilPurchase"/>
      <sheetName val="MKT"/>
      <sheetName val="I R&amp;M"/>
      <sheetName val="R&amp;M"/>
      <sheetName val="NEPS"/>
      <sheetName val="ROGIC"/>
      <sheetName val="Sheet1"/>
      <sheetName val="WACC"/>
      <sheetName val="Reserves"/>
      <sheetName val="MainCode"/>
      <sheetName val="RefineryMaint"/>
      <sheetName val="GE Data"/>
      <sheetName val="NY UPLOAD"/>
      <sheetName val="NY UPLOAD shadow"/>
      <sheetName val="EPPR."/>
      <sheetName val="Disclaimer"/>
      <sheetName val="I.MKT"/>
      <sheetName val="IndexInformation"/>
      <sheetName val="Quarterly"/>
      <sheetName val="NY UPLOAD.bak"/>
      <sheetName val="NY UPLOAD Shadow.bak"/>
      <sheetName val="E&amp;P-2"/>
      <sheetName val="Sheet2"/>
      <sheetName val="OPEBs"/>
      <sheetName val="DCF"/>
      <sheetName val="YUKOS"/>
      <sheetName val="Pensions"/>
      <sheetName val="DEKA"/>
      <sheetName val=""/>
      <sheetName val="mwareTaxoPres"/>
      <sheetName val="Model_Template"/>
      <sheetName val="mwareValPrintout"/>
      <sheetName val="mwarePreview"/>
      <sheetName val="IS"/>
      <sheetName val="E&amp;PIS"/>
      <sheetName val="R&amp;MIS"/>
      <sheetName val="ChemsIS"/>
      <sheetName val="Corporate"/>
      <sheetName val="MODELWARE"/>
      <sheetName val="ReservesRegion"/>
      <sheetName val="Share Repurchase"/>
      <sheetName val="WorkingCapital"/>
      <sheetName val="R&amp;M ROCE by Region"/>
      <sheetName val="IR&amp;M"/>
      <sheetName val="Marketing"/>
      <sheetName val="US Pension"/>
      <sheetName val="Intl Pension"/>
      <sheetName val="A-Link Source"/>
      <sheetName val="DRC"/>
      <sheetName val="Q-Link Source"/>
      <sheetName val="Turnarounds"/>
      <sheetName val="Global Product Sum"/>
      <sheetName val="mwareDates"/>
      <sheetName val="mwareSettings"/>
      <sheetName val="GҘ Data"/>
      <sheetName val="ES_x0009_SHOW.INFO_x0005_SPLIT_x0009_ON.WINDOW_x0007_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O"/>
      <sheetName val="Stats"/>
      <sheetName val="BS"/>
      <sheetName val="NORM"/>
      <sheetName val="ROCE"/>
      <sheetName val="WACC"/>
      <sheetName val="Capex"/>
      <sheetName val="MainCode"/>
      <sheetName val="BP Acquisition"/>
      <sheetName val="Golden Eagle"/>
      <sheetName val="Variance"/>
      <sheetName val="GE Data"/>
      <sheetName val="NY UPLOAD"/>
      <sheetName val="NY UPLOAD Shadow"/>
      <sheetName val="MWare_Cached"/>
      <sheetName val="NYMEX"/>
      <sheetName val="mwareTaxoPres"/>
      <sheetName val="R-Stats"/>
      <sheetName val="M-Stats"/>
      <sheetName val="Debt"/>
      <sheetName val="ShareRepurchase"/>
      <sheetName val="mwareValPrintout"/>
      <sheetName val="mwarePreview"/>
      <sheetName val="Modelware"/>
      <sheetName val="Pensions"/>
      <sheetName val="OPEB"/>
      <sheetName val="TSOIS"/>
      <sheetName val="mwareDates"/>
      <sheetName val="mwareSettings"/>
      <sheetName val="A-Link 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P"/>
      <sheetName val="BS"/>
      <sheetName val="TOSCO"/>
      <sheetName val="Segment ROCE"/>
      <sheetName val="ROGIC"/>
      <sheetName val="E&amp;P"/>
      <sheetName val="NEPS"/>
      <sheetName val="RefineryMaint"/>
      <sheetName val="Hamaca"/>
      <sheetName val="Bohai"/>
      <sheetName val="Bayu Undan"/>
      <sheetName val="R&amp;M"/>
      <sheetName val="GPM"/>
      <sheetName val="Variance"/>
      <sheetName val="ARCO - Alaska"/>
      <sheetName val="Capex"/>
      <sheetName val="Reserves"/>
      <sheetName val="WACC"/>
      <sheetName val="Valuation"/>
      <sheetName val="NAV"/>
      <sheetName val="Chemical JV"/>
      <sheetName val="Chems"/>
      <sheetName val="EKOFISK"/>
      <sheetName val="PUDS"/>
      <sheetName val="GE Data"/>
      <sheetName val="IndexInformation"/>
      <sheetName val="MainCode"/>
      <sheetName val="NY UPLOAD"/>
      <sheetName val="NY UPLOAD Shadow"/>
      <sheetName val="Distribu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wareValPrintout"/>
      <sheetName val="Summary"/>
      <sheetName val="mwarePreview"/>
      <sheetName val="COP"/>
      <sheetName val="TOTIS"/>
      <sheetName val="BS"/>
      <sheetName val="Segment ROCE"/>
      <sheetName val="Modelware"/>
      <sheetName val="E&amp;PIS"/>
      <sheetName val="E&amp;P"/>
      <sheetName val="R&amp;MIS"/>
      <sheetName val="NEW SOURCE"/>
      <sheetName val="CHEMIS"/>
      <sheetName val="Midstream"/>
      <sheetName val="ALASKA"/>
      <sheetName val="Working Cap"/>
      <sheetName val="Corp"/>
      <sheetName val="Capex"/>
      <sheetName val="SYNCRUDE"/>
      <sheetName val="ShareRepurchase"/>
      <sheetName val="OP"/>
      <sheetName val="Debt Schedule"/>
      <sheetName val="COP_Bear_to_Bull_Chart"/>
      <sheetName val="Reserves"/>
      <sheetName val="COP_Bear_to_Bull_Data"/>
      <sheetName val="COP-EN"/>
      <sheetName val="COP_Risk-Reward_View_Chart"/>
      <sheetName val="COP-BR"/>
      <sheetName val="A-Link Source"/>
      <sheetName val="COP-BR Update"/>
      <sheetName val="New Source Charts"/>
      <sheetName val="LNG"/>
      <sheetName val="Q-Link Source"/>
      <sheetName val="mwareTaxoPres"/>
      <sheetName val="US Pension"/>
      <sheetName val="Intl Pension"/>
      <sheetName val="OPEBs"/>
      <sheetName val="Pension Adjustment"/>
      <sheetName val="Variance"/>
      <sheetName val="Admin Pages Follow"/>
      <sheetName val="E&amp;P Growth &amp; Returns"/>
      <sheetName val="STRAT"/>
      <sheetName val="Bayu Undan"/>
      <sheetName val="R&amp;M"/>
      <sheetName val="Hamaca"/>
      <sheetName val="GPM"/>
      <sheetName val="Global Production Interest"/>
      <sheetName val="Bohai"/>
      <sheetName val="Chemical JV"/>
      <sheetName val="Chems"/>
      <sheetName val="EKOFISK"/>
      <sheetName val="PUDS"/>
      <sheetName val="MainCode"/>
      <sheetName val="mwareSettings"/>
      <sheetName val="Global Product Sum"/>
      <sheetName val="mwareDates"/>
      <sheetName val="NY UPLOAD shadow"/>
      <sheetName val="COP - RRV"/>
      <sheetName val="mwareDates_39111_8204615"/>
      <sheetName val="MWare_Cached"/>
      <sheetName val="NewReserves"/>
      <sheetName val="DEKA"/>
      <sheetName val="GE Data"/>
      <sheetName val="NY UPL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wareValPrintout"/>
      <sheetName val="Summary"/>
      <sheetName val="mwarePreview"/>
      <sheetName val="COP"/>
      <sheetName val="TOTIS"/>
      <sheetName val="Variance"/>
      <sheetName val="Segment ROCE"/>
      <sheetName val="BS"/>
      <sheetName val="E&amp;PIS"/>
      <sheetName val="RRV"/>
      <sheetName val="R&amp;MIS"/>
      <sheetName val="CHEMIS"/>
      <sheetName val="E&amp;P"/>
      <sheetName val="Corp"/>
      <sheetName val="NEW SOURCE"/>
      <sheetName val="COP-BR"/>
      <sheetName val="COP-BR Update"/>
      <sheetName val="Modelware"/>
      <sheetName val="Capex"/>
      <sheetName val="Midstream"/>
      <sheetName val="Reserves"/>
      <sheetName val="Working Cap"/>
      <sheetName val="Debt Schedule"/>
      <sheetName val="A-Link Source"/>
      <sheetName val="ShareRepurchase"/>
      <sheetName val="New Source Charts"/>
      <sheetName val="LNG"/>
      <sheetName val="Q-Link Source"/>
      <sheetName val="mwareTaxoPres"/>
      <sheetName val="US Pension"/>
      <sheetName val="Intl Pension"/>
      <sheetName val="OPEBs"/>
      <sheetName val="Pension Adjustment"/>
      <sheetName val="Admin Pages Follow"/>
      <sheetName val="E&amp;P Growth &amp; Returns"/>
      <sheetName val="STRAT"/>
      <sheetName val="Bayu Undan"/>
      <sheetName val="R&amp;M"/>
      <sheetName val="Hamaca"/>
      <sheetName val="GPM"/>
      <sheetName val="Global Production Interest"/>
      <sheetName val="Bohai"/>
      <sheetName val="Chemical JV"/>
      <sheetName val="Chems"/>
      <sheetName val="EKOFISK"/>
      <sheetName val="PUDS"/>
      <sheetName val="MainCode"/>
      <sheetName val="mwareDates"/>
      <sheetName val="mwareSettings"/>
      <sheetName val="Global Product Sum"/>
      <sheetName val="NY UPLOAD shadow"/>
      <sheetName val="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nce (2)"/>
      <sheetName val="Forecast Change"/>
      <sheetName val="Variance"/>
      <sheetName val="INPUTS"/>
      <sheetName val="VeraSun"/>
      <sheetName val="DCF"/>
      <sheetName val="Comps"/>
      <sheetName val="VE85"/>
      <sheetName val="Conversions"/>
      <sheetName val="calc summary"/>
      <sheetName val="Plants"/>
      <sheetName val="Risk-Reward_View_Chart"/>
      <sheetName val="Bear_to_Bull_Chart"/>
      <sheetName val="Bear_to_Bull_Data"/>
      <sheetName val="Modelware"/>
      <sheetName val="mwareDates"/>
      <sheetName val="mwareSettings"/>
      <sheetName val="A-Link Source"/>
      <sheetName val="Val Snapshot"/>
      <sheetName val="Q-Link Source"/>
      <sheetName val="DCF Summary"/>
      <sheetName val="New Source Charts"/>
      <sheetName val="Segment ROCE"/>
      <sheetName val="BS"/>
      <sheetName val="COP"/>
      <sheetName val="R&amp;MIS"/>
      <sheetName val="E&amp;P Growth &amp; Retur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ware items"/>
      <sheetName val="charts"/>
      <sheetName val="Old_NEW"/>
      <sheetName val="EPS notes"/>
      <sheetName val="Est v Act"/>
      <sheetName val="GUIDANCE"/>
      <sheetName val="PXP"/>
      <sheetName val="__FDSCACHE__"/>
      <sheetName val="Valuation"/>
      <sheetName val="Hedges"/>
      <sheetName val="Reserves &amp; Capex"/>
      <sheetName val="Unbooked Summary"/>
      <sheetName val="Benchmark Prices"/>
      <sheetName val="Oil sale split"/>
      <sheetName val="ASSETS"/>
      <sheetName val="Basin summary"/>
      <sheetName val="Pension"/>
      <sheetName val="Deferred taxes"/>
      <sheetName val="mwareDates"/>
      <sheetName val="test"/>
      <sheetName val="mwareSettings"/>
      <sheetName val="Plants"/>
      <sheetName val="VeraSun"/>
      <sheetName val="Forecast Change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tro"/>
      <sheetName val="finmodeling"/>
      <sheetName val="E&amp;P"/>
      <sheetName val="Price  Deck"/>
      <sheetName val="E&amp;PIS"/>
      <sheetName val="CAPEX"/>
      <sheetName val="Chemicals"/>
      <sheetName val="BoostToolkitClipBoard2010"/>
      <sheetName val="Reserves"/>
      <sheetName val="Hedge"/>
      <sheetName val="SEC PV 10"/>
    </sheetNames>
    <sheetDataSet>
      <sheetData sheetId="0"/>
      <sheetData sheetId="1"/>
      <sheetData sheetId="2">
        <row r="6">
          <cell r="D6">
            <v>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ransaction Summary"/>
      <sheetName val="Inputs &amp; Drivers"/>
      <sheetName val="Model"/>
      <sheetName val="Development Budget"/>
    </sheetNames>
    <sheetDataSet>
      <sheetData sheetId="0">
        <row r="61">
          <cell r="E61">
            <v>32</v>
          </cell>
        </row>
      </sheetData>
      <sheetData sheetId="1"/>
      <sheetData sheetId="2">
        <row r="5">
          <cell r="H5">
            <v>0</v>
          </cell>
          <cell r="I5">
            <v>1</v>
          </cell>
          <cell r="J5">
            <v>2</v>
          </cell>
          <cell r="K5">
            <v>3</v>
          </cell>
          <cell r="L5">
            <v>4</v>
          </cell>
          <cell r="M5">
            <v>5</v>
          </cell>
          <cell r="N5">
            <v>6</v>
          </cell>
          <cell r="O5">
            <v>7</v>
          </cell>
          <cell r="P5">
            <v>8</v>
          </cell>
          <cell r="Q5">
            <v>9</v>
          </cell>
          <cell r="R5">
            <v>10</v>
          </cell>
          <cell r="S5">
            <v>11</v>
          </cell>
          <cell r="T5">
            <v>12</v>
          </cell>
          <cell r="U5">
            <v>13</v>
          </cell>
          <cell r="V5">
            <v>14</v>
          </cell>
          <cell r="W5">
            <v>15</v>
          </cell>
          <cell r="X5">
            <v>16</v>
          </cell>
          <cell r="Y5">
            <v>17</v>
          </cell>
          <cell r="Z5">
            <v>18</v>
          </cell>
          <cell r="AA5">
            <v>19</v>
          </cell>
          <cell r="AB5">
            <v>20</v>
          </cell>
          <cell r="AC5">
            <v>21</v>
          </cell>
          <cell r="AD5">
            <v>22</v>
          </cell>
          <cell r="AE5">
            <v>23</v>
          </cell>
          <cell r="AF5">
            <v>24</v>
          </cell>
          <cell r="AG5">
            <v>25</v>
          </cell>
          <cell r="AH5">
            <v>26</v>
          </cell>
          <cell r="AI5">
            <v>27</v>
          </cell>
          <cell r="AJ5">
            <v>28</v>
          </cell>
          <cell r="AK5">
            <v>29</v>
          </cell>
          <cell r="AL5">
            <v>30</v>
          </cell>
          <cell r="AM5">
            <v>31</v>
          </cell>
          <cell r="AN5">
            <v>32</v>
          </cell>
          <cell r="AO5">
            <v>33</v>
          </cell>
          <cell r="AP5">
            <v>34</v>
          </cell>
          <cell r="AQ5">
            <v>35</v>
          </cell>
          <cell r="AR5">
            <v>36</v>
          </cell>
          <cell r="AS5">
            <v>37</v>
          </cell>
          <cell r="AT5">
            <v>38</v>
          </cell>
          <cell r="AU5">
            <v>39</v>
          </cell>
          <cell r="AV5">
            <v>40</v>
          </cell>
          <cell r="AW5">
            <v>41</v>
          </cell>
          <cell r="AX5">
            <v>42</v>
          </cell>
          <cell r="AY5">
            <v>43</v>
          </cell>
          <cell r="AZ5">
            <v>44</v>
          </cell>
          <cell r="BA5">
            <v>45</v>
          </cell>
          <cell r="BB5">
            <v>46</v>
          </cell>
          <cell r="BC5">
            <v>47</v>
          </cell>
          <cell r="BD5">
            <v>48</v>
          </cell>
          <cell r="BE5">
            <v>49</v>
          </cell>
          <cell r="BF5">
            <v>50</v>
          </cell>
          <cell r="BG5">
            <v>51</v>
          </cell>
          <cell r="BH5">
            <v>52</v>
          </cell>
          <cell r="BI5">
            <v>53</v>
          </cell>
          <cell r="BJ5">
            <v>54</v>
          </cell>
          <cell r="BK5">
            <v>55</v>
          </cell>
          <cell r="BL5">
            <v>56</v>
          </cell>
          <cell r="BM5">
            <v>57</v>
          </cell>
          <cell r="BN5">
            <v>58</v>
          </cell>
          <cell r="BO5">
            <v>59</v>
          </cell>
          <cell r="BP5">
            <v>60</v>
          </cell>
          <cell r="BQ5">
            <v>61</v>
          </cell>
          <cell r="BR5">
            <v>62</v>
          </cell>
          <cell r="BS5">
            <v>63</v>
          </cell>
          <cell r="BT5">
            <v>64</v>
          </cell>
          <cell r="BU5">
            <v>65</v>
          </cell>
          <cell r="BV5">
            <v>66</v>
          </cell>
          <cell r="BW5">
            <v>67</v>
          </cell>
          <cell r="BX5">
            <v>68</v>
          </cell>
          <cell r="BY5">
            <v>69</v>
          </cell>
          <cell r="BZ5">
            <v>70</v>
          </cell>
          <cell r="CA5">
            <v>71</v>
          </cell>
          <cell r="CB5">
            <v>72</v>
          </cell>
          <cell r="CC5">
            <v>73</v>
          </cell>
          <cell r="CD5">
            <v>74</v>
          </cell>
          <cell r="CE5">
            <v>75</v>
          </cell>
          <cell r="CF5">
            <v>76</v>
          </cell>
          <cell r="CG5">
            <v>77</v>
          </cell>
          <cell r="CH5">
            <v>78</v>
          </cell>
          <cell r="CI5">
            <v>79</v>
          </cell>
          <cell r="CJ5">
            <v>80</v>
          </cell>
          <cell r="CK5">
            <v>81</v>
          </cell>
          <cell r="CL5">
            <v>82</v>
          </cell>
          <cell r="CM5">
            <v>83</v>
          </cell>
          <cell r="CN5">
            <v>84</v>
          </cell>
          <cell r="CO5">
            <v>85</v>
          </cell>
          <cell r="CP5">
            <v>86</v>
          </cell>
          <cell r="CQ5">
            <v>87</v>
          </cell>
          <cell r="CR5">
            <v>88</v>
          </cell>
          <cell r="CS5">
            <v>89</v>
          </cell>
          <cell r="CT5">
            <v>90</v>
          </cell>
          <cell r="CU5">
            <v>91</v>
          </cell>
          <cell r="CV5">
            <v>92</v>
          </cell>
          <cell r="CW5">
            <v>93</v>
          </cell>
          <cell r="CX5">
            <v>94</v>
          </cell>
          <cell r="CY5">
            <v>95</v>
          </cell>
          <cell r="CZ5">
            <v>96</v>
          </cell>
          <cell r="DA5">
            <v>97</v>
          </cell>
          <cell r="DB5">
            <v>98</v>
          </cell>
          <cell r="DC5">
            <v>99</v>
          </cell>
          <cell r="DD5">
            <v>100</v>
          </cell>
          <cell r="DE5">
            <v>101</v>
          </cell>
          <cell r="DF5">
            <v>102</v>
          </cell>
          <cell r="DG5">
            <v>103</v>
          </cell>
          <cell r="DH5">
            <v>104</v>
          </cell>
          <cell r="DI5">
            <v>105</v>
          </cell>
          <cell r="DJ5">
            <v>106</v>
          </cell>
          <cell r="DK5">
            <v>107</v>
          </cell>
          <cell r="DL5">
            <v>108</v>
          </cell>
          <cell r="DM5">
            <v>109</v>
          </cell>
          <cell r="DN5">
            <v>110</v>
          </cell>
          <cell r="DO5">
            <v>111</v>
          </cell>
          <cell r="DP5">
            <v>112</v>
          </cell>
          <cell r="DQ5">
            <v>113</v>
          </cell>
          <cell r="DR5">
            <v>114</v>
          </cell>
          <cell r="DS5">
            <v>115</v>
          </cell>
          <cell r="DT5">
            <v>116</v>
          </cell>
          <cell r="DU5">
            <v>117</v>
          </cell>
          <cell r="DV5">
            <v>118</v>
          </cell>
          <cell r="DW5">
            <v>119</v>
          </cell>
          <cell r="DX5">
            <v>120</v>
          </cell>
          <cell r="DY5">
            <v>121</v>
          </cell>
          <cell r="DZ5">
            <v>122</v>
          </cell>
          <cell r="EA5">
            <v>123</v>
          </cell>
          <cell r="EB5">
            <v>124</v>
          </cell>
          <cell r="EC5">
            <v>125</v>
          </cell>
          <cell r="ED5">
            <v>126</v>
          </cell>
          <cell r="EE5">
            <v>127</v>
          </cell>
          <cell r="EF5">
            <v>128</v>
          </cell>
          <cell r="EG5">
            <v>129</v>
          </cell>
          <cell r="EH5">
            <v>130</v>
          </cell>
          <cell r="EI5">
            <v>131</v>
          </cell>
          <cell r="EJ5">
            <v>132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C1C5A-B48D-4528-BF3C-543D71690FE2}">
  <dimension ref="B2:P85"/>
  <sheetViews>
    <sheetView showGridLines="0" topLeftCell="C1" zoomScaleNormal="100" workbookViewId="0">
      <selection activeCell="J84" sqref="J84"/>
    </sheetView>
  </sheetViews>
  <sheetFormatPr defaultColWidth="9.1796875" defaultRowHeight="14.5" x14ac:dyDescent="0.4"/>
  <cols>
    <col min="1" max="1" width="9.1796875" style="22"/>
    <col min="2" max="2" width="21.1796875" style="22" bestFit="1" customWidth="1"/>
    <col min="3" max="3" width="19.26953125" style="22" customWidth="1"/>
    <col min="4" max="10" width="15.7265625" style="22" customWidth="1"/>
    <col min="11" max="11" width="9.1796875" style="22"/>
    <col min="12" max="12" width="11.26953125" style="22" bestFit="1" customWidth="1"/>
    <col min="13" max="13" width="9.1796875" style="22"/>
    <col min="14" max="15" width="10.81640625" style="22" bestFit="1" customWidth="1"/>
    <col min="16" max="16384" width="9.1796875" style="22"/>
  </cols>
  <sheetData>
    <row r="2" spans="2:16" ht="15" thickBot="1" x14ac:dyDescent="0.45">
      <c r="B2" s="31" t="s">
        <v>159</v>
      </c>
      <c r="C2" s="31"/>
      <c r="D2" s="31"/>
      <c r="E2" s="31"/>
      <c r="F2" s="31"/>
      <c r="G2" s="31"/>
      <c r="H2" s="31"/>
      <c r="I2" s="31"/>
      <c r="J2" s="31"/>
    </row>
    <row r="3" spans="2:16" ht="15" thickTop="1" x14ac:dyDescent="0.4">
      <c r="B3" s="21"/>
      <c r="C3" s="21"/>
      <c r="D3" s="21"/>
      <c r="E3" s="21"/>
      <c r="F3" s="21"/>
      <c r="G3" s="21"/>
      <c r="H3" s="21"/>
      <c r="I3" s="21"/>
      <c r="J3" s="21"/>
    </row>
    <row r="4" spans="2:16" x14ac:dyDescent="0.4">
      <c r="B4" s="28" t="s">
        <v>160</v>
      </c>
      <c r="C4" s="29"/>
      <c r="D4" s="29"/>
      <c r="E4" s="29"/>
      <c r="F4" s="29"/>
      <c r="G4" s="29"/>
      <c r="H4" s="29"/>
      <c r="I4" s="29"/>
      <c r="J4" s="29"/>
    </row>
    <row r="5" spans="2:16" ht="16" x14ac:dyDescent="0.55000000000000004">
      <c r="B5" s="21"/>
      <c r="C5" s="21"/>
      <c r="D5" s="133" t="s">
        <v>161</v>
      </c>
      <c r="E5" s="133"/>
      <c r="F5" s="133"/>
      <c r="G5" s="21"/>
      <c r="H5" s="133" t="s">
        <v>162</v>
      </c>
      <c r="I5" s="133"/>
      <c r="J5" s="133"/>
    </row>
    <row r="6" spans="2:16" ht="16" x14ac:dyDescent="0.55000000000000004">
      <c r="D6" s="127" t="s">
        <v>3</v>
      </c>
      <c r="E6" s="127" t="s">
        <v>140</v>
      </c>
      <c r="F6" s="127" t="s">
        <v>52</v>
      </c>
      <c r="H6" s="127" t="s">
        <v>3</v>
      </c>
      <c r="I6" s="127" t="s">
        <v>140</v>
      </c>
      <c r="J6" s="127" t="s">
        <v>52</v>
      </c>
    </row>
    <row r="7" spans="2:16" x14ac:dyDescent="0.4">
      <c r="B7" s="128" t="s">
        <v>163</v>
      </c>
      <c r="C7" s="128"/>
    </row>
    <row r="8" spans="2:16" x14ac:dyDescent="0.4">
      <c r="B8" s="22" t="s">
        <v>263</v>
      </c>
      <c r="D8" s="14">
        <f>Model!E169</f>
        <v>5700000</v>
      </c>
      <c r="E8" s="23">
        <f t="shared" ref="E8:E13" ca="1" si="0">D8/D$14</f>
        <v>0.81015392931244623</v>
      </c>
      <c r="F8" s="14">
        <f t="shared" ref="F8:F13" si="1">D8/$J$25</f>
        <v>19000</v>
      </c>
      <c r="H8" s="14">
        <f>Model!F169</f>
        <v>5700000</v>
      </c>
      <c r="I8" s="23">
        <f t="shared" ref="I8:I13" ca="1" si="2">H8/H$14</f>
        <v>9.6904661115142288E-2</v>
      </c>
      <c r="J8" s="14">
        <f t="shared" ref="J8:J13" si="3">H8/$J$25</f>
        <v>19000</v>
      </c>
    </row>
    <row r="9" spans="2:16" x14ac:dyDescent="0.4">
      <c r="B9" s="22" t="s">
        <v>236</v>
      </c>
      <c r="D9" s="14">
        <f>Model!E170</f>
        <v>0</v>
      </c>
      <c r="E9" s="23">
        <f t="shared" ca="1" si="0"/>
        <v>0</v>
      </c>
      <c r="F9" s="14">
        <f t="shared" si="1"/>
        <v>0</v>
      </c>
      <c r="H9" s="14">
        <f>Model!F170</f>
        <v>5460000</v>
      </c>
      <c r="I9" s="23">
        <f t="shared" ca="1" si="2"/>
        <v>9.2824464857662617E-2</v>
      </c>
      <c r="J9" s="14">
        <f t="shared" si="3"/>
        <v>18200</v>
      </c>
    </row>
    <row r="10" spans="2:16" x14ac:dyDescent="0.4">
      <c r="B10" s="22" t="s">
        <v>235</v>
      </c>
      <c r="D10" s="14">
        <f>Model!E171</f>
        <v>0</v>
      </c>
      <c r="E10" s="23">
        <f t="shared" ca="1" si="0"/>
        <v>0</v>
      </c>
      <c r="F10" s="14">
        <f t="shared" si="1"/>
        <v>0</v>
      </c>
      <c r="H10" s="14">
        <f>Model!F171</f>
        <v>44500000</v>
      </c>
      <c r="I10" s="23">
        <f t="shared" ca="1" si="2"/>
        <v>0.75653638940768975</v>
      </c>
      <c r="J10" s="14">
        <f t="shared" si="3"/>
        <v>148333.33333333334</v>
      </c>
    </row>
    <row r="11" spans="2:16" x14ac:dyDescent="0.4">
      <c r="B11" s="22" t="s">
        <v>264</v>
      </c>
      <c r="D11" s="14">
        <f>Model!E172</f>
        <v>0</v>
      </c>
      <c r="E11" s="23">
        <f t="shared" ca="1" si="0"/>
        <v>0</v>
      </c>
      <c r="F11" s="14">
        <f t="shared" si="1"/>
        <v>0</v>
      </c>
      <c r="H11" s="14">
        <f>Model!F172</f>
        <v>1750000</v>
      </c>
      <c r="I11" s="23">
        <f t="shared" ca="1" si="2"/>
        <v>2.9751431044122631E-2</v>
      </c>
      <c r="J11" s="14">
        <f t="shared" si="3"/>
        <v>5833.333333333333</v>
      </c>
      <c r="N11" s="14"/>
      <c r="O11" s="14"/>
      <c r="P11" s="14"/>
    </row>
    <row r="12" spans="2:16" x14ac:dyDescent="0.4">
      <c r="B12" s="22" t="s">
        <v>297</v>
      </c>
      <c r="D12" s="14">
        <f ca="1">Model!E173</f>
        <v>1335699.9994277903</v>
      </c>
      <c r="E12" s="23">
        <f t="shared" ca="1" si="0"/>
        <v>0.18984607068755377</v>
      </c>
      <c r="F12" s="14">
        <f t="shared" ca="1" si="1"/>
        <v>4452.333331425968</v>
      </c>
      <c r="H12" s="14">
        <f ca="1">Model!F173</f>
        <v>1335699.9994277903</v>
      </c>
      <c r="I12" s="23">
        <f t="shared" ca="1" si="2"/>
        <v>2.2707992244920309E-2</v>
      </c>
      <c r="J12" s="14">
        <f t="shared" ca="1" si="3"/>
        <v>4452.333331425968</v>
      </c>
      <c r="N12" s="14"/>
      <c r="O12" s="14"/>
      <c r="P12" s="14"/>
    </row>
    <row r="13" spans="2:16" x14ac:dyDescent="0.4">
      <c r="B13" s="22" t="s">
        <v>53</v>
      </c>
      <c r="D13" s="14">
        <f>Model!E174</f>
        <v>0</v>
      </c>
      <c r="E13" s="23">
        <f t="shared" ca="1" si="0"/>
        <v>0</v>
      </c>
      <c r="F13" s="14">
        <f t="shared" si="1"/>
        <v>0</v>
      </c>
      <c r="H13" s="14">
        <f>Model!F174</f>
        <v>75000</v>
      </c>
      <c r="I13" s="23">
        <f t="shared" ca="1" si="2"/>
        <v>1.2750613304623986E-3</v>
      </c>
      <c r="J13" s="14">
        <f t="shared" si="3"/>
        <v>250</v>
      </c>
    </row>
    <row r="14" spans="2:16" x14ac:dyDescent="0.4">
      <c r="B14" s="37" t="s">
        <v>152</v>
      </c>
      <c r="C14" s="37"/>
      <c r="D14" s="196">
        <f ca="1">SUM(D8:D13)</f>
        <v>7035699.9994277898</v>
      </c>
      <c r="E14" s="211">
        <f ca="1">SUM(E8:E13)</f>
        <v>1</v>
      </c>
      <c r="F14" s="196">
        <f ca="1">SUM(F8:F13)</f>
        <v>23452.333331425969</v>
      </c>
      <c r="G14" s="37"/>
      <c r="H14" s="196">
        <f ca="1">SUM(H8:H13)</f>
        <v>58820699.999427788</v>
      </c>
      <c r="I14" s="211">
        <f ca="1">SUM(I8:I13)</f>
        <v>0.99999999999999989</v>
      </c>
      <c r="J14" s="196">
        <f ca="1">SUM(J8:J13)</f>
        <v>196068.99999809265</v>
      </c>
    </row>
    <row r="16" spans="2:16" x14ac:dyDescent="0.4">
      <c r="B16" s="128" t="s">
        <v>164</v>
      </c>
      <c r="C16" s="128"/>
    </row>
    <row r="17" spans="2:15" x14ac:dyDescent="0.4">
      <c r="B17" s="22" t="s">
        <v>154</v>
      </c>
      <c r="D17" s="14">
        <f ca="1">Model!E178</f>
        <v>6100000</v>
      </c>
      <c r="E17" s="23">
        <f ca="1">D17/D$20</f>
        <v>0.86700683663261791</v>
      </c>
      <c r="F17" s="14">
        <f ca="1">D17/$J$25</f>
        <v>20333.333333333332</v>
      </c>
      <c r="H17" s="14">
        <f ca="1">Model!F178</f>
        <v>18749449.999427788</v>
      </c>
      <c r="I17" s="23">
        <f ca="1">H17/H$20</f>
        <v>0.31875598215611484</v>
      </c>
      <c r="J17" s="14">
        <f ca="1">H17/$J$25</f>
        <v>62498.166664759294</v>
      </c>
    </row>
    <row r="18" spans="2:15" x14ac:dyDescent="0.4">
      <c r="B18" s="22" t="s">
        <v>155</v>
      </c>
      <c r="D18" s="14">
        <f ca="1">Model!E179</f>
        <v>0</v>
      </c>
      <c r="E18" s="23">
        <f ca="1">D18/D$20</f>
        <v>0</v>
      </c>
      <c r="F18" s="14">
        <f ca="1">D18/$J$25</f>
        <v>0</v>
      </c>
      <c r="H18" s="14">
        <f ca="1">Model!F179</f>
        <v>40000000</v>
      </c>
      <c r="I18" s="23">
        <f ca="1">H18/H$20</f>
        <v>0.68003270957994588</v>
      </c>
      <c r="J18" s="14">
        <f ca="1">H18/$J$25</f>
        <v>133333.33333333334</v>
      </c>
      <c r="L18" s="130"/>
    </row>
    <row r="19" spans="2:15" x14ac:dyDescent="0.4">
      <c r="B19" s="22" t="s">
        <v>156</v>
      </c>
      <c r="D19" s="14">
        <f ca="1">Model!E180</f>
        <v>935699.99942778982</v>
      </c>
      <c r="E19" s="23">
        <f ca="1">D19/D$20</f>
        <v>0.13299316336738204</v>
      </c>
      <c r="F19" s="14">
        <f ca="1">D19/$J$25</f>
        <v>3118.9999980926327</v>
      </c>
      <c r="H19" s="14">
        <f ca="1">Model!F180</f>
        <v>71250</v>
      </c>
      <c r="I19" s="23">
        <f ca="1">H19/H$20</f>
        <v>1.2113082639392786E-3</v>
      </c>
      <c r="J19" s="14">
        <f ca="1">H19/$J$25</f>
        <v>237.5</v>
      </c>
      <c r="L19" s="14"/>
      <c r="O19" s="130"/>
    </row>
    <row r="20" spans="2:15" x14ac:dyDescent="0.4">
      <c r="B20" s="37" t="s">
        <v>158</v>
      </c>
      <c r="C20" s="37"/>
      <c r="D20" s="196">
        <f ca="1">SUM(D17:D19)</f>
        <v>7035699.9994277898</v>
      </c>
      <c r="E20" s="211">
        <f ca="1">SUM(E17:E19)</f>
        <v>1</v>
      </c>
      <c r="F20" s="196">
        <f ca="1">SUM(F17:F19)</f>
        <v>23452.333331425965</v>
      </c>
      <c r="G20" s="37"/>
      <c r="H20" s="196">
        <f ca="1">SUM(H17:H19)</f>
        <v>58820699.999427788</v>
      </c>
      <c r="I20" s="211">
        <f ca="1">SUM(I17:I19)</f>
        <v>0.99999999999999989</v>
      </c>
      <c r="J20" s="196">
        <f ca="1">SUM(J17:J19)</f>
        <v>196068.99999809265</v>
      </c>
      <c r="L20" s="132"/>
      <c r="O20" s="14"/>
    </row>
    <row r="21" spans="2:15" x14ac:dyDescent="0.4">
      <c r="L21" s="14"/>
      <c r="O21" s="130"/>
    </row>
    <row r="22" spans="2:15" x14ac:dyDescent="0.4">
      <c r="B22" s="28" t="s">
        <v>165</v>
      </c>
      <c r="C22" s="29"/>
      <c r="D22" s="29"/>
      <c r="E22" s="29"/>
      <c r="F22" s="29"/>
      <c r="H22" s="28" t="s">
        <v>210</v>
      </c>
      <c r="I22" s="29"/>
      <c r="J22" s="29"/>
      <c r="L22" s="132"/>
    </row>
    <row r="23" spans="2:15" ht="16" x14ac:dyDescent="0.55000000000000004">
      <c r="B23" s="21"/>
      <c r="C23" s="133" t="s">
        <v>142</v>
      </c>
      <c r="D23" s="133" t="s">
        <v>143</v>
      </c>
      <c r="E23" s="133" t="s">
        <v>144</v>
      </c>
      <c r="F23" s="133" t="s">
        <v>145</v>
      </c>
      <c r="H23" s="21" t="s">
        <v>5</v>
      </c>
      <c r="I23" s="21"/>
      <c r="J23" s="186" t="str">
        <f>'Inputs &amp; Drivers'!E7</f>
        <v>Boston, MA</v>
      </c>
    </row>
    <row r="24" spans="2:15" x14ac:dyDescent="0.4">
      <c r="B24" s="22" t="s">
        <v>166</v>
      </c>
      <c r="C24" s="130">
        <f t="array" ref="C24:F24">TRANSPOSE(Model!C100:C103)</f>
        <v>57090928.598187916</v>
      </c>
      <c r="D24" s="11">
        <v>0.1639451086521149</v>
      </c>
      <c r="E24" s="130">
        <v>19459557.53967759</v>
      </c>
      <c r="F24" s="131">
        <v>1.3408520060452345</v>
      </c>
      <c r="H24" s="22" t="s">
        <v>167</v>
      </c>
      <c r="J24" s="141">
        <f>'Inputs &amp; Drivers'!E9</f>
        <v>2015</v>
      </c>
      <c r="O24" s="14"/>
    </row>
    <row r="25" spans="2:15" x14ac:dyDescent="0.4">
      <c r="B25" s="207" t="s">
        <v>168</v>
      </c>
      <c r="C25" s="208">
        <f t="array" aca="1" ref="C25:F25" ca="1">TRANSPOSE(Model!C162:C165)</f>
        <v>18749449.999427788</v>
      </c>
      <c r="D25" s="209">
        <f ca="1"/>
        <v>0.27464950680732725</v>
      </c>
      <c r="E25" s="208">
        <f ca="1"/>
        <v>15915269.785236642</v>
      </c>
      <c r="F25" s="210">
        <f ca="1"/>
        <v>1.8488392878576363</v>
      </c>
      <c r="H25" s="22" t="s">
        <v>169</v>
      </c>
      <c r="J25" s="183">
        <f>'Inputs &amp; Drivers'!E8</f>
        <v>300</v>
      </c>
      <c r="O25" s="14"/>
    </row>
    <row r="26" spans="2:15" x14ac:dyDescent="0.4">
      <c r="B26" s="207" t="s">
        <v>207</v>
      </c>
      <c r="C26" s="208">
        <f t="array" aca="1" ref="C26:F26" ca="1">TRANSPOSE(Model!C263:C266)</f>
        <v>16874504.999485008</v>
      </c>
      <c r="D26" s="209">
        <f ca="1"/>
        <v>0.22744136452674865</v>
      </c>
      <c r="E26" s="208">
        <f ca="1"/>
        <v>11449566.778900255</v>
      </c>
      <c r="F26" s="210">
        <f ca="1"/>
        <v>1.6785127492184029</v>
      </c>
      <c r="H26" s="22" t="s">
        <v>0</v>
      </c>
      <c r="J26" s="73">
        <f>'Inputs &amp; Drivers'!E13</f>
        <v>36</v>
      </c>
      <c r="O26" s="14"/>
    </row>
    <row r="27" spans="2:15" x14ac:dyDescent="0.4">
      <c r="B27" s="207" t="s">
        <v>206</v>
      </c>
      <c r="C27" s="208">
        <f t="array" aca="1" ref="C27:F27" ca="1">TRANSPOSE(Model!C277:C280)</f>
        <v>1874944.9999427788</v>
      </c>
      <c r="D27" s="209">
        <f ca="1"/>
        <v>0.60943712592124932</v>
      </c>
      <c r="E27" s="208">
        <f ca="1"/>
        <v>4465703.0063363854</v>
      </c>
      <c r="F27" s="210">
        <f ca="1"/>
        <v>3.381778135610737</v>
      </c>
      <c r="H27" s="22" t="s">
        <v>170</v>
      </c>
      <c r="J27" s="14">
        <f>'Inputs &amp; Drivers'!F34*'Inputs &amp; Drivers'!C34</f>
        <v>289000</v>
      </c>
      <c r="O27" s="14"/>
    </row>
    <row r="28" spans="2:15" x14ac:dyDescent="0.4">
      <c r="B28" s="27" t="s">
        <v>208</v>
      </c>
      <c r="C28" s="130">
        <f t="array" aca="1" ref="C28:F28" ca="1">TRANSPOSE(Model!C270:C273)</f>
        <v>1874944.9999427788</v>
      </c>
      <c r="D28" s="11">
        <f ca="1"/>
        <v>0.22744136452674865</v>
      </c>
      <c r="E28" s="130">
        <f ca="1"/>
        <v>1272174.0865444732</v>
      </c>
      <c r="F28" s="131">
        <f ca="1"/>
        <v>1.6785127492184031</v>
      </c>
      <c r="H28" s="22" t="s">
        <v>171</v>
      </c>
      <c r="J28" s="14">
        <f>'Inputs &amp; Drivers'!F34</f>
        <v>963.33333333333337</v>
      </c>
    </row>
    <row r="29" spans="2:15" x14ac:dyDescent="0.4">
      <c r="B29" s="27" t="s">
        <v>209</v>
      </c>
      <c r="C29" s="134" t="s">
        <v>104</v>
      </c>
      <c r="D29" s="135" t="s">
        <v>104</v>
      </c>
      <c r="E29" s="130">
        <f ca="1">E27-E28</f>
        <v>3193528.9197919122</v>
      </c>
      <c r="F29" s="136" t="s">
        <v>104</v>
      </c>
      <c r="H29" s="22" t="s">
        <v>8</v>
      </c>
      <c r="J29" s="23">
        <f>'Inputs &amp; Drivers'!E49</f>
        <v>0.93</v>
      </c>
    </row>
    <row r="31" spans="2:15" x14ac:dyDescent="0.4">
      <c r="B31" s="28" t="s">
        <v>172</v>
      </c>
      <c r="C31" s="29"/>
      <c r="D31" s="29"/>
      <c r="E31" s="29"/>
      <c r="F31" s="29"/>
      <c r="H31" s="28" t="s">
        <v>176</v>
      </c>
      <c r="I31" s="29"/>
      <c r="J31" s="29"/>
    </row>
    <row r="32" spans="2:15" ht="16" x14ac:dyDescent="0.55000000000000004">
      <c r="B32" s="21"/>
      <c r="C32" s="133" t="s">
        <v>173</v>
      </c>
      <c r="D32" s="133" t="s">
        <v>6</v>
      </c>
      <c r="E32" s="133" t="s">
        <v>174</v>
      </c>
      <c r="F32" s="133" t="s">
        <v>175</v>
      </c>
      <c r="H32" s="21" t="s">
        <v>177</v>
      </c>
      <c r="I32" s="21"/>
      <c r="J32" s="123">
        <f>'Inputs &amp; Drivers'!J16</f>
        <v>40000000</v>
      </c>
    </row>
    <row r="33" spans="2:10" x14ac:dyDescent="0.4">
      <c r="B33" s="122">
        <v>1</v>
      </c>
      <c r="C33" s="130">
        <f t="array" ref="C33:C38">TRANSPOSE(Model!EM80:ER80)</f>
        <v>0</v>
      </c>
      <c r="E33" s="11">
        <f t="shared" ref="E33:E38" ca="1" si="4">C33/$H$20</f>
        <v>0</v>
      </c>
      <c r="F33" s="74">
        <f t="shared" ref="F33:F38" ca="1" si="5">E33-$D$42</f>
        <v>-5.5E-2</v>
      </c>
      <c r="H33" s="22" t="s">
        <v>178</v>
      </c>
      <c r="J33" s="141" t="str">
        <f ca="1">TEXT(D18/D20,"0%")&amp;" / "&amp;TEXT(H18/H20,"0%")</f>
        <v>0% / 68%</v>
      </c>
    </row>
    <row r="34" spans="2:10" x14ac:dyDescent="0.4">
      <c r="B34" s="122">
        <v>2</v>
      </c>
      <c r="C34" s="130">
        <v>728720.73867065506</v>
      </c>
      <c r="D34" s="11">
        <f>IFERROR(C34/C33-1,0)</f>
        <v>0</v>
      </c>
      <c r="E34" s="11">
        <f t="shared" ca="1" si="4"/>
        <v>1.238884846113263E-2</v>
      </c>
      <c r="F34" s="74">
        <f t="shared" ca="1" si="5"/>
        <v>-4.2611151538867367E-2</v>
      </c>
      <c r="H34" s="22" t="s">
        <v>179</v>
      </c>
      <c r="J34" s="74">
        <f>'Inputs &amp; Drivers'!J19</f>
        <v>5.1562000000000004E-2</v>
      </c>
    </row>
    <row r="35" spans="2:10" x14ac:dyDescent="0.4">
      <c r="B35" s="122">
        <v>3</v>
      </c>
      <c r="C35" s="130">
        <v>3639516.9345621392</v>
      </c>
      <c r="D35" s="11">
        <f>IFERROR(C35/C34-1,0)</f>
        <v>3.9943918725318683</v>
      </c>
      <c r="E35" s="11">
        <f t="shared" ca="1" si="4"/>
        <v>6.1874764064309751E-2</v>
      </c>
      <c r="F35" s="74">
        <f t="shared" ca="1" si="5"/>
        <v>6.8747640643097505E-3</v>
      </c>
      <c r="H35" s="22" t="s">
        <v>180</v>
      </c>
      <c r="J35" s="74">
        <f>'Inputs &amp; Drivers'!J24</f>
        <v>0.01</v>
      </c>
    </row>
    <row r="36" spans="2:10" x14ac:dyDescent="0.4">
      <c r="B36" s="122">
        <v>4</v>
      </c>
      <c r="C36" s="130">
        <v>4032017.7703580456</v>
      </c>
      <c r="D36" s="11">
        <f>IFERROR(C36/C35-1,0)</f>
        <v>0.10784421198005134</v>
      </c>
      <c r="E36" s="11">
        <f t="shared" ca="1" si="4"/>
        <v>6.8547599236276846E-2</v>
      </c>
      <c r="F36" s="74">
        <f t="shared" ca="1" si="5"/>
        <v>1.3547599236276846E-2</v>
      </c>
      <c r="G36" s="23"/>
      <c r="H36" s="22" t="s">
        <v>181</v>
      </c>
      <c r="J36" s="73">
        <f>'Inputs &amp; Drivers'!J21</f>
        <v>36</v>
      </c>
    </row>
    <row r="37" spans="2:10" x14ac:dyDescent="0.4">
      <c r="B37" s="122">
        <v>5</v>
      </c>
      <c r="C37" s="130">
        <v>4155645.8177490463</v>
      </c>
      <c r="D37" s="11">
        <f>IFERROR(C37/C36-1,0)</f>
        <v>3.0661582967185685E-2</v>
      </c>
      <c r="E37" s="11">
        <f t="shared" ca="1" si="4"/>
        <v>7.0649377137461347E-2</v>
      </c>
      <c r="F37" s="74">
        <f t="shared" ca="1" si="5"/>
        <v>1.5649377137461347E-2</v>
      </c>
      <c r="G37" s="74"/>
      <c r="H37" s="22" t="s">
        <v>182</v>
      </c>
      <c r="J37" s="166">
        <f>'Inputs &amp; Drivers'!J15</f>
        <v>45291</v>
      </c>
    </row>
    <row r="38" spans="2:10" x14ac:dyDescent="0.4">
      <c r="B38" s="122">
        <v>6</v>
      </c>
      <c r="C38" s="130">
        <v>4283054.1204551365</v>
      </c>
      <c r="D38" s="11">
        <f>IFERROR(C38/C37-1,0)</f>
        <v>3.0659086046727291E-2</v>
      </c>
      <c r="E38" s="11">
        <f t="shared" ca="1" si="4"/>
        <v>7.2815422470266455E-2</v>
      </c>
      <c r="F38" s="74">
        <f t="shared" ca="1" si="5"/>
        <v>1.7815422470266455E-2</v>
      </c>
    </row>
    <row r="39" spans="2:10" x14ac:dyDescent="0.4">
      <c r="H39" s="75" t="s">
        <v>211</v>
      </c>
    </row>
    <row r="40" spans="2:10" x14ac:dyDescent="0.4">
      <c r="B40" s="28" t="s">
        <v>183</v>
      </c>
      <c r="C40" s="29"/>
      <c r="D40" s="29"/>
      <c r="E40" s="29"/>
      <c r="F40" s="29"/>
      <c r="H40" s="21" t="s">
        <v>212</v>
      </c>
      <c r="I40" s="21"/>
      <c r="J40" s="185">
        <f>'Inputs &amp; Drivers'!H5</f>
        <v>0.1</v>
      </c>
    </row>
    <row r="41" spans="2:10" ht="16" x14ac:dyDescent="0.55000000000000004">
      <c r="B41" s="21"/>
      <c r="C41" s="133" t="s">
        <v>184</v>
      </c>
      <c r="D41" s="133" t="s">
        <v>185</v>
      </c>
      <c r="E41" s="133" t="s">
        <v>186</v>
      </c>
      <c r="F41" s="133" t="s">
        <v>52</v>
      </c>
      <c r="H41" s="22" t="s">
        <v>127</v>
      </c>
      <c r="J41" s="11">
        <f>'Inputs &amp; Drivers'!I7</f>
        <v>0.1</v>
      </c>
    </row>
    <row r="42" spans="2:10" x14ac:dyDescent="0.4">
      <c r="B42" s="22" t="s">
        <v>66</v>
      </c>
      <c r="C42" s="130">
        <f>SUMIF(Model!$H$6:$EJ$6,'Inputs &amp; Drivers'!$E$14,Model!$H$81:$EJ$81)</f>
        <v>4032017.7703580456</v>
      </c>
      <c r="D42" s="74">
        <f>'Inputs &amp; Drivers'!E16</f>
        <v>5.5E-2</v>
      </c>
      <c r="E42" s="130">
        <f>C42/D42</f>
        <v>73309414.006509915</v>
      </c>
      <c r="F42" s="138">
        <f>E42/$J$25</f>
        <v>244364.71335503305</v>
      </c>
      <c r="H42" s="22" t="s">
        <v>105</v>
      </c>
      <c r="J42" s="135" t="str">
        <f>TEXT('Inputs &amp; Drivers'!H8,"0.0%")&amp;" after a "&amp;TEXT('Inputs &amp; Drivers'!I7,"0.0%")</f>
        <v>20.0% after a 10.0%</v>
      </c>
    </row>
    <row r="43" spans="2:10" x14ac:dyDescent="0.4">
      <c r="B43" s="22" t="s">
        <v>187</v>
      </c>
      <c r="E43" s="14">
        <f>-'Inputs &amp; Drivers'!E15*E42</f>
        <v>-733094.14006509911</v>
      </c>
      <c r="H43" s="22" t="s">
        <v>106</v>
      </c>
      <c r="J43" s="141" t="str">
        <f>TEXT('Inputs &amp; Drivers'!H9,"0.0%")&amp;" after a "&amp;TEXT('Inputs &amp; Drivers'!I8,"0.0%")</f>
        <v>30.0% after a 15.0%</v>
      </c>
    </row>
    <row r="44" spans="2:10" x14ac:dyDescent="0.4">
      <c r="B44" s="75" t="s">
        <v>188</v>
      </c>
      <c r="E44" s="129">
        <f>SUM(E42:E43)</f>
        <v>72576319.866444811</v>
      </c>
      <c r="H44" s="22" t="s">
        <v>107</v>
      </c>
      <c r="J44" s="141" t="str">
        <f>TEXT('Inputs &amp; Drivers'!H10,"0.0%")&amp;" after a "&amp;TEXT('Inputs &amp; Drivers'!I9,"0.0%")</f>
        <v>40.0% after a 20.0%</v>
      </c>
    </row>
    <row r="45" spans="2:10" x14ac:dyDescent="0.4">
      <c r="B45" s="22" t="s">
        <v>189</v>
      </c>
      <c r="D45" s="137" t="s">
        <v>190</v>
      </c>
      <c r="E45" s="14">
        <f ca="1">SUMIF(Model!$H$6:$EJ$6,'Inputs &amp; Drivers'!$E$14,Model!H154:EJ154)</f>
        <v>-40000000</v>
      </c>
    </row>
    <row r="46" spans="2:10" x14ac:dyDescent="0.4">
      <c r="B46" s="22" t="s">
        <v>191</v>
      </c>
      <c r="D46" s="137" t="s">
        <v>192</v>
      </c>
      <c r="E46" s="14">
        <f ca="1">-C25</f>
        <v>-18749449.999427788</v>
      </c>
      <c r="H46" s="28" t="s">
        <v>134</v>
      </c>
      <c r="I46" s="29"/>
      <c r="J46" s="29"/>
    </row>
    <row r="47" spans="2:10" ht="16" x14ac:dyDescent="0.55000000000000004">
      <c r="B47" s="75" t="s">
        <v>193</v>
      </c>
      <c r="D47" s="124">
        <f ca="1">E47/$E$49</f>
        <v>0.86878011203072003</v>
      </c>
      <c r="E47" s="129">
        <f ca="1">SUM(E44:E46)</f>
        <v>13826869.867017023</v>
      </c>
      <c r="H47" s="133" t="s">
        <v>7</v>
      </c>
      <c r="I47" s="133" t="s">
        <v>135</v>
      </c>
      <c r="J47" s="133" t="s">
        <v>51</v>
      </c>
    </row>
    <row r="48" spans="2:10" x14ac:dyDescent="0.4">
      <c r="B48" s="22" t="s">
        <v>194</v>
      </c>
      <c r="D48" s="23">
        <f ca="1">E48/$E$49</f>
        <v>0.13121988796927997</v>
      </c>
      <c r="E48" s="14">
        <f ca="1">E25-E47</f>
        <v>2088399.9182196185</v>
      </c>
      <c r="H48" s="22" t="s">
        <v>136</v>
      </c>
      <c r="I48" s="14">
        <f>'Inputs &amp; Drivers'!C30</f>
        <v>15</v>
      </c>
      <c r="J48" s="23">
        <f>I48/$I$52</f>
        <v>0.05</v>
      </c>
    </row>
    <row r="49" spans="2:10" x14ac:dyDescent="0.4">
      <c r="B49" s="75" t="s">
        <v>195</v>
      </c>
      <c r="D49" s="125">
        <f ca="1">SUM(D47:D48)</f>
        <v>1</v>
      </c>
      <c r="E49" s="184">
        <f ca="1">SUM(E47:E48)</f>
        <v>15915269.785236642</v>
      </c>
      <c r="H49" s="22" t="s">
        <v>137</v>
      </c>
      <c r="I49" s="14">
        <f>'Inputs &amp; Drivers'!C31</f>
        <v>155</v>
      </c>
      <c r="J49" s="23">
        <f>I49/$I$52</f>
        <v>0.51666666666666672</v>
      </c>
    </row>
    <row r="50" spans="2:10" x14ac:dyDescent="0.4">
      <c r="H50" s="22" t="s">
        <v>138</v>
      </c>
      <c r="I50" s="14">
        <f>'Inputs &amp; Drivers'!C32</f>
        <v>130</v>
      </c>
      <c r="J50" s="23">
        <f>I50/$I$52</f>
        <v>0.43333333333333335</v>
      </c>
    </row>
    <row r="51" spans="2:10" x14ac:dyDescent="0.4">
      <c r="B51" s="75" t="s">
        <v>306</v>
      </c>
      <c r="G51" s="132"/>
      <c r="H51" s="22" t="s">
        <v>139</v>
      </c>
      <c r="I51" s="14">
        <f>'Inputs &amp; Drivers'!C33</f>
        <v>0</v>
      </c>
      <c r="J51" s="23">
        <f>I51/$I$52</f>
        <v>0</v>
      </c>
    </row>
    <row r="52" spans="2:10" ht="16" x14ac:dyDescent="0.55000000000000004">
      <c r="B52" s="21"/>
      <c r="C52" s="191" t="s">
        <v>23</v>
      </c>
      <c r="D52" s="191"/>
      <c r="E52" s="191" t="s">
        <v>24</v>
      </c>
      <c r="F52" s="191"/>
      <c r="H52" s="21" t="s">
        <v>3</v>
      </c>
      <c r="I52" s="177">
        <f>SUM(I48:I51)</f>
        <v>300</v>
      </c>
      <c r="J52" s="124">
        <f>SUM(J48:J51)</f>
        <v>1</v>
      </c>
    </row>
    <row r="53" spans="2:10" x14ac:dyDescent="0.4">
      <c r="B53" s="22" t="s">
        <v>234</v>
      </c>
      <c r="C53" s="163">
        <f>'Inputs &amp; Drivers'!G38</f>
        <v>44196</v>
      </c>
      <c r="D53" s="164">
        <f>'Inputs &amp; Drivers'!F38</f>
        <v>0</v>
      </c>
      <c r="E53" s="163">
        <f>'Inputs &amp; Drivers'!I38</f>
        <v>44196</v>
      </c>
      <c r="F53" s="164">
        <f>'Inputs &amp; Drivers'!J38</f>
        <v>0</v>
      </c>
      <c r="I53" s="14"/>
      <c r="J53" s="23"/>
    </row>
    <row r="54" spans="2:10" x14ac:dyDescent="0.4">
      <c r="B54" s="22" t="s">
        <v>236</v>
      </c>
      <c r="C54" s="163">
        <f>'Inputs &amp; Drivers'!G39</f>
        <v>44286</v>
      </c>
      <c r="D54" s="164">
        <f>'Inputs &amp; Drivers'!F39</f>
        <v>3</v>
      </c>
      <c r="E54" s="163">
        <f>'Inputs &amp; Drivers'!I39</f>
        <v>44865</v>
      </c>
      <c r="F54" s="164">
        <f>'Inputs &amp; Drivers'!J39</f>
        <v>22</v>
      </c>
      <c r="H54" s="75" t="s">
        <v>278</v>
      </c>
      <c r="I54" s="14"/>
      <c r="J54" s="23"/>
    </row>
    <row r="55" spans="2:10" x14ac:dyDescent="0.4">
      <c r="B55" s="22" t="s">
        <v>235</v>
      </c>
      <c r="C55" s="163">
        <f>'Inputs &amp; Drivers'!G40</f>
        <v>44408</v>
      </c>
      <c r="D55" s="164">
        <f>'Inputs &amp; Drivers'!F40</f>
        <v>7</v>
      </c>
      <c r="E55" s="163">
        <f>'Inputs &amp; Drivers'!I40</f>
        <v>44865</v>
      </c>
      <c r="F55" s="164">
        <f>'Inputs &amp; Drivers'!J40</f>
        <v>22</v>
      </c>
      <c r="H55" s="21" t="s">
        <v>241</v>
      </c>
      <c r="I55" s="177"/>
      <c r="J55" s="192">
        <f>'Inputs &amp; Drivers'!C37</f>
        <v>30</v>
      </c>
    </row>
    <row r="56" spans="2:10" x14ac:dyDescent="0.4">
      <c r="B56" s="22" t="s">
        <v>237</v>
      </c>
      <c r="C56" s="163">
        <f>'Inputs &amp; Drivers'!G41</f>
        <v>44681</v>
      </c>
      <c r="D56" s="164">
        <f>'Inputs &amp; Drivers'!F41</f>
        <v>16</v>
      </c>
      <c r="E56" s="163">
        <f>'Inputs &amp; Drivers'!I41</f>
        <v>44957</v>
      </c>
      <c r="F56" s="164">
        <f>'Inputs &amp; Drivers'!J41</f>
        <v>25</v>
      </c>
      <c r="H56" s="22" t="s">
        <v>232</v>
      </c>
      <c r="I56" s="14"/>
      <c r="J56" s="165">
        <f>'Inputs &amp; Drivers'!C38</f>
        <v>1</v>
      </c>
    </row>
    <row r="57" spans="2:10" x14ac:dyDescent="0.4">
      <c r="B57" s="22" t="s">
        <v>240</v>
      </c>
      <c r="C57" s="163">
        <f>'Inputs &amp; Drivers'!G42</f>
        <v>44681</v>
      </c>
      <c r="D57" s="164">
        <f>'Inputs &amp; Drivers'!F42</f>
        <v>16</v>
      </c>
      <c r="E57" s="163">
        <f>'Inputs &amp; Drivers'!I42</f>
        <v>45138</v>
      </c>
      <c r="F57" s="164">
        <f>'Inputs &amp; Drivers'!J42</f>
        <v>31</v>
      </c>
      <c r="H57" s="22" t="s">
        <v>273</v>
      </c>
      <c r="I57" s="14"/>
      <c r="J57" s="165">
        <f>'Inputs &amp; Drivers'!C39</f>
        <v>6</v>
      </c>
    </row>
    <row r="58" spans="2:10" x14ac:dyDescent="0.4">
      <c r="B58" s="22" t="s">
        <v>238</v>
      </c>
      <c r="C58" s="163">
        <f>'Inputs &amp; Drivers'!G43</f>
        <v>45291</v>
      </c>
      <c r="D58" s="164">
        <f>'Inputs &amp; Drivers'!F43</f>
        <v>36</v>
      </c>
      <c r="E58" s="163">
        <f>'Inputs &amp; Drivers'!I43</f>
        <v>45291</v>
      </c>
      <c r="F58" s="164">
        <f>'Inputs &amp; Drivers'!J43</f>
        <v>36</v>
      </c>
      <c r="H58" s="22" t="s">
        <v>277</v>
      </c>
      <c r="I58" s="14"/>
      <c r="J58" s="165">
        <f>'Inputs &amp; Drivers'!C40</f>
        <v>6</v>
      </c>
    </row>
    <row r="60" spans="2:10" x14ac:dyDescent="0.4">
      <c r="B60" s="28" t="s">
        <v>196</v>
      </c>
      <c r="C60" s="29"/>
      <c r="D60" s="29"/>
      <c r="E60" s="29"/>
      <c r="F60" s="29"/>
      <c r="G60" s="29"/>
      <c r="H60" s="29"/>
      <c r="I60" s="29"/>
      <c r="J60" s="29"/>
    </row>
    <row r="61" spans="2:10" x14ac:dyDescent="0.4">
      <c r="B61" s="21"/>
      <c r="C61" s="21"/>
      <c r="D61" s="39" t="s">
        <v>308</v>
      </c>
      <c r="E61" s="194">
        <f>F57+1</f>
        <v>32</v>
      </c>
      <c r="F61" s="21"/>
      <c r="G61" s="21"/>
      <c r="H61" s="21"/>
      <c r="I61" s="21"/>
      <c r="J61" s="21"/>
    </row>
    <row r="62" spans="2:10" ht="16" x14ac:dyDescent="0.55000000000000004">
      <c r="D62" s="139" t="s">
        <v>309</v>
      </c>
      <c r="E62" s="193" t="s">
        <v>309</v>
      </c>
      <c r="F62" s="275" t="s">
        <v>197</v>
      </c>
      <c r="G62" s="126" t="s">
        <v>198</v>
      </c>
      <c r="H62" s="126" t="s">
        <v>199</v>
      </c>
      <c r="I62" s="126" t="s">
        <v>200</v>
      </c>
      <c r="J62" s="126" t="s">
        <v>201</v>
      </c>
    </row>
    <row r="63" spans="2:10" x14ac:dyDescent="0.4">
      <c r="B63" s="22" t="s">
        <v>231</v>
      </c>
      <c r="D63" s="266">
        <f>'Inputs &amp; Drivers'!E53</f>
        <v>5328000</v>
      </c>
      <c r="E63" s="276">
        <f>SUMIF(Model!$H$5:$EJ$5,'Transaction Summary'!$E$61,Model!$H49:$EJ49)*12</f>
        <v>5545209.0828977367</v>
      </c>
      <c r="F63" s="266">
        <f>Model!EM49</f>
        <v>0</v>
      </c>
      <c r="G63" s="14">
        <f>Model!EN49</f>
        <v>1624347.534379649</v>
      </c>
      <c r="H63" s="14">
        <f>Model!EO49</f>
        <v>5479275.135325348</v>
      </c>
      <c r="I63" s="14">
        <f>Model!EP49</f>
        <v>5692723.1287546884</v>
      </c>
      <c r="J63" s="14">
        <f>Model!EQ49</f>
        <v>5865872.7501594145</v>
      </c>
    </row>
    <row r="64" spans="2:10" x14ac:dyDescent="0.4">
      <c r="B64" s="22" t="s">
        <v>232</v>
      </c>
      <c r="D64" s="266">
        <f>'Inputs &amp; Drivers'!E54</f>
        <v>-444000</v>
      </c>
      <c r="E64" s="273">
        <f>SUMIF(Model!$H$5:$EJ$5,'Transaction Summary'!$E$61,Model!$H50:$EJ50)*12</f>
        <v>0</v>
      </c>
      <c r="F64" s="277">
        <f>Model!EM50</f>
        <v>0</v>
      </c>
      <c r="G64" s="14">
        <f>Model!EN50</f>
        <v>-135362.2945316374</v>
      </c>
      <c r="H64" s="14">
        <f>Model!EO50</f>
        <v>-263099.15953707858</v>
      </c>
      <c r="I64" s="14">
        <f>Model!EP50</f>
        <v>0</v>
      </c>
      <c r="J64" s="14">
        <f>Model!EQ50</f>
        <v>0</v>
      </c>
    </row>
    <row r="65" spans="2:10" x14ac:dyDescent="0.4">
      <c r="B65" s="21" t="s">
        <v>38</v>
      </c>
      <c r="C65" s="21"/>
      <c r="D65" s="260">
        <f>SUM(D63:D64)</f>
        <v>4884000</v>
      </c>
      <c r="E65" s="195">
        <f t="shared" ref="E65:J65" si="6">SUM(E63:E64)</f>
        <v>5545209.0828977367</v>
      </c>
      <c r="F65" s="278">
        <f t="shared" si="6"/>
        <v>0</v>
      </c>
      <c r="G65" s="123">
        <f t="shared" si="6"/>
        <v>1488985.2398480116</v>
      </c>
      <c r="H65" s="123">
        <f t="shared" si="6"/>
        <v>5216175.9757882692</v>
      </c>
      <c r="I65" s="123">
        <f t="shared" si="6"/>
        <v>5692723.1287546884</v>
      </c>
      <c r="J65" s="123">
        <f t="shared" si="6"/>
        <v>5865872.7501594145</v>
      </c>
    </row>
    <row r="66" spans="2:10" x14ac:dyDescent="0.4">
      <c r="B66" s="22" t="s">
        <v>18</v>
      </c>
      <c r="D66" s="265">
        <f>'Inputs &amp; Drivers'!E56</f>
        <v>-341879.99999999977</v>
      </c>
      <c r="E66" s="279">
        <f>SUMIF(Model!$H$5:$EJ$5,'Transaction Summary'!$E$61,Model!$H52:$EJ52)*12</f>
        <v>-388164.63580284128</v>
      </c>
      <c r="F66" s="265">
        <f>Model!EM52</f>
        <v>0</v>
      </c>
      <c r="G66" s="14">
        <f>Model!EN52</f>
        <v>-134008.67158632097</v>
      </c>
      <c r="H66" s="14">
        <f>Model!EO52</f>
        <v>-365132.31830517866</v>
      </c>
      <c r="I66" s="14">
        <f>Model!EP52</f>
        <v>-398490.61901282793</v>
      </c>
      <c r="J66" s="14">
        <f>Model!EQ52</f>
        <v>-410611.09251115873</v>
      </c>
    </row>
    <row r="67" spans="2:10" x14ac:dyDescent="0.4">
      <c r="B67" s="22" t="s">
        <v>310</v>
      </c>
      <c r="D67" s="265">
        <f>'Inputs &amp; Drivers'!E57</f>
        <v>-24420</v>
      </c>
      <c r="E67" s="267">
        <f>SUMIF(Model!$H$5:$EJ$5,'Transaction Summary'!$E$61,Model!$H53:$EJ54)*12</f>
        <v>-27726.045414488683</v>
      </c>
      <c r="F67" s="265">
        <f>SUM(Model!EM53:EM54)</f>
        <v>0</v>
      </c>
      <c r="G67" s="14">
        <f>SUM(Model!EN53:EN54)</f>
        <v>-18612.315498100143</v>
      </c>
      <c r="H67" s="14">
        <f>SUM(Model!EO53:EO54)</f>
        <v>-65202.199697353375</v>
      </c>
      <c r="I67" s="14">
        <f>SUM(Model!EP53:EP54)</f>
        <v>-71159.039109433608</v>
      </c>
      <c r="J67" s="14">
        <f>SUM(Model!EQ53:EQ54)</f>
        <v>-73323.409376992669</v>
      </c>
    </row>
    <row r="68" spans="2:10" x14ac:dyDescent="0.4">
      <c r="B68" s="22" t="s">
        <v>30</v>
      </c>
      <c r="D68" s="265">
        <f>'Inputs &amp; Drivers'!E58</f>
        <v>-36630</v>
      </c>
      <c r="E68" s="274">
        <f>SUMIF(Model!$H$5:$EJ$5,'Transaction Summary'!$E$61,Model!$H64:$EJ64)*12</f>
        <v>576897.46597213787</v>
      </c>
      <c r="F68" s="266">
        <f>Model!EM64</f>
        <v>0</v>
      </c>
      <c r="G68" s="14">
        <f>Model!EN64</f>
        <v>170117.47826273352</v>
      </c>
      <c r="H68" s="14">
        <f>Model!EO64</f>
        <v>570715.96603070351</v>
      </c>
      <c r="I68" s="14">
        <f>Model!EP64</f>
        <v>587083.17505314015</v>
      </c>
      <c r="J68" s="14">
        <f>Model!EQ64</f>
        <v>598933.07067303825</v>
      </c>
    </row>
    <row r="69" spans="2:10" x14ac:dyDescent="0.4">
      <c r="B69" s="34" t="s">
        <v>9</v>
      </c>
      <c r="C69" s="34"/>
      <c r="D69" s="280">
        <f>SUM(D65:D68)</f>
        <v>4481070</v>
      </c>
      <c r="E69" s="281">
        <f t="shared" ref="E69:J69" si="7">SUM(E65:E68)</f>
        <v>5706215.8676525438</v>
      </c>
      <c r="F69" s="282">
        <f t="shared" si="7"/>
        <v>0</v>
      </c>
      <c r="G69" s="199">
        <f t="shared" si="7"/>
        <v>1506481.731026324</v>
      </c>
      <c r="H69" s="199">
        <f t="shared" si="7"/>
        <v>5356557.4238164416</v>
      </c>
      <c r="I69" s="199">
        <f t="shared" si="7"/>
        <v>5810156.6456855666</v>
      </c>
      <c r="J69" s="199">
        <f t="shared" si="7"/>
        <v>5980871.3189443015</v>
      </c>
    </row>
    <row r="70" spans="2:10" x14ac:dyDescent="0.4">
      <c r="B70" s="22" t="s">
        <v>311</v>
      </c>
      <c r="D70" s="267">
        <f>-'Inputs &amp; Drivers'!J58</f>
        <v>-1661932.1</v>
      </c>
      <c r="E70" s="274">
        <f>SUMIF([11]Model!$H$5:$EJ$5,'[11]Transaction Summary'!$E$61,Model!$H78:$EJ78)*12</f>
        <v>-1737918.5125903422</v>
      </c>
      <c r="F70" s="266">
        <f>Model!EM78</f>
        <v>0</v>
      </c>
      <c r="G70" s="14">
        <f>Model!EN78</f>
        <v>-777760.99235566892</v>
      </c>
      <c r="H70" s="14">
        <f>Model!EO78</f>
        <v>-1717040.4892543023</v>
      </c>
      <c r="I70" s="14">
        <f>Model!EP78</f>
        <v>-1778138.8753275219</v>
      </c>
      <c r="J70" s="14">
        <f>Model!EQ78</f>
        <v>-1825225.5011952561</v>
      </c>
    </row>
    <row r="71" spans="2:10" x14ac:dyDescent="0.4">
      <c r="B71" s="37" t="s">
        <v>173</v>
      </c>
      <c r="C71" s="37"/>
      <c r="D71" s="284">
        <f>SUM(D69:D70)</f>
        <v>2819137.9</v>
      </c>
      <c r="E71" s="283">
        <f t="shared" ref="E71:J71" si="8">SUM(E69:E70)</f>
        <v>3968297.3550622016</v>
      </c>
      <c r="F71" s="285">
        <f t="shared" si="8"/>
        <v>0</v>
      </c>
      <c r="G71" s="196">
        <f t="shared" si="8"/>
        <v>728720.73867065506</v>
      </c>
      <c r="H71" s="196">
        <f t="shared" si="8"/>
        <v>3639516.9345621392</v>
      </c>
      <c r="I71" s="196">
        <f t="shared" si="8"/>
        <v>4032017.7703580447</v>
      </c>
      <c r="J71" s="196">
        <f t="shared" si="8"/>
        <v>4155645.8177490453</v>
      </c>
    </row>
    <row r="72" spans="2:10" x14ac:dyDescent="0.4">
      <c r="B72" s="22" t="s">
        <v>312</v>
      </c>
      <c r="F72" s="265">
        <f>SUM(Model!EM90:EM93)</f>
        <v>-20292500</v>
      </c>
      <c r="G72" s="14">
        <f>SUM(Model!EN90:EN93)</f>
        <v>-31417500</v>
      </c>
      <c r="H72" s="14">
        <f>SUM(Model!EO90:EO93)</f>
        <v>0</v>
      </c>
      <c r="I72" s="14">
        <f>SUM(Model!EP90:EP93)</f>
        <v>0</v>
      </c>
      <c r="J72" s="14">
        <f>SUM(Model!EQ90:EQ93)</f>
        <v>0</v>
      </c>
    </row>
    <row r="73" spans="2:10" x14ac:dyDescent="0.4">
      <c r="B73" s="22" t="s">
        <v>53</v>
      </c>
      <c r="F73" s="265">
        <f>Model!EM86</f>
        <v>0</v>
      </c>
      <c r="G73" s="14">
        <f>Model!EN86</f>
        <v>-30000</v>
      </c>
      <c r="H73" s="14">
        <f>Model!EO86</f>
        <v>-45000</v>
      </c>
      <c r="I73" s="14">
        <f>Model!EP86</f>
        <v>0</v>
      </c>
      <c r="J73" s="14">
        <f>Model!EQ86</f>
        <v>0</v>
      </c>
    </row>
    <row r="74" spans="2:10" x14ac:dyDescent="0.4">
      <c r="B74" s="37" t="s">
        <v>290</v>
      </c>
      <c r="C74" s="37"/>
      <c r="D74" s="196"/>
      <c r="E74" s="196"/>
      <c r="F74" s="286">
        <f>SUM(F71:F73)*(Model!EM98&lt;&gt;0)</f>
        <v>-20292500</v>
      </c>
      <c r="G74" s="198">
        <f>SUM(G71:G73)*(Model!EN98&lt;&gt;0)</f>
        <v>-30718779.261329345</v>
      </c>
      <c r="H74" s="198">
        <f>SUM(H71:H73)*(Model!EO98&lt;&gt;0)</f>
        <v>3594516.9345621392</v>
      </c>
      <c r="I74" s="198">
        <f>SUM(I71:I73)*(Model!EP98&lt;&gt;0)</f>
        <v>0</v>
      </c>
      <c r="J74" s="198">
        <f>SUM(J71:J73)*(Model!EQ98&lt;&gt;0)</f>
        <v>0</v>
      </c>
    </row>
    <row r="75" spans="2:10" x14ac:dyDescent="0.4">
      <c r="B75" s="22" t="s">
        <v>313</v>
      </c>
      <c r="D75" s="11"/>
      <c r="F75" s="287">
        <f ca="1">Model!EM148+Model!EM153</f>
        <v>-24061.130992907405</v>
      </c>
      <c r="G75" s="183">
        <f ca="1">Model!EN148+Model!EN153</f>
        <v>-1202402.8234480424</v>
      </c>
      <c r="H75" s="183">
        <f ca="1">Model!EO148+Model!EO153</f>
        <v>-1917823.8000000003</v>
      </c>
      <c r="I75" s="183">
        <f ca="1">Model!EP148+Model!EP153</f>
        <v>0</v>
      </c>
      <c r="J75" s="183">
        <f ca="1">Model!EQ148+Model!EQ153</f>
        <v>0</v>
      </c>
    </row>
    <row r="76" spans="2:10" x14ac:dyDescent="0.4">
      <c r="B76" s="22" t="s">
        <v>314</v>
      </c>
      <c r="D76" s="14"/>
      <c r="E76" s="14"/>
      <c r="F76" s="288">
        <f ca="1">Model!EM152+Model!EM154+Model!EM150</f>
        <v>7670861.1315651201</v>
      </c>
      <c r="G76" s="183">
        <f ca="1">Model!EN152+Model!EN154+Model!EN150</f>
        <v>32329138.868434876</v>
      </c>
      <c r="H76" s="183">
        <f ca="1">Model!EO152+Model!EO154+Model!EO150</f>
        <v>-40000000</v>
      </c>
      <c r="I76" s="183">
        <f ca="1">Model!EP152+Model!EP154+Model!EP150</f>
        <v>0</v>
      </c>
      <c r="J76" s="183">
        <f ca="1">Model!EQ152+Model!EQ154+Model!EQ150</f>
        <v>0</v>
      </c>
    </row>
    <row r="77" spans="2:10" x14ac:dyDescent="0.4">
      <c r="B77" s="37" t="s">
        <v>315</v>
      </c>
      <c r="C77" s="37"/>
      <c r="D77" s="196"/>
      <c r="E77" s="197"/>
      <c r="F77" s="290">
        <f ca="1">SUM(F74:F76)</f>
        <v>-12645699.999427788</v>
      </c>
      <c r="G77" s="198">
        <f ca="1">SUM(G74:G76)</f>
        <v>407956.78365748748</v>
      </c>
      <c r="H77" s="198">
        <f ca="1">SUM(H74:H76)</f>
        <v>-38323306.865437858</v>
      </c>
      <c r="I77" s="198">
        <f ca="1">SUM(I74:I76)</f>
        <v>0</v>
      </c>
      <c r="J77" s="198">
        <f ca="1">SUM(J74:J76)</f>
        <v>0</v>
      </c>
    </row>
    <row r="78" spans="2:10" x14ac:dyDescent="0.4">
      <c r="B78" s="200" t="s">
        <v>202</v>
      </c>
      <c r="C78" s="200"/>
      <c r="D78" s="292">
        <f>'Inputs &amp; Drivers'!E51</f>
        <v>1356.6666666666667</v>
      </c>
      <c r="E78" s="291">
        <f>SUMIF(Model!$H$5:$EJ$5,'Transaction Summary'!$E$61,Model!$H56:$EJ56)</f>
        <v>1540.3358563604825</v>
      </c>
      <c r="F78" s="293">
        <f>Model!EM56</f>
        <v>1356.6666666666667</v>
      </c>
      <c r="G78" s="289">
        <f>Model!EN56</f>
        <v>1384.0501092079039</v>
      </c>
      <c r="H78" s="201">
        <f>Model!EO56</f>
        <v>1555.7970738498609</v>
      </c>
      <c r="I78" s="201">
        <f>Model!EP56</f>
        <v>1603.1181306142382</v>
      </c>
      <c r="J78" s="201">
        <f>Model!EQ56</f>
        <v>1651.8785026022622</v>
      </c>
    </row>
    <row r="79" spans="2:10" x14ac:dyDescent="0.4">
      <c r="B79" s="200" t="s">
        <v>203</v>
      </c>
      <c r="C79" s="200"/>
      <c r="D79" s="295"/>
      <c r="E79" s="298"/>
      <c r="F79" s="300"/>
      <c r="G79" s="294">
        <f>G78/F78-1</f>
        <v>2.0184355681501565E-2</v>
      </c>
      <c r="H79" s="202">
        <f>H78/G78-1</f>
        <v>0.12409013481473474</v>
      </c>
      <c r="I79" s="202">
        <f>I78/H78-1</f>
        <v>3.0415956913506736E-2</v>
      </c>
      <c r="J79" s="202">
        <f>J78/I78-1</f>
        <v>3.0415956913506736E-2</v>
      </c>
    </row>
    <row r="80" spans="2:10" x14ac:dyDescent="0.4">
      <c r="B80" s="200" t="s">
        <v>8</v>
      </c>
      <c r="C80" s="200"/>
      <c r="D80" s="296">
        <f>'Inputs &amp; Drivers'!E49</f>
        <v>0.93</v>
      </c>
      <c r="E80" s="299">
        <f>SUMIF(Model!$H$5:$EJ$5,'Transaction Summary'!$E$61,Model!$H58:$EJ58)</f>
        <v>0.93</v>
      </c>
      <c r="F80" s="297">
        <f>Model!EM58</f>
        <v>0</v>
      </c>
      <c r="G80" s="301">
        <f>Model!EN58</f>
        <v>0.91</v>
      </c>
      <c r="H80" s="204">
        <f>Model!EO58</f>
        <v>0.93</v>
      </c>
      <c r="I80" s="204">
        <f>Model!EP58</f>
        <v>0.93</v>
      </c>
      <c r="J80" s="204">
        <f>Model!EQ58</f>
        <v>0.93</v>
      </c>
    </row>
    <row r="81" spans="2:10" x14ac:dyDescent="0.4">
      <c r="B81" s="200" t="s">
        <v>227</v>
      </c>
      <c r="C81" s="200"/>
      <c r="D81" s="304">
        <f ca="1">D71/$H$14</f>
        <v>4.792764962041296E-2</v>
      </c>
      <c r="E81" s="303">
        <f ca="1">E71/$H$14</f>
        <v>6.746430006954704E-2</v>
      </c>
      <c r="F81" s="302">
        <f ca="1">Model!EM83</f>
        <v>0</v>
      </c>
      <c r="G81" s="202">
        <f ca="1">Model!EN83</f>
        <v>1.2398333642606545E-2</v>
      </c>
      <c r="H81" s="202">
        <f ca="1">Model!EO83</f>
        <v>6.1874764064309751E-2</v>
      </c>
      <c r="I81" s="202">
        <f ca="1">Model!EP83</f>
        <v>6.8547599236276846E-2</v>
      </c>
      <c r="J81" s="202">
        <f ca="1">Model!EQ83</f>
        <v>7.0649377137461347E-2</v>
      </c>
    </row>
    <row r="82" spans="2:10" x14ac:dyDescent="0.4">
      <c r="B82" s="200" t="s">
        <v>204</v>
      </c>
      <c r="C82" s="200"/>
      <c r="D82" s="297">
        <f>IFERROR(D71/D69,0)</f>
        <v>0.62912159372649834</v>
      </c>
      <c r="E82" s="203">
        <f t="shared" ref="E82:J82" si="9">IFERROR(E71/E69,0)</f>
        <v>0.69543414534275283</v>
      </c>
      <c r="F82" s="305">
        <f t="shared" si="9"/>
        <v>0</v>
      </c>
      <c r="G82" s="205">
        <f t="shared" si="9"/>
        <v>0.48372358168206792</v>
      </c>
      <c r="H82" s="205">
        <f t="shared" si="9"/>
        <v>0.67945074543213901</v>
      </c>
      <c r="I82" s="205">
        <f t="shared" si="9"/>
        <v>0.69396025206172196</v>
      </c>
      <c r="J82" s="205">
        <f t="shared" si="9"/>
        <v>0.69482281027951776</v>
      </c>
    </row>
    <row r="83" spans="2:10" x14ac:dyDescent="0.4">
      <c r="B83" s="200" t="s">
        <v>146</v>
      </c>
      <c r="C83" s="200"/>
      <c r="D83" s="200"/>
      <c r="E83" s="200"/>
      <c r="F83" s="306">
        <f ca="1">Model!EM156</f>
        <v>0</v>
      </c>
      <c r="G83" s="206">
        <f ca="1">Model!EN156</f>
        <v>0.60605374876029983</v>
      </c>
      <c r="H83" s="206">
        <f ca="1">Model!EO156</f>
        <v>1.8977326981561804</v>
      </c>
      <c r="I83" s="206" t="str">
        <f ca="1">Model!EP156</f>
        <v>n/a</v>
      </c>
      <c r="J83" s="206" t="str">
        <f ca="1">Model!EQ156</f>
        <v>n/a</v>
      </c>
    </row>
    <row r="85" spans="2:10" x14ac:dyDescent="0.4">
      <c r="E85" s="7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D35BE-06A0-436D-A285-1900C98CFC22}">
  <dimension ref="B2:AF132"/>
  <sheetViews>
    <sheetView showGridLines="0" topLeftCell="G1" zoomScaleNormal="100" workbookViewId="0">
      <selection activeCell="O12" sqref="O12"/>
    </sheetView>
  </sheetViews>
  <sheetFormatPr defaultColWidth="8.7265625" defaultRowHeight="14.5" x14ac:dyDescent="0.4"/>
  <cols>
    <col min="1" max="1" width="8.7265625" style="22"/>
    <col min="2" max="2" width="24.7265625" style="22" customWidth="1"/>
    <col min="3" max="4" width="13.1796875" style="22" customWidth="1"/>
    <col min="5" max="5" width="24.7265625" style="22" customWidth="1"/>
    <col min="6" max="6" width="13.1796875" style="22" customWidth="1"/>
    <col min="7" max="7" width="24.7265625" style="22" customWidth="1"/>
    <col min="8" max="9" width="13.26953125" style="22" customWidth="1"/>
    <col min="10" max="10" width="24.7265625" style="22" customWidth="1"/>
    <col min="11" max="13" width="8.7265625" style="1"/>
    <col min="14" max="14" width="10.81640625" style="1" bestFit="1" customWidth="1"/>
    <col min="15" max="15" width="8.7265625" style="1"/>
    <col min="16" max="17" width="13.1796875" style="1" customWidth="1"/>
    <col min="18" max="18" width="8.7265625" style="1"/>
    <col min="19" max="25" width="13.1796875" style="1" customWidth="1"/>
    <col min="26" max="27" width="8.7265625" style="1"/>
    <col min="28" max="31" width="20.7265625" style="1" customWidth="1"/>
    <col min="32" max="32" width="20.7265625" style="22" customWidth="1"/>
    <col min="33" max="16384" width="8.7265625" style="22"/>
  </cols>
  <sheetData>
    <row r="2" spans="2:32" ht="15" thickBot="1" x14ac:dyDescent="0.45">
      <c r="B2" s="31" t="s">
        <v>1</v>
      </c>
      <c r="C2" s="31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</row>
    <row r="3" spans="2:32" ht="15" thickTop="1" x14ac:dyDescent="0.4"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</row>
    <row r="4" spans="2:32" x14ac:dyDescent="0.4">
      <c r="B4" s="28" t="s">
        <v>4</v>
      </c>
      <c r="C4" s="29"/>
      <c r="D4" s="29"/>
      <c r="E4" s="29"/>
      <c r="G4" s="28" t="s">
        <v>131</v>
      </c>
      <c r="H4" s="29"/>
      <c r="I4" s="29"/>
      <c r="J4" s="29"/>
      <c r="L4" s="10" t="s">
        <v>213</v>
      </c>
      <c r="P4" s="75" t="s">
        <v>79</v>
      </c>
      <c r="Q4" s="22"/>
      <c r="R4" s="22"/>
      <c r="S4" s="75" t="s">
        <v>82</v>
      </c>
      <c r="T4" s="22"/>
      <c r="U4" s="22"/>
      <c r="V4" s="22"/>
      <c r="W4" s="22"/>
      <c r="X4" s="22"/>
      <c r="Y4" s="22"/>
      <c r="AA4" s="10" t="s">
        <v>224</v>
      </c>
    </row>
    <row r="5" spans="2:32" x14ac:dyDescent="0.4">
      <c r="B5" s="21" t="s">
        <v>10</v>
      </c>
      <c r="C5" s="21"/>
      <c r="D5" s="21"/>
      <c r="E5" s="47" t="s">
        <v>35</v>
      </c>
      <c r="G5" s="91" t="s">
        <v>212</v>
      </c>
      <c r="H5" s="100">
        <v>0.1</v>
      </c>
      <c r="I5" s="21"/>
      <c r="J5" s="140"/>
      <c r="L5" s="107" t="s">
        <v>220</v>
      </c>
      <c r="M5" s="107"/>
      <c r="N5" s="233" t="str">
        <f ca="1">Model!F183</f>
        <v>Ok</v>
      </c>
      <c r="P5" s="21"/>
      <c r="Q5" s="21"/>
      <c r="R5" s="22"/>
      <c r="S5" s="21"/>
      <c r="T5" s="21"/>
      <c r="U5" s="21"/>
      <c r="V5" s="21"/>
      <c r="W5" s="21"/>
      <c r="X5" s="21"/>
      <c r="Y5" s="21"/>
      <c r="AA5" s="107"/>
      <c r="AB5" s="107"/>
      <c r="AC5" s="107"/>
      <c r="AD5" s="107"/>
      <c r="AE5" s="107"/>
      <c r="AF5" s="21"/>
    </row>
    <row r="6" spans="2:32" ht="16" x14ac:dyDescent="0.55000000000000004">
      <c r="B6" s="22" t="s">
        <v>7</v>
      </c>
      <c r="E6" s="48" t="s">
        <v>321</v>
      </c>
      <c r="H6" s="93" t="s">
        <v>101</v>
      </c>
      <c r="I6" s="93" t="s">
        <v>127</v>
      </c>
      <c r="J6" s="93" t="s">
        <v>102</v>
      </c>
      <c r="L6" s="1" t="s">
        <v>214</v>
      </c>
      <c r="N6" s="234" t="str">
        <f ca="1">Model!E183</f>
        <v>Ok</v>
      </c>
      <c r="P6" s="76" t="s">
        <v>80</v>
      </c>
      <c r="Q6" s="76" t="s">
        <v>81</v>
      </c>
      <c r="R6" s="22"/>
      <c r="S6" s="28" t="s">
        <v>88</v>
      </c>
      <c r="T6" s="12">
        <f>PMT($J$23/12,$J$22*12,-$J$16)</f>
        <v>214728.64920485564</v>
      </c>
      <c r="U6" s="28"/>
      <c r="V6" s="28"/>
      <c r="W6" s="28"/>
      <c r="X6" s="28"/>
      <c r="Y6" s="12"/>
      <c r="AA6" s="144" t="s">
        <v>185</v>
      </c>
      <c r="AB6" s="144" t="s">
        <v>226</v>
      </c>
      <c r="AC6" s="144"/>
      <c r="AD6" s="144"/>
      <c r="AE6" s="144"/>
      <c r="AF6" s="144"/>
    </row>
    <row r="7" spans="2:32" x14ac:dyDescent="0.4">
      <c r="B7" s="22" t="s">
        <v>5</v>
      </c>
      <c r="E7" s="48" t="s">
        <v>36</v>
      </c>
      <c r="G7" s="62" t="s">
        <v>103</v>
      </c>
      <c r="H7" s="92" t="s">
        <v>104</v>
      </c>
      <c r="I7" s="64">
        <v>0.1</v>
      </c>
      <c r="J7" s="101">
        <f>H5</f>
        <v>0.1</v>
      </c>
      <c r="L7" s="1" t="s">
        <v>215</v>
      </c>
      <c r="N7" s="234" t="str">
        <f ca="1">IF(SUM(Model!H183:EJ183)=0,"Ok","Check")</f>
        <v>Ok</v>
      </c>
      <c r="P7" s="81">
        <v>44196</v>
      </c>
      <c r="Q7" s="77">
        <v>1.6562E-2</v>
      </c>
      <c r="AA7" s="22" t="str">
        <f ca="1">IF(ISERROR(CONCATENATE(TEXT($N$21,"0.0%"),", ",TEXT($N$22/1000000,"$0.0"),"M, ",TEXT($N$23,"0.0x"))),0,CONCATENATE(TEXT($N$21,"0.0%"),", ",TEXT($N$22/1000000,"$0.0"),"M, ",TEXT($N$23,"0.0x")))</f>
        <v>27.5%, $15.9M, 1.8x</v>
      </c>
      <c r="AB7" s="145">
        <f>AC7-0.25%</f>
        <v>2.5000000000000001E-2</v>
      </c>
      <c r="AC7" s="145">
        <f>AD7-0.25%</f>
        <v>2.75E-2</v>
      </c>
      <c r="AD7" s="149">
        <v>0.03</v>
      </c>
      <c r="AE7" s="145">
        <f>AD7+0.25%</f>
        <v>3.2500000000000001E-2</v>
      </c>
      <c r="AF7" s="145">
        <f>AE7+0.25%</f>
        <v>3.5000000000000003E-2</v>
      </c>
    </row>
    <row r="8" spans="2:32" x14ac:dyDescent="0.4">
      <c r="B8" s="22" t="s">
        <v>12</v>
      </c>
      <c r="E8" s="183">
        <f>C34</f>
        <v>300</v>
      </c>
      <c r="G8" s="62" t="s">
        <v>105</v>
      </c>
      <c r="H8" s="64">
        <v>0.2</v>
      </c>
      <c r="I8" s="64">
        <v>0.15</v>
      </c>
      <c r="J8" s="101">
        <f>$H$5+(H8*(1-$H$5))</f>
        <v>0.28000000000000003</v>
      </c>
      <c r="L8" s="1" t="s">
        <v>216</v>
      </c>
      <c r="N8" s="234" t="str">
        <f ca="1">IF(ROUND('Transaction Summary'!D14+'Transaction Summary'!H14-'Transaction Summary'!D20-'Transaction Summary'!H20,0)=0,"Ok","Check")</f>
        <v>Ok</v>
      </c>
      <c r="P8" s="81">
        <v>44227</v>
      </c>
      <c r="Q8" s="77">
        <v>1.6266300000000001E-2</v>
      </c>
      <c r="S8" s="26" t="s">
        <v>80</v>
      </c>
      <c r="T8" s="26" t="s">
        <v>91</v>
      </c>
      <c r="U8" s="26" t="s">
        <v>83</v>
      </c>
      <c r="V8" s="26" t="s">
        <v>84</v>
      </c>
      <c r="W8" s="26" t="s">
        <v>85</v>
      </c>
      <c r="X8" s="26" t="s">
        <v>86</v>
      </c>
      <c r="Y8" s="26" t="s">
        <v>87</v>
      </c>
      <c r="AA8" s="146">
        <f>AA9-0.25%</f>
        <v>4.4999999999999991E-2</v>
      </c>
      <c r="AB8" s="153"/>
      <c r="AC8" s="153"/>
      <c r="AD8" s="153"/>
      <c r="AE8" s="153"/>
      <c r="AF8" s="153"/>
    </row>
    <row r="9" spans="2:32" x14ac:dyDescent="0.4">
      <c r="B9" s="22" t="s">
        <v>13</v>
      </c>
      <c r="E9" s="48">
        <v>2015</v>
      </c>
      <c r="G9" s="62" t="s">
        <v>106</v>
      </c>
      <c r="H9" s="64">
        <v>0.3</v>
      </c>
      <c r="I9" s="64">
        <v>0.2</v>
      </c>
      <c r="J9" s="101">
        <f>$H$5+(H9*(1-$H$5))</f>
        <v>0.37</v>
      </c>
      <c r="L9" s="1" t="s">
        <v>316</v>
      </c>
      <c r="N9" s="142" t="str">
        <f>IF(SUM('Transaction Summary'!F71:J71)=SUM(Model!EM80:EQ80),"Ok","Check")</f>
        <v>Ok</v>
      </c>
      <c r="P9" s="81">
        <v>44255</v>
      </c>
      <c r="Q9" s="77">
        <v>1.5963999999999999E-2</v>
      </c>
      <c r="S9" s="82">
        <f>J13</f>
        <v>44196</v>
      </c>
      <c r="T9" s="83">
        <v>0</v>
      </c>
      <c r="Y9" s="12">
        <f>J16</f>
        <v>40000000</v>
      </c>
      <c r="AA9" s="146">
        <f>AA10-0.25%</f>
        <v>4.7499999999999994E-2</v>
      </c>
      <c r="AB9" s="153"/>
      <c r="AC9" s="153"/>
      <c r="AD9" s="153"/>
      <c r="AE9" s="153"/>
      <c r="AF9" s="153"/>
    </row>
    <row r="10" spans="2:32" x14ac:dyDescent="0.4">
      <c r="G10" s="62" t="s">
        <v>107</v>
      </c>
      <c r="H10" s="64">
        <v>0.4</v>
      </c>
      <c r="I10" s="92">
        <v>5</v>
      </c>
      <c r="J10" s="101">
        <f>$H$5+(H10*(1-$H$5))</f>
        <v>0.46000000000000008</v>
      </c>
      <c r="L10" s="1" t="s">
        <v>217</v>
      </c>
      <c r="N10" s="234" t="str">
        <f ca="1">IF(SUM(Model!H152:EJ152,Model!H153:EJ154)=0,"Ok","Check")</f>
        <v>Ok</v>
      </c>
      <c r="P10" s="81">
        <v>44286</v>
      </c>
      <c r="Q10" s="77">
        <v>1.5610199999999999E-2</v>
      </c>
      <c r="S10" s="82">
        <f t="shared" ref="S10:S15" si="0">EOMONTH(S9,1)</f>
        <v>44227</v>
      </c>
      <c r="T10" s="1">
        <f t="shared" ref="T10:T15" si="1">T9+1</f>
        <v>1</v>
      </c>
      <c r="U10" s="12">
        <f>IF(T10&lt;=$J$21,$X10,$T$6)</f>
        <v>177602.44444444444</v>
      </c>
      <c r="V10" s="12">
        <f>Y9</f>
        <v>40000000</v>
      </c>
      <c r="W10" s="12">
        <f>U10-X10</f>
        <v>0</v>
      </c>
      <c r="X10" s="12">
        <f>$J$19/$I$13*($S10-$S9)*V10</f>
        <v>177602.44444444444</v>
      </c>
      <c r="Y10" s="12">
        <f t="shared" ref="Y10:Y15" si="2">V10-W10</f>
        <v>40000000</v>
      </c>
      <c r="AA10" s="146">
        <f>AA11-0.25%</f>
        <v>4.9999999999999996E-2</v>
      </c>
      <c r="AB10" s="153"/>
      <c r="AC10" s="153"/>
      <c r="AD10" s="153"/>
      <c r="AE10" s="153"/>
      <c r="AF10" s="153"/>
    </row>
    <row r="11" spans="2:32" ht="15" thickBot="1" x14ac:dyDescent="0.45">
      <c r="B11" s="28" t="s">
        <v>300</v>
      </c>
      <c r="C11" s="29"/>
      <c r="D11" s="29"/>
      <c r="E11" s="29"/>
      <c r="L11" s="1" t="s">
        <v>218</v>
      </c>
      <c r="N11" s="234" t="str">
        <f ca="1">IF(ROUND(Model!C164-Model!C265-Model!C279,-1)=0,"Ok","Check")</f>
        <v>Ok</v>
      </c>
      <c r="P11" s="81">
        <v>44316</v>
      </c>
      <c r="Q11" s="77">
        <v>1.5249199999999999E-2</v>
      </c>
      <c r="S11" s="82">
        <f t="shared" si="0"/>
        <v>44255</v>
      </c>
      <c r="T11" s="1">
        <f t="shared" si="1"/>
        <v>2</v>
      </c>
      <c r="U11" s="12">
        <f t="shared" ref="U11:U74" si="3">IF(T11&lt;=$J$21,$X11,$T$6)</f>
        <v>160415.11111111112</v>
      </c>
      <c r="V11" s="12">
        <f t="shared" ref="V11:V74" si="4">Y10</f>
        <v>40000000</v>
      </c>
      <c r="W11" s="12">
        <f t="shared" ref="W11:W74" si="5">U11-X11</f>
        <v>0</v>
      </c>
      <c r="X11" s="12">
        <f t="shared" ref="X11:X74" si="6">$J$19/$I$13*($S11-$S10)*V11</f>
        <v>160415.11111111112</v>
      </c>
      <c r="Y11" s="12">
        <f t="shared" si="2"/>
        <v>40000000</v>
      </c>
      <c r="AA11" s="146">
        <f>AA12-0.25%</f>
        <v>5.2499999999999998E-2</v>
      </c>
      <c r="AB11" s="153"/>
      <c r="AC11" s="153"/>
      <c r="AD11" s="153"/>
      <c r="AE11" s="153"/>
      <c r="AF11" s="153"/>
    </row>
    <row r="12" spans="2:32" ht="15" thickBot="1" x14ac:dyDescent="0.45">
      <c r="B12" s="21" t="s">
        <v>14</v>
      </c>
      <c r="C12" s="21"/>
      <c r="D12" s="21"/>
      <c r="E12" s="49">
        <v>44196</v>
      </c>
      <c r="G12" s="28" t="s">
        <v>69</v>
      </c>
      <c r="H12" s="29"/>
      <c r="I12" s="29"/>
      <c r="J12" s="29"/>
      <c r="L12" s="1" t="s">
        <v>219</v>
      </c>
      <c r="N12" s="234" t="str">
        <f ca="1">IF(SUM(Model!H258:EJ258)=0,"Ok","Check")</f>
        <v>Ok</v>
      </c>
      <c r="P12" s="81">
        <v>44347</v>
      </c>
      <c r="Q12" s="77">
        <v>1.4936400000000001E-2</v>
      </c>
      <c r="S12" s="82">
        <f t="shared" si="0"/>
        <v>44286</v>
      </c>
      <c r="T12" s="1">
        <f t="shared" si="1"/>
        <v>3</v>
      </c>
      <c r="U12" s="12">
        <f t="shared" si="3"/>
        <v>177602.44444444444</v>
      </c>
      <c r="V12" s="12">
        <f t="shared" si="4"/>
        <v>40000000</v>
      </c>
      <c r="W12" s="12">
        <f t="shared" si="5"/>
        <v>0</v>
      </c>
      <c r="X12" s="12">
        <f t="shared" si="6"/>
        <v>177602.44444444444</v>
      </c>
      <c r="Y12" s="12">
        <f t="shared" si="2"/>
        <v>40000000</v>
      </c>
      <c r="AA12" s="150">
        <v>5.5E-2</v>
      </c>
      <c r="AB12" s="153"/>
      <c r="AC12" s="153"/>
      <c r="AD12" s="158"/>
      <c r="AE12" s="153"/>
      <c r="AF12" s="153"/>
    </row>
    <row r="13" spans="2:32" x14ac:dyDescent="0.4">
      <c r="B13" s="22" t="s">
        <v>0</v>
      </c>
      <c r="E13" s="50">
        <v>36</v>
      </c>
      <c r="F13" s="78"/>
      <c r="G13" s="21" t="s">
        <v>70</v>
      </c>
      <c r="H13" s="314" t="s">
        <v>323</v>
      </c>
      <c r="I13" s="314">
        <v>360</v>
      </c>
      <c r="J13" s="72">
        <f>E12</f>
        <v>44196</v>
      </c>
      <c r="L13" s="1" t="s">
        <v>143</v>
      </c>
      <c r="N13" s="234" t="str">
        <f>IF(AND(Model!C261=Model!C268,Model!C261&lt;=Model!C275),"Ok","Check")</f>
        <v>Ok</v>
      </c>
      <c r="P13" s="81">
        <v>44377</v>
      </c>
      <c r="Q13" s="77">
        <v>1.4556899999999999E-2</v>
      </c>
      <c r="S13" s="82">
        <f t="shared" si="0"/>
        <v>44316</v>
      </c>
      <c r="T13" s="1">
        <f t="shared" si="1"/>
        <v>4</v>
      </c>
      <c r="U13" s="12">
        <f t="shared" si="3"/>
        <v>171873.33333333334</v>
      </c>
      <c r="V13" s="12">
        <f t="shared" si="4"/>
        <v>40000000</v>
      </c>
      <c r="W13" s="12">
        <f t="shared" si="5"/>
        <v>0</v>
      </c>
      <c r="X13" s="12">
        <f t="shared" si="6"/>
        <v>171873.33333333334</v>
      </c>
      <c r="Y13" s="12">
        <f t="shared" si="2"/>
        <v>40000000</v>
      </c>
      <c r="AA13" s="146">
        <f>AA12+0.25%</f>
        <v>5.7500000000000002E-2</v>
      </c>
      <c r="AB13" s="153"/>
      <c r="AC13" s="153"/>
      <c r="AD13" s="153"/>
      <c r="AE13" s="153"/>
      <c r="AF13" s="153"/>
    </row>
    <row r="14" spans="2:32" x14ac:dyDescent="0.4">
      <c r="B14" s="22" t="s">
        <v>62</v>
      </c>
      <c r="E14" s="166">
        <f>EOMONTH(E12,E13)</f>
        <v>45291</v>
      </c>
      <c r="F14" s="74"/>
      <c r="G14" s="22" t="s">
        <v>71</v>
      </c>
      <c r="J14" s="73">
        <f>E13</f>
        <v>36</v>
      </c>
      <c r="L14" s="1" t="s">
        <v>228</v>
      </c>
      <c r="N14" s="234" t="str">
        <f ca="1">IF(ROUND(Model!ER83,-1)=ROUND('Transaction Summary'!E38,-1),"Ok","Check")</f>
        <v>Ok</v>
      </c>
      <c r="P14" s="81">
        <v>44408</v>
      </c>
      <c r="Q14" s="77">
        <v>1.4193300000000001E-2</v>
      </c>
      <c r="S14" s="82">
        <f t="shared" si="0"/>
        <v>44347</v>
      </c>
      <c r="T14" s="1">
        <f t="shared" si="1"/>
        <v>5</v>
      </c>
      <c r="U14" s="12">
        <f t="shared" si="3"/>
        <v>177602.44444444444</v>
      </c>
      <c r="V14" s="12">
        <f t="shared" si="4"/>
        <v>40000000</v>
      </c>
      <c r="W14" s="12">
        <f t="shared" si="5"/>
        <v>0</v>
      </c>
      <c r="X14" s="12">
        <f t="shared" si="6"/>
        <v>177602.44444444444</v>
      </c>
      <c r="Y14" s="12">
        <f t="shared" si="2"/>
        <v>40000000</v>
      </c>
      <c r="AA14" s="146">
        <f>AA13+0.25%</f>
        <v>6.0000000000000005E-2</v>
      </c>
      <c r="AB14" s="153"/>
      <c r="AC14" s="153"/>
      <c r="AD14" s="153"/>
      <c r="AE14" s="153"/>
      <c r="AF14" s="153"/>
    </row>
    <row r="15" spans="2:32" x14ac:dyDescent="0.4">
      <c r="B15" s="22" t="s">
        <v>65</v>
      </c>
      <c r="E15" s="69">
        <v>0.01</v>
      </c>
      <c r="G15" s="22" t="s">
        <v>72</v>
      </c>
      <c r="J15" s="166">
        <f>EOMONTH(J13,J14)</f>
        <v>45291</v>
      </c>
      <c r="L15" s="1" t="s">
        <v>195</v>
      </c>
      <c r="N15" s="161" t="str">
        <f ca="1">IF(AND(ROUND('Transaction Summary'!E49,0)=ROUND(Model!F159,0),ROUND(Model!F159,0)=ROUND(Model!C164,0)),"Ok","Check")</f>
        <v>Ok</v>
      </c>
      <c r="P15" s="81">
        <v>44439</v>
      </c>
      <c r="Q15" s="77">
        <v>1.38616E-2</v>
      </c>
      <c r="S15" s="82">
        <f t="shared" si="0"/>
        <v>44377</v>
      </c>
      <c r="T15" s="1">
        <f t="shared" si="1"/>
        <v>6</v>
      </c>
      <c r="U15" s="12">
        <f t="shared" si="3"/>
        <v>171873.33333333334</v>
      </c>
      <c r="V15" s="12">
        <f t="shared" si="4"/>
        <v>40000000</v>
      </c>
      <c r="W15" s="12">
        <f t="shared" si="5"/>
        <v>0</v>
      </c>
      <c r="X15" s="12">
        <f t="shared" si="6"/>
        <v>171873.33333333334</v>
      </c>
      <c r="Y15" s="12">
        <f t="shared" si="2"/>
        <v>40000000</v>
      </c>
      <c r="AA15" s="146">
        <f>AA14+0.25%</f>
        <v>6.25E-2</v>
      </c>
      <c r="AB15" s="153"/>
      <c r="AC15" s="153"/>
      <c r="AD15" s="153"/>
      <c r="AE15" s="153"/>
      <c r="AF15" s="153"/>
    </row>
    <row r="16" spans="2:32" x14ac:dyDescent="0.4">
      <c r="B16" s="22" t="s">
        <v>63</v>
      </c>
      <c r="E16" s="69">
        <v>5.5E-2</v>
      </c>
      <c r="G16" s="22" t="s">
        <v>73</v>
      </c>
      <c r="J16" s="235">
        <v>40000000</v>
      </c>
      <c r="L16" s="1" t="s">
        <v>303</v>
      </c>
      <c r="N16" s="161" t="str">
        <f ca="1">IF(J16='Transaction Summary'!H18,"Ok","Check")</f>
        <v>Ok</v>
      </c>
      <c r="P16" s="81">
        <v>44469</v>
      </c>
      <c r="Q16" s="77">
        <v>1.35342E-2</v>
      </c>
      <c r="S16" s="82">
        <f t="shared" ref="S16:S55" si="7">EOMONTH(S15,1)</f>
        <v>44408</v>
      </c>
      <c r="T16" s="1">
        <f t="shared" ref="T16:T55" si="8">T15+1</f>
        <v>7</v>
      </c>
      <c r="U16" s="12">
        <f t="shared" si="3"/>
        <v>177602.44444444444</v>
      </c>
      <c r="V16" s="12">
        <f t="shared" si="4"/>
        <v>40000000</v>
      </c>
      <c r="W16" s="12">
        <f t="shared" si="5"/>
        <v>0</v>
      </c>
      <c r="X16" s="12">
        <f t="shared" si="6"/>
        <v>177602.44444444444</v>
      </c>
      <c r="Y16" s="12">
        <f t="shared" ref="Y16:Y55" si="9">V16-W16</f>
        <v>40000000</v>
      </c>
      <c r="AA16" s="146">
        <f>AA15+0.25%</f>
        <v>6.5000000000000002E-2</v>
      </c>
      <c r="AB16" s="153"/>
      <c r="AC16" s="153"/>
      <c r="AD16" s="153"/>
      <c r="AE16" s="153"/>
      <c r="AF16" s="153"/>
    </row>
    <row r="17" spans="2:32" x14ac:dyDescent="0.4">
      <c r="B17" s="22" t="s">
        <v>64</v>
      </c>
      <c r="D17" s="239">
        <f>E17/$E$8</f>
        <v>244364.71335503305</v>
      </c>
      <c r="E17" s="237">
        <f>SUM(Model!H94:EJ94)</f>
        <v>73309414.006509915</v>
      </c>
      <c r="G17" s="22" t="s">
        <v>286</v>
      </c>
      <c r="J17" s="242">
        <f ca="1">J16/E18</f>
        <v>0.68090089998739689</v>
      </c>
      <c r="L17" s="1" t="s">
        <v>304</v>
      </c>
      <c r="N17" s="161" t="str">
        <f ca="1">IF(-SUM(Model!F90:F93,Model!F131,Model!F139,Model!F150)='Development Budget'!E34,"Ok","Check")</f>
        <v>Ok</v>
      </c>
      <c r="P17" s="81">
        <v>44500</v>
      </c>
      <c r="Q17" s="77">
        <v>1.32701E-2</v>
      </c>
      <c r="S17" s="82">
        <f t="shared" si="7"/>
        <v>44439</v>
      </c>
      <c r="T17" s="1">
        <f t="shared" si="8"/>
        <v>8</v>
      </c>
      <c r="U17" s="12">
        <f t="shared" si="3"/>
        <v>177602.44444444444</v>
      </c>
      <c r="V17" s="12">
        <f t="shared" si="4"/>
        <v>40000000</v>
      </c>
      <c r="W17" s="12">
        <f t="shared" si="5"/>
        <v>0</v>
      </c>
      <c r="X17" s="12">
        <f t="shared" si="6"/>
        <v>177602.44444444444</v>
      </c>
      <c r="Y17" s="12">
        <f t="shared" si="9"/>
        <v>40000000</v>
      </c>
      <c r="AF17" s="1"/>
    </row>
    <row r="18" spans="2:32" ht="16" x14ac:dyDescent="0.55000000000000004">
      <c r="B18" s="22" t="s">
        <v>245</v>
      </c>
      <c r="D18" s="239">
        <f ca="1">E18/$E$8</f>
        <v>195818.99999809262</v>
      </c>
      <c r="E18" s="237">
        <f ca="1">'Development Budget'!E34</f>
        <v>58745699.999427788</v>
      </c>
      <c r="G18" s="22" t="s">
        <v>74</v>
      </c>
      <c r="I18" s="79" t="s">
        <v>89</v>
      </c>
      <c r="J18" s="236">
        <v>350</v>
      </c>
      <c r="L18" s="1" t="s">
        <v>305</v>
      </c>
      <c r="N18" s="142" t="str">
        <f ca="1">IF(AND(ROUND(Model!F127+Model!F131,0)=0,ROUND(Model!F135+Model!F139,0)=0),"Ok","Check")</f>
        <v>Ok</v>
      </c>
      <c r="P18" s="81">
        <v>44530</v>
      </c>
      <c r="Q18" s="77">
        <v>1.3059400000000001E-2</v>
      </c>
      <c r="S18" s="82">
        <f t="shared" si="7"/>
        <v>44469</v>
      </c>
      <c r="T18" s="1">
        <f t="shared" si="8"/>
        <v>9</v>
      </c>
      <c r="U18" s="12">
        <f t="shared" si="3"/>
        <v>171873.33333333334</v>
      </c>
      <c r="V18" s="12">
        <f t="shared" si="4"/>
        <v>40000000</v>
      </c>
      <c r="W18" s="12">
        <f t="shared" si="5"/>
        <v>0</v>
      </c>
      <c r="X18" s="12">
        <f t="shared" si="6"/>
        <v>171873.33333333334</v>
      </c>
      <c r="Y18" s="12">
        <f t="shared" si="9"/>
        <v>40000000</v>
      </c>
      <c r="AA18" s="144" t="s">
        <v>185</v>
      </c>
      <c r="AB18" s="144" t="s">
        <v>0</v>
      </c>
      <c r="AC18" s="144"/>
      <c r="AD18" s="144"/>
      <c r="AE18" s="144"/>
      <c r="AF18" s="144"/>
    </row>
    <row r="19" spans="2:32" x14ac:dyDescent="0.4">
      <c r="B19" s="22" t="s">
        <v>299</v>
      </c>
      <c r="E19" s="240">
        <f ca="1">(E63-J60)/E18</f>
        <v>5.6721392374802865E-2</v>
      </c>
      <c r="G19" s="22" t="s">
        <v>75</v>
      </c>
      <c r="J19" s="74">
        <f>Q7+J18/10000</f>
        <v>5.1562000000000004E-2</v>
      </c>
      <c r="P19" s="81">
        <v>44561</v>
      </c>
      <c r="Q19" s="77">
        <v>1.28912E-2</v>
      </c>
      <c r="S19" s="82">
        <f t="shared" si="7"/>
        <v>44500</v>
      </c>
      <c r="T19" s="1">
        <f t="shared" si="8"/>
        <v>10</v>
      </c>
      <c r="U19" s="12">
        <f t="shared" si="3"/>
        <v>177602.44444444444</v>
      </c>
      <c r="V19" s="12">
        <f t="shared" si="4"/>
        <v>40000000</v>
      </c>
      <c r="W19" s="12">
        <f t="shared" si="5"/>
        <v>0</v>
      </c>
      <c r="X19" s="12">
        <f t="shared" si="6"/>
        <v>177602.44444444444</v>
      </c>
      <c r="Y19" s="12">
        <f t="shared" si="9"/>
        <v>40000000</v>
      </c>
      <c r="AA19" s="22" t="str">
        <f ca="1">IF(ISERROR(CONCATENATE(TEXT($N$21,"0.0%"),", ",TEXT($N$22/1000000,"$0.0"),"M, ",TEXT($N$23,"0.0x"))),0,CONCATENATE(TEXT($N$21,"0.0%"),", ",TEXT($N$22/1000000,"$0.0"),"M, ",TEXT($N$23,"0.0x")))</f>
        <v>27.5%, $15.9M, 1.8x</v>
      </c>
      <c r="AB19" s="147">
        <f>AC19-12</f>
        <v>36</v>
      </c>
      <c r="AC19" s="147">
        <f>AD19-12</f>
        <v>48</v>
      </c>
      <c r="AD19" s="151">
        <v>60</v>
      </c>
      <c r="AE19" s="147">
        <f>AD19+12</f>
        <v>72</v>
      </c>
      <c r="AF19" s="147">
        <f>AE19+12</f>
        <v>84</v>
      </c>
    </row>
    <row r="20" spans="2:32" x14ac:dyDescent="0.4">
      <c r="B20" s="22" t="s">
        <v>298</v>
      </c>
      <c r="E20" s="241">
        <f ca="1">SUMIF(Model!$H$5:$EJ$5,'Inputs &amp; Drivers'!$J$42+1,Model!$H$83:$EJ$83)</f>
        <v>6.6774280162954919E-2</v>
      </c>
      <c r="G20" s="22" t="s">
        <v>322</v>
      </c>
      <c r="J20" s="69">
        <v>0.05</v>
      </c>
      <c r="L20" s="10" t="s">
        <v>221</v>
      </c>
      <c r="P20" s="81">
        <v>44592</v>
      </c>
      <c r="Q20" s="77">
        <v>1.2766400000000001E-2</v>
      </c>
      <c r="S20" s="82">
        <f t="shared" si="7"/>
        <v>44530</v>
      </c>
      <c r="T20" s="1">
        <f t="shared" si="8"/>
        <v>11</v>
      </c>
      <c r="U20" s="12">
        <f t="shared" si="3"/>
        <v>171873.33333333334</v>
      </c>
      <c r="V20" s="12">
        <f t="shared" si="4"/>
        <v>40000000</v>
      </c>
      <c r="W20" s="12">
        <f t="shared" si="5"/>
        <v>0</v>
      </c>
      <c r="X20" s="12">
        <f t="shared" si="6"/>
        <v>171873.33333333334</v>
      </c>
      <c r="Y20" s="12">
        <f t="shared" si="9"/>
        <v>40000000</v>
      </c>
      <c r="AA20" s="146">
        <f>AA21-0.25%</f>
        <v>4.4999999999999991E-2</v>
      </c>
      <c r="AB20" s="153"/>
      <c r="AC20" s="153"/>
      <c r="AD20" s="153"/>
      <c r="AE20" s="153"/>
      <c r="AF20" s="153"/>
    </row>
    <row r="21" spans="2:32" x14ac:dyDescent="0.4">
      <c r="G21" s="22" t="s">
        <v>76</v>
      </c>
      <c r="J21" s="50">
        <v>36</v>
      </c>
      <c r="L21" s="107" t="s">
        <v>143</v>
      </c>
      <c r="M21" s="107"/>
      <c r="N21" s="190">
        <f ca="1">Model!C163</f>
        <v>0.27464950680732725</v>
      </c>
      <c r="P21" s="81">
        <v>44620</v>
      </c>
      <c r="Q21" s="77">
        <v>1.26461E-2</v>
      </c>
      <c r="S21" s="82">
        <f t="shared" si="7"/>
        <v>44561</v>
      </c>
      <c r="T21" s="1">
        <f t="shared" si="8"/>
        <v>12</v>
      </c>
      <c r="U21" s="12">
        <f t="shared" si="3"/>
        <v>177602.44444444444</v>
      </c>
      <c r="V21" s="12">
        <f t="shared" si="4"/>
        <v>40000000</v>
      </c>
      <c r="W21" s="12">
        <f t="shared" si="5"/>
        <v>0</v>
      </c>
      <c r="X21" s="12">
        <f t="shared" si="6"/>
        <v>177602.44444444444</v>
      </c>
      <c r="Y21" s="12">
        <f t="shared" si="9"/>
        <v>40000000</v>
      </c>
      <c r="AA21" s="146">
        <f>AA22-0.25%</f>
        <v>4.7499999999999994E-2</v>
      </c>
      <c r="AB21" s="153"/>
      <c r="AC21" s="153"/>
      <c r="AD21" s="153"/>
      <c r="AE21" s="153"/>
      <c r="AF21" s="153"/>
    </row>
    <row r="22" spans="2:32" x14ac:dyDescent="0.4">
      <c r="G22" s="22" t="s">
        <v>77</v>
      </c>
      <c r="J22" s="80">
        <v>30</v>
      </c>
      <c r="L22" s="1" t="s">
        <v>144</v>
      </c>
      <c r="N22" s="19">
        <f ca="1">Model!C164</f>
        <v>15915269.785236642</v>
      </c>
      <c r="P22" s="81">
        <v>44651</v>
      </c>
      <c r="Q22" s="77">
        <v>1.2515699999999999E-2</v>
      </c>
      <c r="S22" s="82">
        <f t="shared" si="7"/>
        <v>44592</v>
      </c>
      <c r="T22" s="1">
        <f t="shared" si="8"/>
        <v>13</v>
      </c>
      <c r="U22" s="12">
        <f t="shared" si="3"/>
        <v>177602.44444444444</v>
      </c>
      <c r="V22" s="12">
        <f t="shared" si="4"/>
        <v>40000000</v>
      </c>
      <c r="W22" s="12">
        <f t="shared" si="5"/>
        <v>0</v>
      </c>
      <c r="X22" s="12">
        <f t="shared" si="6"/>
        <v>177602.44444444444</v>
      </c>
      <c r="Y22" s="12">
        <f t="shared" si="9"/>
        <v>40000000</v>
      </c>
      <c r="AA22" s="146">
        <f>AA23-0.25%</f>
        <v>4.9999999999999996E-2</v>
      </c>
      <c r="AB22" s="153"/>
      <c r="AC22" s="153"/>
      <c r="AD22" s="153"/>
      <c r="AE22" s="153"/>
      <c r="AF22" s="153"/>
    </row>
    <row r="23" spans="2:32" ht="15" thickBot="1" x14ac:dyDescent="0.45">
      <c r="G23" s="22" t="s">
        <v>90</v>
      </c>
      <c r="J23" s="69">
        <v>0.05</v>
      </c>
      <c r="L23" s="1" t="s">
        <v>145</v>
      </c>
      <c r="N23" s="143">
        <f ca="1">Model!C165</f>
        <v>1.8488392878576363</v>
      </c>
      <c r="P23" s="81">
        <v>44681</v>
      </c>
      <c r="Q23" s="77">
        <v>1.2387799999999999E-2</v>
      </c>
      <c r="S23" s="82">
        <f t="shared" si="7"/>
        <v>44620</v>
      </c>
      <c r="T23" s="1">
        <f t="shared" si="8"/>
        <v>14</v>
      </c>
      <c r="U23" s="12">
        <f t="shared" si="3"/>
        <v>160415.11111111112</v>
      </c>
      <c r="V23" s="12">
        <f t="shared" si="4"/>
        <v>40000000</v>
      </c>
      <c r="W23" s="12">
        <f t="shared" si="5"/>
        <v>0</v>
      </c>
      <c r="X23" s="12">
        <f t="shared" si="6"/>
        <v>160415.11111111112</v>
      </c>
      <c r="Y23" s="12">
        <f t="shared" si="9"/>
        <v>40000000</v>
      </c>
      <c r="AA23" s="146">
        <f>AA24-0.25%</f>
        <v>5.2499999999999998E-2</v>
      </c>
      <c r="AB23" s="153"/>
      <c r="AC23" s="153"/>
      <c r="AD23" s="153"/>
      <c r="AE23" s="153"/>
      <c r="AF23" s="153"/>
    </row>
    <row r="24" spans="2:32" ht="15" thickBot="1" x14ac:dyDescent="0.45">
      <c r="G24" s="22" t="s">
        <v>78</v>
      </c>
      <c r="J24" s="69">
        <v>0.01</v>
      </c>
      <c r="P24" s="81">
        <v>44712</v>
      </c>
      <c r="Q24" s="77">
        <v>1.22618E-2</v>
      </c>
      <c r="S24" s="82">
        <f t="shared" si="7"/>
        <v>44651</v>
      </c>
      <c r="T24" s="1">
        <f t="shared" si="8"/>
        <v>15</v>
      </c>
      <c r="U24" s="12">
        <f t="shared" si="3"/>
        <v>177602.44444444444</v>
      </c>
      <c r="V24" s="12">
        <f t="shared" si="4"/>
        <v>40000000</v>
      </c>
      <c r="W24" s="12">
        <f t="shared" si="5"/>
        <v>0</v>
      </c>
      <c r="X24" s="12">
        <f t="shared" si="6"/>
        <v>177602.44444444444</v>
      </c>
      <c r="Y24" s="12">
        <f t="shared" si="9"/>
        <v>40000000</v>
      </c>
      <c r="AA24" s="150">
        <v>5.5E-2</v>
      </c>
      <c r="AB24" s="153"/>
      <c r="AC24" s="153"/>
      <c r="AD24" s="158"/>
      <c r="AE24" s="153"/>
      <c r="AF24" s="153"/>
    </row>
    <row r="25" spans="2:32" x14ac:dyDescent="0.4">
      <c r="G25" s="22" t="s">
        <v>284</v>
      </c>
      <c r="J25" s="237">
        <f ca="1">Model!F127</f>
        <v>907885.09888539417</v>
      </c>
      <c r="L25" s="10" t="s">
        <v>222</v>
      </c>
      <c r="P25" s="81">
        <v>44742</v>
      </c>
      <c r="Q25" s="77">
        <v>1.2141900000000001E-2</v>
      </c>
      <c r="S25" s="82">
        <f t="shared" si="7"/>
        <v>44681</v>
      </c>
      <c r="T25" s="1">
        <f t="shared" si="8"/>
        <v>16</v>
      </c>
      <c r="U25" s="12">
        <f t="shared" si="3"/>
        <v>171873.33333333334</v>
      </c>
      <c r="V25" s="12">
        <f t="shared" si="4"/>
        <v>40000000</v>
      </c>
      <c r="W25" s="12">
        <f t="shared" si="5"/>
        <v>0</v>
      </c>
      <c r="X25" s="12">
        <f t="shared" si="6"/>
        <v>171873.33333333334</v>
      </c>
      <c r="Y25" s="12">
        <f t="shared" si="9"/>
        <v>40000000</v>
      </c>
      <c r="AA25" s="146">
        <f>AA24+0.25%</f>
        <v>5.7500000000000002E-2</v>
      </c>
      <c r="AB25" s="153"/>
      <c r="AC25" s="153"/>
      <c r="AD25" s="153"/>
      <c r="AE25" s="153"/>
      <c r="AF25" s="153"/>
    </row>
    <row r="26" spans="2:32" ht="15" customHeight="1" x14ac:dyDescent="0.4">
      <c r="G26" s="22" t="s">
        <v>294</v>
      </c>
      <c r="J26" s="238">
        <f>Model!F135</f>
        <v>27814.900542396259</v>
      </c>
      <c r="L26" s="107" t="s">
        <v>143</v>
      </c>
      <c r="M26" s="107"/>
      <c r="N26" s="190">
        <f ca="1">Model!C264</f>
        <v>0.22744136452674865</v>
      </c>
      <c r="P26" s="81">
        <v>44773</v>
      </c>
      <c r="Q26" s="77">
        <v>1.2059800000000001E-2</v>
      </c>
      <c r="S26" s="82">
        <f t="shared" si="7"/>
        <v>44712</v>
      </c>
      <c r="T26" s="1">
        <f t="shared" si="8"/>
        <v>17</v>
      </c>
      <c r="U26" s="12">
        <f t="shared" si="3"/>
        <v>177602.44444444444</v>
      </c>
      <c r="V26" s="12">
        <f t="shared" si="4"/>
        <v>40000000</v>
      </c>
      <c r="W26" s="12">
        <f t="shared" si="5"/>
        <v>0</v>
      </c>
      <c r="X26" s="12">
        <f t="shared" si="6"/>
        <v>177602.44444444444</v>
      </c>
      <c r="Y26" s="12">
        <f t="shared" si="9"/>
        <v>40000000</v>
      </c>
      <c r="AA26" s="146">
        <f>AA25+0.25%</f>
        <v>6.0000000000000005E-2</v>
      </c>
      <c r="AB26" s="153"/>
      <c r="AC26" s="153"/>
      <c r="AD26" s="153"/>
      <c r="AE26" s="153"/>
      <c r="AF26" s="153"/>
    </row>
    <row r="27" spans="2:32" ht="15" customHeight="1" x14ac:dyDescent="0.4">
      <c r="L27" s="1" t="s">
        <v>144</v>
      </c>
      <c r="N27" s="19">
        <f ca="1">Model!C265</f>
        <v>11449566.778900255</v>
      </c>
      <c r="P27" s="81">
        <v>44804</v>
      </c>
      <c r="Q27" s="77">
        <v>1.1982400000000001E-2</v>
      </c>
      <c r="S27" s="82">
        <f t="shared" si="7"/>
        <v>44742</v>
      </c>
      <c r="T27" s="1">
        <f t="shared" si="8"/>
        <v>18</v>
      </c>
      <c r="U27" s="12">
        <f t="shared" si="3"/>
        <v>171873.33333333334</v>
      </c>
      <c r="V27" s="12">
        <f t="shared" si="4"/>
        <v>40000000</v>
      </c>
      <c r="W27" s="12">
        <f t="shared" si="5"/>
        <v>0</v>
      </c>
      <c r="X27" s="12">
        <f t="shared" si="6"/>
        <v>171873.33333333334</v>
      </c>
      <c r="Y27" s="12">
        <f t="shared" si="9"/>
        <v>40000000</v>
      </c>
      <c r="AA27" s="146">
        <f>AA26+0.25%</f>
        <v>6.25E-2</v>
      </c>
      <c r="AB27" s="153"/>
      <c r="AC27" s="153"/>
      <c r="AD27" s="153"/>
      <c r="AE27" s="153"/>
      <c r="AF27" s="153"/>
    </row>
    <row r="28" spans="2:32" x14ac:dyDescent="0.4">
      <c r="B28" s="75" t="s">
        <v>134</v>
      </c>
      <c r="C28" s="75"/>
      <c r="D28" s="75"/>
      <c r="E28" s="75"/>
      <c r="L28" s="1" t="s">
        <v>145</v>
      </c>
      <c r="N28" s="143">
        <f ca="1">Model!C266</f>
        <v>1.6785127492184029</v>
      </c>
      <c r="P28" s="81">
        <v>44834</v>
      </c>
      <c r="Q28" s="77">
        <v>1.19528E-2</v>
      </c>
      <c r="S28" s="82">
        <f t="shared" si="7"/>
        <v>44773</v>
      </c>
      <c r="T28" s="1">
        <f t="shared" si="8"/>
        <v>19</v>
      </c>
      <c r="U28" s="12">
        <f t="shared" si="3"/>
        <v>177602.44444444444</v>
      </c>
      <c r="V28" s="12">
        <f t="shared" si="4"/>
        <v>40000000</v>
      </c>
      <c r="W28" s="12">
        <f t="shared" si="5"/>
        <v>0</v>
      </c>
      <c r="X28" s="12">
        <f t="shared" si="6"/>
        <v>177602.44444444444</v>
      </c>
      <c r="Y28" s="12">
        <f t="shared" si="9"/>
        <v>40000000</v>
      </c>
      <c r="AA28" s="146">
        <f>AA27+0.25%</f>
        <v>6.5000000000000002E-2</v>
      </c>
      <c r="AB28" s="153"/>
      <c r="AC28" s="153"/>
      <c r="AD28" s="153"/>
      <c r="AE28" s="153"/>
      <c r="AF28" s="153"/>
    </row>
    <row r="29" spans="2:32" ht="15" customHeight="1" x14ac:dyDescent="0.4">
      <c r="B29" s="103" t="s">
        <v>7</v>
      </c>
      <c r="C29" s="30" t="s">
        <v>135</v>
      </c>
      <c r="D29" s="30" t="s">
        <v>140</v>
      </c>
      <c r="E29" s="21"/>
      <c r="F29" s="30" t="s">
        <v>302</v>
      </c>
      <c r="G29" s="30" t="s">
        <v>301</v>
      </c>
      <c r="H29" s="21"/>
      <c r="I29" s="30" t="s">
        <v>275</v>
      </c>
      <c r="J29" s="30" t="s">
        <v>276</v>
      </c>
      <c r="P29" s="81">
        <v>44865</v>
      </c>
      <c r="Q29" s="77">
        <v>1.19603E-2</v>
      </c>
      <c r="S29" s="82">
        <f t="shared" si="7"/>
        <v>44804</v>
      </c>
      <c r="T29" s="1">
        <f t="shared" si="8"/>
        <v>20</v>
      </c>
      <c r="U29" s="12">
        <f t="shared" si="3"/>
        <v>177602.44444444444</v>
      </c>
      <c r="V29" s="12">
        <f t="shared" si="4"/>
        <v>40000000</v>
      </c>
      <c r="W29" s="12">
        <f t="shared" si="5"/>
        <v>0</v>
      </c>
      <c r="X29" s="12">
        <f t="shared" si="6"/>
        <v>177602.44444444444</v>
      </c>
      <c r="Y29" s="12">
        <f t="shared" si="9"/>
        <v>40000000</v>
      </c>
      <c r="AA29"/>
      <c r="AB29"/>
      <c r="AC29"/>
      <c r="AD29"/>
      <c r="AE29"/>
      <c r="AF29"/>
    </row>
    <row r="30" spans="2:32" ht="15" customHeight="1" x14ac:dyDescent="0.55000000000000004">
      <c r="B30" s="212" t="s">
        <v>136</v>
      </c>
      <c r="C30" s="213">
        <v>15</v>
      </c>
      <c r="D30" s="214">
        <f>C30/$C$34</f>
        <v>0.05</v>
      </c>
      <c r="E30" s="212"/>
      <c r="F30" s="213">
        <v>600</v>
      </c>
      <c r="G30" s="215">
        <f>F30*C30</f>
        <v>9000</v>
      </c>
      <c r="H30" s="212"/>
      <c r="I30" s="216">
        <v>1000</v>
      </c>
      <c r="J30" s="217">
        <f>IFERROR(I30/F30,"0")</f>
        <v>1.6666666666666667</v>
      </c>
      <c r="L30" s="10" t="s">
        <v>223</v>
      </c>
      <c r="P30" s="81">
        <v>44895</v>
      </c>
      <c r="Q30" s="77">
        <v>1.1979399999999999E-2</v>
      </c>
      <c r="S30" s="82">
        <f t="shared" si="7"/>
        <v>44834</v>
      </c>
      <c r="T30" s="1">
        <f t="shared" si="8"/>
        <v>21</v>
      </c>
      <c r="U30" s="12">
        <f t="shared" si="3"/>
        <v>171873.33333333334</v>
      </c>
      <c r="V30" s="12">
        <f t="shared" si="4"/>
        <v>40000000</v>
      </c>
      <c r="W30" s="12">
        <f t="shared" si="5"/>
        <v>0</v>
      </c>
      <c r="X30" s="12">
        <f t="shared" si="6"/>
        <v>171873.33333333334</v>
      </c>
      <c r="Y30" s="12">
        <f t="shared" si="9"/>
        <v>40000000</v>
      </c>
      <c r="AA30" s="144" t="s">
        <v>185</v>
      </c>
      <c r="AB30" s="144" t="s">
        <v>225</v>
      </c>
      <c r="AC30" s="144"/>
      <c r="AD30" s="144"/>
      <c r="AE30" s="144"/>
      <c r="AF30" s="144"/>
    </row>
    <row r="31" spans="2:32" ht="15" customHeight="1" x14ac:dyDescent="0.4">
      <c r="B31" s="212" t="s">
        <v>137</v>
      </c>
      <c r="C31" s="213">
        <v>155</v>
      </c>
      <c r="D31" s="214">
        <f>C31/$C$34</f>
        <v>0.51666666666666672</v>
      </c>
      <c r="E31" s="212"/>
      <c r="F31" s="213">
        <v>800</v>
      </c>
      <c r="G31" s="215">
        <f>F31*C31</f>
        <v>124000</v>
      </c>
      <c r="H31" s="212"/>
      <c r="I31" s="216">
        <v>1300</v>
      </c>
      <c r="J31" s="217">
        <f>IFERROR(I31/F31,"0")</f>
        <v>1.625</v>
      </c>
      <c r="L31" s="107" t="s">
        <v>143</v>
      </c>
      <c r="M31" s="107"/>
      <c r="N31" s="190">
        <f ca="1">Model!C278</f>
        <v>0.60943712592124932</v>
      </c>
      <c r="P31" s="81">
        <v>44926</v>
      </c>
      <c r="Q31" s="77">
        <v>1.20267E-2</v>
      </c>
      <c r="S31" s="82">
        <f t="shared" si="7"/>
        <v>44865</v>
      </c>
      <c r="T31" s="1">
        <f t="shared" si="8"/>
        <v>22</v>
      </c>
      <c r="U31" s="12">
        <f t="shared" si="3"/>
        <v>177602.44444444444</v>
      </c>
      <c r="V31" s="12">
        <f t="shared" si="4"/>
        <v>40000000</v>
      </c>
      <c r="W31" s="12">
        <f t="shared" si="5"/>
        <v>0</v>
      </c>
      <c r="X31" s="12">
        <f t="shared" si="6"/>
        <v>177602.44444444444</v>
      </c>
      <c r="Y31" s="12">
        <f t="shared" si="9"/>
        <v>40000000</v>
      </c>
      <c r="AA31" s="22" t="str">
        <f ca="1">IF(ISERROR(CONCATENATE(TEXT($N$21,"0.0%"),", ",TEXT($N$22/1000000,"$0.0"),"M, ",TEXT($N$23,"0.0x"))),0,CONCATENATE(TEXT($N$21,"0.0%"),", ",TEXT($N$22/1000000,"$0.0"),"M, ",TEXT($N$23,"0.0x")))</f>
        <v>27.5%, $15.9M, 1.8x</v>
      </c>
      <c r="AB31" s="148">
        <f>AC31-25</f>
        <v>75</v>
      </c>
      <c r="AC31" s="148">
        <f>AD31-25</f>
        <v>100</v>
      </c>
      <c r="AD31" s="152">
        <v>125</v>
      </c>
      <c r="AE31" s="148">
        <f>AD31+25</f>
        <v>150</v>
      </c>
      <c r="AF31" s="148">
        <f>AE31+25</f>
        <v>175</v>
      </c>
    </row>
    <row r="32" spans="2:32" ht="15" customHeight="1" x14ac:dyDescent="0.4">
      <c r="B32" s="212" t="s">
        <v>138</v>
      </c>
      <c r="C32" s="213">
        <v>130</v>
      </c>
      <c r="D32" s="214">
        <f>C32/$C$34</f>
        <v>0.43333333333333335</v>
      </c>
      <c r="E32" s="212"/>
      <c r="F32" s="213">
        <v>1200</v>
      </c>
      <c r="G32" s="215">
        <f>F32*C32</f>
        <v>156000</v>
      </c>
      <c r="H32" s="212"/>
      <c r="I32" s="216">
        <v>1750</v>
      </c>
      <c r="J32" s="217">
        <f>IFERROR(I32/F32,"0")</f>
        <v>1.4583333333333333</v>
      </c>
      <c r="L32" s="1" t="s">
        <v>144</v>
      </c>
      <c r="N32" s="19">
        <f ca="1">Model!C279</f>
        <v>4465703.0063363854</v>
      </c>
      <c r="P32" s="81">
        <v>44957</v>
      </c>
      <c r="Q32" s="77">
        <v>1.2083999999999999E-2</v>
      </c>
      <c r="S32" s="82">
        <f t="shared" si="7"/>
        <v>44895</v>
      </c>
      <c r="T32" s="1">
        <f t="shared" si="8"/>
        <v>23</v>
      </c>
      <c r="U32" s="12">
        <f t="shared" si="3"/>
        <v>171873.33333333334</v>
      </c>
      <c r="V32" s="12">
        <f t="shared" si="4"/>
        <v>40000000</v>
      </c>
      <c r="W32" s="12">
        <f t="shared" si="5"/>
        <v>0</v>
      </c>
      <c r="X32" s="12">
        <f t="shared" si="6"/>
        <v>171873.33333333334</v>
      </c>
      <c r="Y32" s="12">
        <f t="shared" si="9"/>
        <v>40000000</v>
      </c>
      <c r="AA32" s="146">
        <f>AA33-0.25%</f>
        <v>4.4999999999999991E-2</v>
      </c>
      <c r="AB32" s="153"/>
      <c r="AC32" s="153"/>
      <c r="AD32" s="153"/>
      <c r="AE32" s="153"/>
      <c r="AF32" s="153"/>
    </row>
    <row r="33" spans="2:32" ht="15" customHeight="1" x14ac:dyDescent="0.4">
      <c r="B33" s="212" t="s">
        <v>139</v>
      </c>
      <c r="C33" s="213">
        <v>0</v>
      </c>
      <c r="D33" s="214">
        <f>C33/$C$34</f>
        <v>0</v>
      </c>
      <c r="E33" s="212"/>
      <c r="F33" s="213">
        <v>0</v>
      </c>
      <c r="G33" s="215">
        <f>F33*C33</f>
        <v>0</v>
      </c>
      <c r="H33" s="212"/>
      <c r="I33" s="216">
        <v>0</v>
      </c>
      <c r="J33" s="215">
        <f>IFERROR(I33/F33,0)</f>
        <v>0</v>
      </c>
      <c r="L33" s="1" t="s">
        <v>145</v>
      </c>
      <c r="N33" s="143">
        <f ca="1">Model!C280</f>
        <v>3.381778135610737</v>
      </c>
      <c r="P33" s="81">
        <v>44985</v>
      </c>
      <c r="Q33" s="77">
        <v>1.2124899999999999E-2</v>
      </c>
      <c r="S33" s="82">
        <f t="shared" si="7"/>
        <v>44926</v>
      </c>
      <c r="T33" s="1">
        <f t="shared" si="8"/>
        <v>24</v>
      </c>
      <c r="U33" s="12">
        <f t="shared" si="3"/>
        <v>177602.44444444444</v>
      </c>
      <c r="V33" s="12">
        <f t="shared" si="4"/>
        <v>40000000</v>
      </c>
      <c r="W33" s="12">
        <f t="shared" si="5"/>
        <v>0</v>
      </c>
      <c r="X33" s="12">
        <f t="shared" si="6"/>
        <v>177602.44444444444</v>
      </c>
      <c r="Y33" s="12">
        <f t="shared" si="9"/>
        <v>40000000</v>
      </c>
      <c r="AA33" s="146">
        <f>AA34-0.25%</f>
        <v>4.7499999999999994E-2</v>
      </c>
      <c r="AB33" s="153"/>
      <c r="AC33" s="153"/>
      <c r="AD33" s="153"/>
      <c r="AE33" s="153"/>
      <c r="AF33" s="153"/>
    </row>
    <row r="34" spans="2:32" x14ac:dyDescent="0.4">
      <c r="B34" s="102" t="s">
        <v>3</v>
      </c>
      <c r="C34" s="104">
        <f>SUM(C30:C33)</f>
        <v>300</v>
      </c>
      <c r="D34" s="105">
        <f>SUM(D30:D33)</f>
        <v>1</v>
      </c>
      <c r="E34" s="21"/>
      <c r="F34" s="104">
        <f>SUMPRODUCT(F30:F33,$C$30:$C$33)/$C$34</f>
        <v>963.33333333333337</v>
      </c>
      <c r="G34" s="177">
        <f>SUM(G30:G33)</f>
        <v>289000</v>
      </c>
      <c r="H34" s="21"/>
      <c r="I34" s="168">
        <f>SUMPRODUCT(I30:I33,$C$30:$C$33)/$C$34</f>
        <v>1480</v>
      </c>
      <c r="J34" s="169">
        <f>SUMPRODUCT(J30:J33,$C$30:$C$33)/$C$34</f>
        <v>1.554861111111111</v>
      </c>
      <c r="P34" s="81">
        <v>45016</v>
      </c>
      <c r="Q34" s="77">
        <v>1.2174000000000001E-2</v>
      </c>
      <c r="S34" s="82">
        <f t="shared" si="7"/>
        <v>44957</v>
      </c>
      <c r="T34" s="1">
        <f t="shared" si="8"/>
        <v>25</v>
      </c>
      <c r="U34" s="12">
        <f t="shared" si="3"/>
        <v>177602.44444444444</v>
      </c>
      <c r="V34" s="12">
        <f t="shared" si="4"/>
        <v>40000000</v>
      </c>
      <c r="W34" s="12">
        <f t="shared" si="5"/>
        <v>0</v>
      </c>
      <c r="X34" s="12">
        <f t="shared" si="6"/>
        <v>177602.44444444444</v>
      </c>
      <c r="Y34" s="12">
        <f t="shared" si="9"/>
        <v>40000000</v>
      </c>
      <c r="AA34" s="146">
        <f>AA35-0.25%</f>
        <v>4.9999999999999996E-2</v>
      </c>
      <c r="AB34" s="153"/>
      <c r="AC34" s="153"/>
      <c r="AD34" s="153"/>
      <c r="AE34" s="153"/>
      <c r="AF34" s="153"/>
    </row>
    <row r="35" spans="2:32" ht="15" thickBot="1" x14ac:dyDescent="0.45">
      <c r="P35" s="81">
        <v>45046</v>
      </c>
      <c r="Q35" s="77">
        <v>1.22224E-2</v>
      </c>
      <c r="S35" s="82">
        <f>EOMONTH(S34,1)</f>
        <v>44985</v>
      </c>
      <c r="T35" s="1">
        <f>T34+1</f>
        <v>26</v>
      </c>
      <c r="U35" s="12">
        <f t="shared" si="3"/>
        <v>160415.11111111112</v>
      </c>
      <c r="V35" s="12">
        <f t="shared" si="4"/>
        <v>40000000</v>
      </c>
      <c r="W35" s="12">
        <f t="shared" si="5"/>
        <v>0</v>
      </c>
      <c r="X35" s="12">
        <f t="shared" si="6"/>
        <v>160415.11111111112</v>
      </c>
      <c r="Y35" s="12">
        <f t="shared" si="9"/>
        <v>40000000</v>
      </c>
      <c r="AA35" s="146">
        <f>AA36-0.25%</f>
        <v>5.2499999999999998E-2</v>
      </c>
      <c r="AB35" s="153"/>
      <c r="AC35" s="153"/>
      <c r="AD35" s="156"/>
      <c r="AE35" s="153"/>
      <c r="AF35" s="153"/>
    </row>
    <row r="36" spans="2:32" ht="15" thickBot="1" x14ac:dyDescent="0.45">
      <c r="B36" s="75" t="s">
        <v>278</v>
      </c>
      <c r="C36" s="75"/>
      <c r="E36" s="28" t="s">
        <v>233</v>
      </c>
      <c r="F36" s="162"/>
      <c r="G36" s="162"/>
      <c r="H36" s="162"/>
      <c r="P36" s="81">
        <v>45077</v>
      </c>
      <c r="Q36" s="77">
        <v>1.2254900000000001E-2</v>
      </c>
      <c r="S36" s="82">
        <f t="shared" si="7"/>
        <v>45016</v>
      </c>
      <c r="T36" s="1">
        <f t="shared" si="8"/>
        <v>27</v>
      </c>
      <c r="U36" s="12">
        <f t="shared" si="3"/>
        <v>177602.44444444444</v>
      </c>
      <c r="V36" s="12">
        <f t="shared" si="4"/>
        <v>40000000</v>
      </c>
      <c r="W36" s="12">
        <f t="shared" si="5"/>
        <v>0</v>
      </c>
      <c r="X36" s="12">
        <f t="shared" si="6"/>
        <v>177602.44444444444</v>
      </c>
      <c r="Y36" s="12">
        <f t="shared" si="9"/>
        <v>40000000</v>
      </c>
      <c r="AA36" s="150">
        <v>5.5E-2</v>
      </c>
      <c r="AB36" s="153"/>
      <c r="AC36" s="154"/>
      <c r="AD36" s="158"/>
      <c r="AE36" s="155"/>
      <c r="AF36" s="153"/>
    </row>
    <row r="37" spans="2:32" x14ac:dyDescent="0.4">
      <c r="B37" s="167" t="s">
        <v>241</v>
      </c>
      <c r="C37" s="322">
        <v>30</v>
      </c>
      <c r="E37" s="21"/>
      <c r="F37" s="30" t="s">
        <v>239</v>
      </c>
      <c r="G37" s="30" t="s">
        <v>23</v>
      </c>
      <c r="H37" s="30" t="s">
        <v>25</v>
      </c>
      <c r="I37" s="30" t="s">
        <v>24</v>
      </c>
      <c r="J37" s="30" t="s">
        <v>239</v>
      </c>
      <c r="P37" s="81">
        <v>45107</v>
      </c>
      <c r="Q37" s="77">
        <v>1.22909E-2</v>
      </c>
      <c r="S37" s="82">
        <f t="shared" si="7"/>
        <v>45046</v>
      </c>
      <c r="T37" s="1">
        <f t="shared" si="8"/>
        <v>28</v>
      </c>
      <c r="U37" s="12">
        <f t="shared" si="3"/>
        <v>171873.33333333334</v>
      </c>
      <c r="V37" s="12">
        <f t="shared" si="4"/>
        <v>40000000</v>
      </c>
      <c r="W37" s="12">
        <f t="shared" si="5"/>
        <v>0</v>
      </c>
      <c r="X37" s="12">
        <f t="shared" si="6"/>
        <v>171873.33333333334</v>
      </c>
      <c r="Y37" s="12">
        <f t="shared" si="9"/>
        <v>40000000</v>
      </c>
      <c r="AA37" s="146">
        <f>AA36+0.25%</f>
        <v>5.7500000000000002E-2</v>
      </c>
      <c r="AB37" s="153"/>
      <c r="AC37" s="153"/>
      <c r="AD37" s="157"/>
      <c r="AE37" s="153"/>
      <c r="AF37" s="153"/>
    </row>
    <row r="38" spans="2:32" x14ac:dyDescent="0.4">
      <c r="B38" s="22" t="s">
        <v>232</v>
      </c>
      <c r="C38" s="324">
        <v>1</v>
      </c>
      <c r="E38" s="62" t="s">
        <v>234</v>
      </c>
      <c r="F38" s="325">
        <v>0</v>
      </c>
      <c r="G38" s="327">
        <f>E12</f>
        <v>44196</v>
      </c>
      <c r="H38" s="328">
        <v>1</v>
      </c>
      <c r="I38" s="163">
        <f>EOMONTH(G38,H38-1)</f>
        <v>44196</v>
      </c>
      <c r="J38" s="164">
        <f>F38+H38-1</f>
        <v>0</v>
      </c>
      <c r="P38" s="81">
        <v>45138</v>
      </c>
      <c r="Q38" s="77">
        <v>1.23245E-2</v>
      </c>
      <c r="S38" s="82">
        <f t="shared" si="7"/>
        <v>45077</v>
      </c>
      <c r="T38" s="1">
        <f t="shared" si="8"/>
        <v>29</v>
      </c>
      <c r="U38" s="12">
        <f t="shared" si="3"/>
        <v>177602.44444444444</v>
      </c>
      <c r="V38" s="12">
        <f t="shared" si="4"/>
        <v>40000000</v>
      </c>
      <c r="W38" s="12">
        <f t="shared" si="5"/>
        <v>0</v>
      </c>
      <c r="X38" s="12">
        <f t="shared" si="6"/>
        <v>177602.44444444444</v>
      </c>
      <c r="Y38" s="12">
        <f t="shared" si="9"/>
        <v>40000000</v>
      </c>
      <c r="AA38" s="146">
        <f>AA37+0.25%</f>
        <v>6.0000000000000005E-2</v>
      </c>
      <c r="AB38" s="153"/>
      <c r="AC38" s="153"/>
      <c r="AD38" s="153"/>
      <c r="AE38" s="153"/>
      <c r="AF38" s="153"/>
    </row>
    <row r="39" spans="2:32" x14ac:dyDescent="0.4">
      <c r="B39" s="22" t="s">
        <v>273</v>
      </c>
      <c r="C39" s="324">
        <v>6</v>
      </c>
      <c r="E39" s="62" t="s">
        <v>236</v>
      </c>
      <c r="F39" s="325">
        <v>3</v>
      </c>
      <c r="G39" s="327">
        <f>EOMONTH($G$38,F39)</f>
        <v>44286</v>
      </c>
      <c r="H39" s="328">
        <v>20</v>
      </c>
      <c r="I39" s="163">
        <f>EOMONTH(G39,H39-1)</f>
        <v>44865</v>
      </c>
      <c r="J39" s="164">
        <f>F39+H39-1</f>
        <v>22</v>
      </c>
      <c r="P39" s="81">
        <v>45169</v>
      </c>
      <c r="Q39" s="77">
        <v>1.2345099999999999E-2</v>
      </c>
      <c r="S39" s="82">
        <f t="shared" si="7"/>
        <v>45107</v>
      </c>
      <c r="T39" s="1">
        <f t="shared" si="8"/>
        <v>30</v>
      </c>
      <c r="U39" s="12">
        <f t="shared" si="3"/>
        <v>171873.33333333334</v>
      </c>
      <c r="V39" s="12">
        <f t="shared" si="4"/>
        <v>40000000</v>
      </c>
      <c r="W39" s="12">
        <f t="shared" si="5"/>
        <v>0</v>
      </c>
      <c r="X39" s="12">
        <f t="shared" si="6"/>
        <v>171873.33333333334</v>
      </c>
      <c r="Y39" s="12">
        <f t="shared" si="9"/>
        <v>40000000</v>
      </c>
      <c r="AA39" s="146">
        <f>AA38+0.25%</f>
        <v>6.25E-2</v>
      </c>
      <c r="AB39" s="153"/>
      <c r="AC39" s="153"/>
      <c r="AD39" s="153"/>
      <c r="AE39" s="153"/>
      <c r="AF39" s="153"/>
    </row>
    <row r="40" spans="2:32" x14ac:dyDescent="0.4">
      <c r="B40" s="22" t="s">
        <v>277</v>
      </c>
      <c r="C40" s="323">
        <v>6</v>
      </c>
      <c r="E40" s="62" t="s">
        <v>235</v>
      </c>
      <c r="F40" s="326">
        <v>7</v>
      </c>
      <c r="G40" s="327">
        <f>EOMONTH($G$38,F40)</f>
        <v>44408</v>
      </c>
      <c r="H40" s="329">
        <v>16</v>
      </c>
      <c r="I40" s="163">
        <f>EOMONTH(G40,H40-1)</f>
        <v>44865</v>
      </c>
      <c r="J40" s="164">
        <f>F40+H40-1</f>
        <v>22</v>
      </c>
      <c r="P40" s="81">
        <v>45199</v>
      </c>
      <c r="Q40" s="77">
        <v>1.2371800000000001E-2</v>
      </c>
      <c r="S40" s="82">
        <f t="shared" si="7"/>
        <v>45138</v>
      </c>
      <c r="T40" s="1">
        <f t="shared" si="8"/>
        <v>31</v>
      </c>
      <c r="U40" s="12">
        <f t="shared" si="3"/>
        <v>177602.44444444444</v>
      </c>
      <c r="V40" s="12">
        <f t="shared" si="4"/>
        <v>40000000</v>
      </c>
      <c r="W40" s="12">
        <f t="shared" si="5"/>
        <v>0</v>
      </c>
      <c r="X40" s="12">
        <f t="shared" si="6"/>
        <v>177602.44444444444</v>
      </c>
      <c r="Y40" s="12">
        <f t="shared" si="9"/>
        <v>40000000</v>
      </c>
      <c r="AA40" s="146">
        <f>AA39+0.25%</f>
        <v>6.5000000000000002E-2</v>
      </c>
      <c r="AB40" s="153"/>
      <c r="AC40" s="153"/>
      <c r="AD40" s="153"/>
      <c r="AE40" s="153"/>
      <c r="AF40" s="153"/>
    </row>
    <row r="41" spans="2:32" x14ac:dyDescent="0.4">
      <c r="E41" s="62" t="s">
        <v>237</v>
      </c>
      <c r="F41" s="164">
        <f>J40-C40</f>
        <v>16</v>
      </c>
      <c r="G41" s="163">
        <f>EOMONTH($G$38,F41)</f>
        <v>44681</v>
      </c>
      <c r="H41" s="165">
        <f>ROUNDUP(E8/C37,0)</f>
        <v>10</v>
      </c>
      <c r="I41" s="163">
        <f>EOMONTH(G41,H41-1)</f>
        <v>44957</v>
      </c>
      <c r="J41" s="164">
        <f>F41+H41-1</f>
        <v>25</v>
      </c>
      <c r="P41" s="81">
        <v>45230</v>
      </c>
      <c r="Q41" s="77">
        <v>1.24011E-2</v>
      </c>
      <c r="S41" s="82">
        <f>EOMONTH(S40,1)</f>
        <v>45169</v>
      </c>
      <c r="T41" s="1">
        <f>T40+1</f>
        <v>32</v>
      </c>
      <c r="U41" s="12">
        <f t="shared" si="3"/>
        <v>177602.44444444444</v>
      </c>
      <c r="V41" s="12">
        <f t="shared" si="4"/>
        <v>40000000</v>
      </c>
      <c r="W41" s="12">
        <f t="shared" si="5"/>
        <v>0</v>
      </c>
      <c r="X41" s="12">
        <f t="shared" si="6"/>
        <v>177602.44444444444</v>
      </c>
      <c r="Y41" s="12">
        <f t="shared" si="9"/>
        <v>40000000</v>
      </c>
    </row>
    <row r="42" spans="2:32" x14ac:dyDescent="0.4">
      <c r="E42" s="22" t="s">
        <v>240</v>
      </c>
      <c r="F42" s="164">
        <f>F41</f>
        <v>16</v>
      </c>
      <c r="G42" s="163">
        <f>G41</f>
        <v>44681</v>
      </c>
      <c r="H42" s="165">
        <f>J42-F42+1</f>
        <v>16</v>
      </c>
      <c r="I42" s="163">
        <f>EOMONTH(I41,C39)</f>
        <v>45138</v>
      </c>
      <c r="J42" s="164">
        <f>J41+C39</f>
        <v>31</v>
      </c>
      <c r="P42" s="81">
        <v>45260</v>
      </c>
      <c r="Q42" s="77">
        <v>1.24186E-2</v>
      </c>
      <c r="S42" s="82">
        <f t="shared" si="7"/>
        <v>45199</v>
      </c>
      <c r="T42" s="1">
        <f t="shared" si="8"/>
        <v>33</v>
      </c>
      <c r="U42" s="12">
        <f t="shared" si="3"/>
        <v>171873.33333333334</v>
      </c>
      <c r="V42" s="12">
        <f t="shared" si="4"/>
        <v>40000000</v>
      </c>
      <c r="W42" s="12">
        <f t="shared" si="5"/>
        <v>0</v>
      </c>
      <c r="X42" s="12">
        <f t="shared" si="6"/>
        <v>171873.33333333334</v>
      </c>
      <c r="Y42" s="12">
        <f t="shared" si="9"/>
        <v>40000000</v>
      </c>
    </row>
    <row r="43" spans="2:32" x14ac:dyDescent="0.4">
      <c r="E43" s="62" t="s">
        <v>238</v>
      </c>
      <c r="F43" s="164">
        <f>E13</f>
        <v>36</v>
      </c>
      <c r="G43" s="163">
        <f>E14</f>
        <v>45291</v>
      </c>
      <c r="H43" s="329">
        <v>1</v>
      </c>
      <c r="I43" s="163">
        <f>EOMONTH(G43,H43-1)</f>
        <v>45291</v>
      </c>
      <c r="J43" s="164">
        <f>F43+H43-1</f>
        <v>36</v>
      </c>
      <c r="P43" s="81">
        <v>45291</v>
      </c>
      <c r="Q43" s="77">
        <v>1.2442399999999999E-2</v>
      </c>
      <c r="S43" s="82">
        <f t="shared" si="7"/>
        <v>45230</v>
      </c>
      <c r="T43" s="1">
        <f t="shared" si="8"/>
        <v>34</v>
      </c>
      <c r="U43" s="12">
        <f t="shared" si="3"/>
        <v>177602.44444444444</v>
      </c>
      <c r="V43" s="12">
        <f t="shared" si="4"/>
        <v>40000000</v>
      </c>
      <c r="W43" s="12">
        <f t="shared" si="5"/>
        <v>0</v>
      </c>
      <c r="X43" s="12">
        <f t="shared" si="6"/>
        <v>177602.44444444444</v>
      </c>
      <c r="Y43" s="12">
        <f t="shared" si="9"/>
        <v>40000000</v>
      </c>
    </row>
    <row r="44" spans="2:32" x14ac:dyDescent="0.4">
      <c r="D44" s="23"/>
      <c r="E44" s="14"/>
      <c r="P44" s="81">
        <v>45322</v>
      </c>
      <c r="Q44" s="77">
        <v>1.2476599999999999E-2</v>
      </c>
      <c r="S44" s="82">
        <f t="shared" si="7"/>
        <v>45260</v>
      </c>
      <c r="T44" s="1">
        <f t="shared" si="8"/>
        <v>35</v>
      </c>
      <c r="U44" s="12">
        <f t="shared" si="3"/>
        <v>171873.33333333334</v>
      </c>
      <c r="V44" s="12">
        <f t="shared" si="4"/>
        <v>40000000</v>
      </c>
      <c r="W44" s="12">
        <f t="shared" si="5"/>
        <v>0</v>
      </c>
      <c r="X44" s="12">
        <f t="shared" si="6"/>
        <v>171873.33333333334</v>
      </c>
      <c r="Y44" s="12">
        <f t="shared" si="9"/>
        <v>40000000</v>
      </c>
    </row>
    <row r="45" spans="2:32" x14ac:dyDescent="0.4">
      <c r="B45" s="75" t="s">
        <v>15</v>
      </c>
      <c r="C45" s="75"/>
      <c r="P45" s="81">
        <v>45351</v>
      </c>
      <c r="Q45" s="77">
        <v>1.24993E-2</v>
      </c>
      <c r="S45" s="82">
        <f t="shared" si="7"/>
        <v>45291</v>
      </c>
      <c r="T45" s="1">
        <f t="shared" si="8"/>
        <v>36</v>
      </c>
      <c r="U45" s="12">
        <f t="shared" si="3"/>
        <v>177602.44444444444</v>
      </c>
      <c r="V45" s="12">
        <f t="shared" si="4"/>
        <v>40000000</v>
      </c>
      <c r="W45" s="12">
        <f t="shared" si="5"/>
        <v>0</v>
      </c>
      <c r="X45" s="12">
        <f t="shared" si="6"/>
        <v>177602.44444444444</v>
      </c>
      <c r="Y45" s="12">
        <f t="shared" si="9"/>
        <v>40000000</v>
      </c>
    </row>
    <row r="46" spans="2:32" x14ac:dyDescent="0.4">
      <c r="B46" s="21"/>
      <c r="C46" s="21"/>
      <c r="D46" s="21"/>
      <c r="E46" s="21"/>
      <c r="F46" s="21"/>
      <c r="G46" s="21"/>
      <c r="H46" s="21"/>
      <c r="I46" s="21"/>
      <c r="J46" s="21"/>
      <c r="P46" s="81">
        <v>45382</v>
      </c>
      <c r="Q46" s="77">
        <v>1.2534099999999999E-2</v>
      </c>
      <c r="S46" s="82">
        <f t="shared" si="7"/>
        <v>45322</v>
      </c>
      <c r="T46" s="1">
        <f t="shared" si="8"/>
        <v>37</v>
      </c>
      <c r="U46" s="12">
        <f t="shared" si="3"/>
        <v>214728.64920485564</v>
      </c>
      <c r="V46" s="12">
        <f t="shared" si="4"/>
        <v>40000000</v>
      </c>
      <c r="W46" s="12">
        <f t="shared" si="5"/>
        <v>37126.204760411201</v>
      </c>
      <c r="X46" s="12">
        <f t="shared" si="6"/>
        <v>177602.44444444444</v>
      </c>
      <c r="Y46" s="12">
        <f t="shared" si="9"/>
        <v>39962873.79523959</v>
      </c>
    </row>
    <row r="47" spans="2:32" x14ac:dyDescent="0.4">
      <c r="B47" s="28" t="s">
        <v>229</v>
      </c>
      <c r="C47" s="29"/>
      <c r="D47" s="29"/>
      <c r="E47" s="29"/>
      <c r="G47" s="28" t="s">
        <v>307</v>
      </c>
      <c r="H47" s="29"/>
      <c r="I47" s="29"/>
      <c r="J47" s="29"/>
      <c r="P47" s="81">
        <v>45412</v>
      </c>
      <c r="Q47" s="77">
        <v>1.25729E-2</v>
      </c>
      <c r="S47" s="82">
        <f t="shared" si="7"/>
        <v>45351</v>
      </c>
      <c r="T47" s="1">
        <f t="shared" si="8"/>
        <v>38</v>
      </c>
      <c r="U47" s="12">
        <f t="shared" si="3"/>
        <v>214728.64920485564</v>
      </c>
      <c r="V47" s="12">
        <f t="shared" si="4"/>
        <v>39962873.79523959</v>
      </c>
      <c r="W47" s="12">
        <f t="shared" si="5"/>
        <v>48738.63459298294</v>
      </c>
      <c r="X47" s="12">
        <f t="shared" si="6"/>
        <v>165990.0146118727</v>
      </c>
      <c r="Y47" s="12">
        <f t="shared" si="9"/>
        <v>39914135.16064661</v>
      </c>
    </row>
    <row r="48" spans="2:32" x14ac:dyDescent="0.4">
      <c r="B48" s="21"/>
      <c r="C48" s="21"/>
      <c r="D48" s="30" t="s">
        <v>16</v>
      </c>
      <c r="E48" s="30" t="s">
        <v>3</v>
      </c>
      <c r="G48" s="21"/>
      <c r="H48" s="30" t="s">
        <v>51</v>
      </c>
      <c r="I48" s="30" t="s">
        <v>52</v>
      </c>
      <c r="J48" s="30" t="s">
        <v>3</v>
      </c>
      <c r="P48" s="81">
        <v>45443</v>
      </c>
      <c r="Q48" s="77">
        <v>1.2604300000000001E-2</v>
      </c>
      <c r="S48" s="82">
        <f t="shared" si="7"/>
        <v>45382</v>
      </c>
      <c r="T48" s="1">
        <f t="shared" si="8"/>
        <v>39</v>
      </c>
      <c r="U48" s="12">
        <f t="shared" si="3"/>
        <v>214728.64920485564</v>
      </c>
      <c r="V48" s="12">
        <f t="shared" si="4"/>
        <v>39914135.16064661</v>
      </c>
      <c r="W48" s="12">
        <f t="shared" si="5"/>
        <v>37507.449894435995</v>
      </c>
      <c r="X48" s="12">
        <f t="shared" si="6"/>
        <v>177221.19931041964</v>
      </c>
      <c r="Y48" s="12">
        <f t="shared" si="9"/>
        <v>39876627.710752174</v>
      </c>
    </row>
    <row r="49" spans="2:25" x14ac:dyDescent="0.4">
      <c r="B49" s="22" t="s">
        <v>230</v>
      </c>
      <c r="E49" s="23">
        <f>D71</f>
        <v>0.93</v>
      </c>
      <c r="G49" s="62" t="s">
        <v>40</v>
      </c>
      <c r="H49" s="14"/>
      <c r="I49" s="51">
        <v>600</v>
      </c>
      <c r="J49" s="14">
        <f>I49*$E$8</f>
        <v>180000</v>
      </c>
      <c r="P49" s="81">
        <v>45473</v>
      </c>
      <c r="Q49" s="77">
        <v>1.2647200000000001E-2</v>
      </c>
      <c r="S49" s="82">
        <f t="shared" si="7"/>
        <v>45412</v>
      </c>
      <c r="T49" s="1">
        <f t="shared" si="8"/>
        <v>40</v>
      </c>
      <c r="U49" s="12">
        <f t="shared" si="3"/>
        <v>214728.64920485564</v>
      </c>
      <c r="V49" s="12">
        <f t="shared" si="4"/>
        <v>39876627.710752174</v>
      </c>
      <c r="W49" s="12">
        <f t="shared" si="5"/>
        <v>43385.426036371995</v>
      </c>
      <c r="X49" s="12">
        <f t="shared" si="6"/>
        <v>171343.22316848364</v>
      </c>
      <c r="Y49" s="12">
        <f t="shared" si="9"/>
        <v>39833242.284715801</v>
      </c>
    </row>
    <row r="50" spans="2:25" x14ac:dyDescent="0.4">
      <c r="B50" s="22" t="s">
        <v>274</v>
      </c>
      <c r="E50" s="130">
        <f>I34</f>
        <v>1480</v>
      </c>
      <c r="G50" s="62" t="s">
        <v>41</v>
      </c>
      <c r="H50" s="14"/>
      <c r="I50" s="51">
        <v>250</v>
      </c>
      <c r="J50" s="14">
        <f>I50*$E$8</f>
        <v>75000</v>
      </c>
      <c r="P50" s="81">
        <v>45504</v>
      </c>
      <c r="Q50" s="77">
        <v>1.26952E-2</v>
      </c>
      <c r="S50" s="82">
        <f t="shared" si="7"/>
        <v>45443</v>
      </c>
      <c r="T50" s="1">
        <f t="shared" si="8"/>
        <v>41</v>
      </c>
      <c r="U50" s="12">
        <f t="shared" si="3"/>
        <v>214728.64920485564</v>
      </c>
      <c r="V50" s="12">
        <f t="shared" si="4"/>
        <v>39833242.284715801</v>
      </c>
      <c r="W50" s="12">
        <f t="shared" si="5"/>
        <v>37866.619207022304</v>
      </c>
      <c r="X50" s="12">
        <f t="shared" si="6"/>
        <v>176862.02999783334</v>
      </c>
      <c r="Y50" s="12">
        <f t="shared" si="9"/>
        <v>39795375.665508777</v>
      </c>
    </row>
    <row r="51" spans="2:25" x14ac:dyDescent="0.4">
      <c r="B51" s="22" t="s">
        <v>17</v>
      </c>
      <c r="E51" s="130">
        <f>E55/E8/12</f>
        <v>1356.6666666666667</v>
      </c>
      <c r="F51" s="132"/>
      <c r="G51" s="62" t="s">
        <v>42</v>
      </c>
      <c r="H51" s="14"/>
      <c r="I51" s="51">
        <v>150</v>
      </c>
      <c r="J51" s="14">
        <f>I51*$E$8</f>
        <v>45000</v>
      </c>
      <c r="P51" s="81">
        <v>45535</v>
      </c>
      <c r="Q51" s="77">
        <v>1.27308E-2</v>
      </c>
      <c r="S51" s="82">
        <f t="shared" si="7"/>
        <v>45473</v>
      </c>
      <c r="T51" s="1">
        <f t="shared" si="8"/>
        <v>42</v>
      </c>
      <c r="U51" s="12">
        <f t="shared" si="3"/>
        <v>214728.64920485564</v>
      </c>
      <c r="V51" s="12">
        <f t="shared" si="4"/>
        <v>39795375.665508777</v>
      </c>
      <c r="W51" s="12">
        <f t="shared" si="5"/>
        <v>43734.552532775328</v>
      </c>
      <c r="X51" s="12">
        <f t="shared" si="6"/>
        <v>170994.09667208031</v>
      </c>
      <c r="Y51" s="12">
        <f t="shared" si="9"/>
        <v>39751641.112976</v>
      </c>
    </row>
    <row r="52" spans="2:25" x14ac:dyDescent="0.4">
      <c r="G52" s="62" t="s">
        <v>43</v>
      </c>
      <c r="H52" s="14"/>
      <c r="I52" s="51">
        <v>375</v>
      </c>
      <c r="J52" s="14">
        <f>I52*$E$8</f>
        <v>112500</v>
      </c>
      <c r="P52" s="81">
        <v>45565</v>
      </c>
      <c r="Q52" s="77">
        <v>1.27724E-2</v>
      </c>
      <c r="S52" s="82">
        <f t="shared" si="7"/>
        <v>45504</v>
      </c>
      <c r="T52" s="1">
        <f t="shared" si="8"/>
        <v>43</v>
      </c>
      <c r="U52" s="12">
        <f t="shared" si="3"/>
        <v>214728.64920485564</v>
      </c>
      <c r="V52" s="12">
        <f t="shared" si="4"/>
        <v>39751641.112976</v>
      </c>
      <c r="W52" s="12">
        <f t="shared" si="5"/>
        <v>38228.933396285283</v>
      </c>
      <c r="X52" s="12">
        <f t="shared" si="6"/>
        <v>176499.71580857036</v>
      </c>
      <c r="Y52" s="12">
        <f t="shared" si="9"/>
        <v>39713412.179579712</v>
      </c>
    </row>
    <row r="53" spans="2:25" x14ac:dyDescent="0.4">
      <c r="B53" s="22" t="s">
        <v>231</v>
      </c>
      <c r="E53" s="14">
        <f>E50*E8*12</f>
        <v>5328000</v>
      </c>
      <c r="G53" s="62" t="s">
        <v>44</v>
      </c>
      <c r="H53" s="63"/>
      <c r="I53" s="51">
        <v>1100</v>
      </c>
      <c r="J53" s="14">
        <f>I53*$E$8</f>
        <v>330000</v>
      </c>
      <c r="P53" s="81">
        <v>45596</v>
      </c>
      <c r="Q53" s="77">
        <v>1.2825899999999999E-2</v>
      </c>
      <c r="S53" s="82">
        <f t="shared" si="7"/>
        <v>45535</v>
      </c>
      <c r="T53" s="1">
        <f t="shared" si="8"/>
        <v>44</v>
      </c>
      <c r="U53" s="12">
        <f t="shared" si="3"/>
        <v>214728.64920485564</v>
      </c>
      <c r="V53" s="12">
        <f t="shared" si="4"/>
        <v>39713412.179579712</v>
      </c>
      <c r="W53" s="12">
        <f t="shared" si="5"/>
        <v>38398.672196777421</v>
      </c>
      <c r="X53" s="12">
        <f t="shared" si="6"/>
        <v>176329.97700807822</v>
      </c>
      <c r="Y53" s="12">
        <f t="shared" si="9"/>
        <v>39675013.507382937</v>
      </c>
    </row>
    <row r="54" spans="2:25" x14ac:dyDescent="0.4">
      <c r="B54" s="27" t="s">
        <v>232</v>
      </c>
      <c r="E54" s="14">
        <f>-(E8*C38*E50)</f>
        <v>-444000</v>
      </c>
      <c r="G54" s="62" t="s">
        <v>45</v>
      </c>
      <c r="H54" s="64">
        <v>0.03</v>
      </c>
      <c r="I54" s="14">
        <f>J54/$E$8</f>
        <v>448.10700000000003</v>
      </c>
      <c r="J54" s="14">
        <f>H54*E59</f>
        <v>134432.1</v>
      </c>
      <c r="P54" s="81">
        <v>45626</v>
      </c>
      <c r="Q54" s="77">
        <v>1.2863299999999999E-2</v>
      </c>
      <c r="S54" s="82">
        <f t="shared" si="7"/>
        <v>45565</v>
      </c>
      <c r="T54" s="1">
        <f t="shared" si="8"/>
        <v>45</v>
      </c>
      <c r="U54" s="12">
        <f t="shared" si="3"/>
        <v>214728.64920485564</v>
      </c>
      <c r="V54" s="12">
        <f t="shared" si="4"/>
        <v>39675013.507382937</v>
      </c>
      <c r="W54" s="12">
        <f t="shared" si="5"/>
        <v>44251.728665882372</v>
      </c>
      <c r="X54" s="12">
        <f t="shared" si="6"/>
        <v>170476.92053897327</v>
      </c>
      <c r="Y54" s="12">
        <f t="shared" si="9"/>
        <v>39630761.778717056</v>
      </c>
    </row>
    <row r="55" spans="2:25" x14ac:dyDescent="0.4">
      <c r="B55" s="22" t="s">
        <v>38</v>
      </c>
      <c r="E55" s="177">
        <f>SUM(E53:E54)</f>
        <v>4884000</v>
      </c>
      <c r="G55" s="62" t="s">
        <v>46</v>
      </c>
      <c r="H55" s="63"/>
      <c r="I55" s="51">
        <v>175</v>
      </c>
      <c r="J55" s="14">
        <f>I55*$E$8</f>
        <v>52500</v>
      </c>
      <c r="P55" s="81">
        <v>45657</v>
      </c>
      <c r="Q55" s="77">
        <v>1.2903400000000001E-2</v>
      </c>
      <c r="S55" s="82">
        <f t="shared" si="7"/>
        <v>45596</v>
      </c>
      <c r="T55" s="1">
        <f t="shared" si="8"/>
        <v>46</v>
      </c>
      <c r="U55" s="12">
        <f t="shared" si="3"/>
        <v>214728.64920485564</v>
      </c>
      <c r="V55" s="12">
        <f t="shared" si="4"/>
        <v>39630761.778717056</v>
      </c>
      <c r="W55" s="12">
        <f t="shared" si="5"/>
        <v>38765.64502746542</v>
      </c>
      <c r="X55" s="12">
        <f t="shared" si="6"/>
        <v>175963.00417739022</v>
      </c>
      <c r="Y55" s="12">
        <f t="shared" si="9"/>
        <v>39591996.13368959</v>
      </c>
    </row>
    <row r="56" spans="2:25" x14ac:dyDescent="0.4">
      <c r="B56" s="27" t="s">
        <v>18</v>
      </c>
      <c r="C56" s="27"/>
      <c r="E56" s="67">
        <f>-(1-$E$49)*E55</f>
        <v>-341879.99999999977</v>
      </c>
      <c r="G56" s="62" t="s">
        <v>47</v>
      </c>
      <c r="H56" s="63"/>
      <c r="I56" s="14">
        <f>J56/$E$8</f>
        <v>2166.6666666666665</v>
      </c>
      <c r="J56" s="51">
        <v>650000</v>
      </c>
      <c r="P56" s="81">
        <v>45688</v>
      </c>
      <c r="Q56" s="77">
        <v>1.29587E-2</v>
      </c>
      <c r="S56" s="82">
        <f t="shared" ref="S56:S119" si="10">EOMONTH(S55,1)</f>
        <v>45626</v>
      </c>
      <c r="T56" s="1">
        <f t="shared" ref="T56:T119" si="11">T55+1</f>
        <v>47</v>
      </c>
      <c r="U56" s="12">
        <f t="shared" si="3"/>
        <v>214728.64920485564</v>
      </c>
      <c r="V56" s="12">
        <f t="shared" si="4"/>
        <v>39591996.13368959</v>
      </c>
      <c r="W56" s="12">
        <f t="shared" si="5"/>
        <v>44608.440484413732</v>
      </c>
      <c r="X56" s="12">
        <f t="shared" si="6"/>
        <v>170120.20872044191</v>
      </c>
      <c r="Y56" s="12">
        <f t="shared" ref="Y56:Y119" si="12">V56-W56</f>
        <v>39547387.693205178</v>
      </c>
    </row>
    <row r="57" spans="2:25" x14ac:dyDescent="0.4">
      <c r="B57" s="27" t="s">
        <v>19</v>
      </c>
      <c r="C57" s="27"/>
      <c r="D57" s="69">
        <v>5.0000000000000001E-3</v>
      </c>
      <c r="E57" s="67">
        <f>-D57*$E$55</f>
        <v>-24420</v>
      </c>
      <c r="G57" s="62" t="s">
        <v>48</v>
      </c>
      <c r="H57" s="63"/>
      <c r="I57" s="51">
        <v>275</v>
      </c>
      <c r="J57" s="14">
        <f>I57*$E$8</f>
        <v>82500</v>
      </c>
      <c r="P57" s="81">
        <v>45716</v>
      </c>
      <c r="Q57" s="77">
        <v>1.30048E-2</v>
      </c>
      <c r="S57" s="82">
        <f t="shared" si="10"/>
        <v>45657</v>
      </c>
      <c r="T57" s="1">
        <f t="shared" si="11"/>
        <v>48</v>
      </c>
      <c r="U57" s="12">
        <f t="shared" si="3"/>
        <v>214728.64920485564</v>
      </c>
      <c r="V57" s="12">
        <f t="shared" si="4"/>
        <v>39547387.693205178</v>
      </c>
      <c r="W57" s="12">
        <f t="shared" si="5"/>
        <v>39135.831062221172</v>
      </c>
      <c r="X57" s="12">
        <f t="shared" si="6"/>
        <v>175592.81814263447</v>
      </c>
      <c r="Y57" s="12">
        <f t="shared" si="12"/>
        <v>39508251.862142958</v>
      </c>
    </row>
    <row r="58" spans="2:25" x14ac:dyDescent="0.4">
      <c r="B58" s="27" t="s">
        <v>34</v>
      </c>
      <c r="C58" s="27"/>
      <c r="D58" s="69">
        <v>7.4999999999999997E-3</v>
      </c>
      <c r="E58" s="67">
        <f>-D58*$E$55</f>
        <v>-36630</v>
      </c>
      <c r="F58" s="14"/>
      <c r="G58" s="34" t="s">
        <v>57</v>
      </c>
      <c r="H58" s="65"/>
      <c r="I58" s="199">
        <f>SUM(I49:I57)</f>
        <v>5539.773666666666</v>
      </c>
      <c r="J58" s="199">
        <f>SUM(J49:J57)</f>
        <v>1661932.1</v>
      </c>
      <c r="P58" s="81">
        <v>45747</v>
      </c>
      <c r="Q58" s="77">
        <v>1.30543E-2</v>
      </c>
      <c r="S58" s="82">
        <f t="shared" si="10"/>
        <v>45688</v>
      </c>
      <c r="T58" s="1">
        <f t="shared" si="11"/>
        <v>49</v>
      </c>
      <c r="U58" s="12">
        <f t="shared" si="3"/>
        <v>214728.64920485564</v>
      </c>
      <c r="V58" s="12">
        <f t="shared" si="4"/>
        <v>39508251.862142958</v>
      </c>
      <c r="W58" s="12">
        <f t="shared" si="5"/>
        <v>39309.596543771564</v>
      </c>
      <c r="X58" s="12">
        <f t="shared" si="6"/>
        <v>175419.05266108408</v>
      </c>
      <c r="Y58" s="12">
        <f t="shared" si="12"/>
        <v>39468942.265599184</v>
      </c>
    </row>
    <row r="59" spans="2:25" x14ac:dyDescent="0.4">
      <c r="B59" s="34" t="s">
        <v>20</v>
      </c>
      <c r="C59" s="34"/>
      <c r="D59" s="34"/>
      <c r="E59" s="35">
        <f>SUM(E55:E58)</f>
        <v>4481070</v>
      </c>
      <c r="G59" s="22" t="s">
        <v>53</v>
      </c>
      <c r="H59" s="14"/>
      <c r="I59" s="51">
        <v>150</v>
      </c>
      <c r="J59" s="14">
        <f>I59*$E$8</f>
        <v>45000</v>
      </c>
      <c r="P59" s="81">
        <v>45777</v>
      </c>
      <c r="Q59" s="77">
        <v>1.3128300000000001E-2</v>
      </c>
      <c r="S59" s="82">
        <f t="shared" si="10"/>
        <v>45716</v>
      </c>
      <c r="T59" s="1">
        <f t="shared" si="11"/>
        <v>50</v>
      </c>
      <c r="U59" s="12">
        <f t="shared" si="3"/>
        <v>214728.64920485564</v>
      </c>
      <c r="V59" s="12">
        <f t="shared" si="4"/>
        <v>39468942.265599184</v>
      </c>
      <c r="W59" s="12">
        <f t="shared" si="5"/>
        <v>56443.280230502569</v>
      </c>
      <c r="X59" s="12">
        <f t="shared" si="6"/>
        <v>158285.36897435307</v>
      </c>
      <c r="Y59" s="12">
        <f t="shared" si="12"/>
        <v>39412498.985368684</v>
      </c>
    </row>
    <row r="60" spans="2:25" x14ac:dyDescent="0.4">
      <c r="B60" s="22" t="s">
        <v>21</v>
      </c>
      <c r="D60" s="83">
        <v>30</v>
      </c>
      <c r="E60" s="67">
        <f>D60*$E$8*12</f>
        <v>108000</v>
      </c>
      <c r="G60" s="37" t="s">
        <v>3</v>
      </c>
      <c r="H60" s="66"/>
      <c r="I60" s="196">
        <f>SUM(I58:I59)</f>
        <v>5689.773666666666</v>
      </c>
      <c r="J60" s="196">
        <f>SUM(J58:J59)</f>
        <v>1706932.1</v>
      </c>
      <c r="P60" s="81">
        <v>45808</v>
      </c>
      <c r="Q60" s="77">
        <v>1.31903E-2</v>
      </c>
      <c r="S60" s="82">
        <f t="shared" si="10"/>
        <v>45747</v>
      </c>
      <c r="T60" s="1">
        <f t="shared" si="11"/>
        <v>51</v>
      </c>
      <c r="U60" s="12">
        <f t="shared" si="3"/>
        <v>214728.64920485564</v>
      </c>
      <c r="V60" s="12">
        <f t="shared" si="4"/>
        <v>39412498.985368684</v>
      </c>
      <c r="W60" s="12">
        <f t="shared" si="5"/>
        <v>39734.745168214024</v>
      </c>
      <c r="X60" s="12">
        <f t="shared" si="6"/>
        <v>174993.90403664162</v>
      </c>
      <c r="Y60" s="12">
        <f t="shared" si="12"/>
        <v>39372764.240200467</v>
      </c>
    </row>
    <row r="61" spans="2:25" x14ac:dyDescent="0.4">
      <c r="B61" s="22" t="s">
        <v>279</v>
      </c>
      <c r="D61" s="83">
        <v>100</v>
      </c>
      <c r="E61" s="67">
        <f>D61*$E$8*12</f>
        <v>360000</v>
      </c>
      <c r="F61" s="29"/>
      <c r="G61" s="1"/>
      <c r="H61" s="1"/>
      <c r="I61" s="1"/>
      <c r="J61" s="29"/>
      <c r="P61" s="81">
        <v>45838</v>
      </c>
      <c r="Q61" s="77">
        <v>1.3255299999999999E-2</v>
      </c>
      <c r="S61" s="82">
        <f t="shared" si="10"/>
        <v>45777</v>
      </c>
      <c r="T61" s="1">
        <f t="shared" si="11"/>
        <v>52</v>
      </c>
      <c r="U61" s="12">
        <f t="shared" si="3"/>
        <v>214728.64920485564</v>
      </c>
      <c r="V61" s="12">
        <f t="shared" si="4"/>
        <v>39372764.240200467</v>
      </c>
      <c r="W61" s="12">
        <f t="shared" si="5"/>
        <v>45550.44339208756</v>
      </c>
      <c r="X61" s="12">
        <f t="shared" si="6"/>
        <v>169178.20581276808</v>
      </c>
      <c r="Y61" s="12">
        <f t="shared" si="12"/>
        <v>39327213.796808377</v>
      </c>
    </row>
    <row r="62" spans="2:25" x14ac:dyDescent="0.4">
      <c r="B62" s="22" t="s">
        <v>30</v>
      </c>
      <c r="D62" s="83">
        <v>25</v>
      </c>
      <c r="E62" s="67">
        <f>D62*$E$8*12</f>
        <v>90000</v>
      </c>
      <c r="F62" s="29"/>
      <c r="G62" s="1"/>
      <c r="H62" s="1"/>
      <c r="I62" s="1"/>
      <c r="J62" s="29"/>
      <c r="P62" s="81">
        <v>45869</v>
      </c>
      <c r="Q62" s="77">
        <v>1.3341199999999999E-2</v>
      </c>
      <c r="S62" s="82">
        <f t="shared" si="10"/>
        <v>45808</v>
      </c>
      <c r="T62" s="1">
        <f t="shared" si="11"/>
        <v>53</v>
      </c>
      <c r="U62" s="12">
        <f t="shared" si="3"/>
        <v>214728.64920485564</v>
      </c>
      <c r="V62" s="12">
        <f t="shared" si="4"/>
        <v>39327213.796808377</v>
      </c>
      <c r="W62" s="12">
        <f t="shared" si="5"/>
        <v>40113.416617294424</v>
      </c>
      <c r="X62" s="12">
        <f t="shared" si="6"/>
        <v>174615.23258756122</v>
      </c>
      <c r="Y62" s="12">
        <f t="shared" si="12"/>
        <v>39287100.38019108</v>
      </c>
    </row>
    <row r="63" spans="2:25" x14ac:dyDescent="0.4">
      <c r="B63" s="37" t="s">
        <v>9</v>
      </c>
      <c r="C63" s="37"/>
      <c r="D63" s="38"/>
      <c r="E63" s="36">
        <f>SUM(E59:E62)</f>
        <v>5039070</v>
      </c>
      <c r="F63" s="29"/>
      <c r="G63" s="1"/>
      <c r="H63" s="1"/>
      <c r="I63" s="1"/>
      <c r="J63" s="29"/>
      <c r="P63" s="81">
        <v>45900</v>
      </c>
      <c r="Q63" s="77">
        <v>1.34138E-2</v>
      </c>
      <c r="S63" s="82">
        <f t="shared" si="10"/>
        <v>45838</v>
      </c>
      <c r="T63" s="1">
        <f t="shared" si="11"/>
        <v>54</v>
      </c>
      <c r="U63" s="12">
        <f t="shared" si="3"/>
        <v>214728.64920485564</v>
      </c>
      <c r="V63" s="12">
        <f t="shared" si="4"/>
        <v>39287100.38019108</v>
      </c>
      <c r="W63" s="12">
        <f t="shared" si="5"/>
        <v>45918.526721237897</v>
      </c>
      <c r="X63" s="12">
        <f t="shared" si="6"/>
        <v>168810.12248361774</v>
      </c>
      <c r="Y63" s="12">
        <f t="shared" si="12"/>
        <v>39241181.853469841</v>
      </c>
    </row>
    <row r="64" spans="2:25" x14ac:dyDescent="0.4">
      <c r="P64" s="81">
        <v>45930</v>
      </c>
      <c r="Q64" s="77">
        <v>1.34936E-2</v>
      </c>
      <c r="S64" s="82">
        <f t="shared" si="10"/>
        <v>45869</v>
      </c>
      <c r="T64" s="1">
        <f t="shared" si="11"/>
        <v>55</v>
      </c>
      <c r="U64" s="12">
        <f t="shared" si="3"/>
        <v>214728.64920485564</v>
      </c>
      <c r="V64" s="12">
        <f t="shared" si="4"/>
        <v>39241181.853469841</v>
      </c>
      <c r="W64" s="12">
        <f t="shared" si="5"/>
        <v>40495.403703225165</v>
      </c>
      <c r="X64" s="12">
        <f t="shared" si="6"/>
        <v>174233.24550163047</v>
      </c>
      <c r="Y64" s="12">
        <f t="shared" si="12"/>
        <v>39200686.449766614</v>
      </c>
    </row>
    <row r="65" spans="2:25" x14ac:dyDescent="0.4">
      <c r="B65" s="28" t="s">
        <v>54</v>
      </c>
      <c r="C65" s="29"/>
      <c r="D65" s="29"/>
      <c r="E65" s="29"/>
      <c r="G65" s="1"/>
      <c r="H65" s="1"/>
      <c r="I65" s="1"/>
      <c r="P65" s="81">
        <v>45961</v>
      </c>
      <c r="Q65" s="77">
        <v>1.35849E-2</v>
      </c>
      <c r="S65" s="82">
        <f t="shared" si="10"/>
        <v>45900</v>
      </c>
      <c r="T65" s="1">
        <f t="shared" si="11"/>
        <v>56</v>
      </c>
      <c r="U65" s="12">
        <f t="shared" si="3"/>
        <v>214728.64920485564</v>
      </c>
      <c r="V65" s="12">
        <f t="shared" si="4"/>
        <v>39200686.449766614</v>
      </c>
      <c r="W65" s="12">
        <f t="shared" si="5"/>
        <v>40675.205770386616</v>
      </c>
      <c r="X65" s="12">
        <f t="shared" si="6"/>
        <v>174053.44343446902</v>
      </c>
      <c r="Y65" s="12">
        <f t="shared" si="12"/>
        <v>39160011.243996225</v>
      </c>
    </row>
    <row r="66" spans="2:25" x14ac:dyDescent="0.4">
      <c r="B66" s="39"/>
      <c r="C66" s="21"/>
      <c r="D66" s="39"/>
      <c r="E66" s="33" t="s">
        <v>22</v>
      </c>
      <c r="F66" s="21"/>
      <c r="G66" s="33" t="s">
        <v>30</v>
      </c>
      <c r="H66" s="21"/>
      <c r="I66" s="33" t="s">
        <v>55</v>
      </c>
      <c r="J66" s="33" t="s">
        <v>56</v>
      </c>
      <c r="P66" s="81">
        <v>45991</v>
      </c>
      <c r="Q66" s="77">
        <v>1.3657300000000001E-2</v>
      </c>
      <c r="S66" s="82">
        <f t="shared" si="10"/>
        <v>45930</v>
      </c>
      <c r="T66" s="1">
        <f t="shared" si="11"/>
        <v>57</v>
      </c>
      <c r="U66" s="12">
        <f t="shared" si="3"/>
        <v>214728.64920485564</v>
      </c>
      <c r="V66" s="12">
        <f t="shared" si="4"/>
        <v>39160011.243996225</v>
      </c>
      <c r="W66" s="12">
        <f t="shared" si="5"/>
        <v>46464.607557944488</v>
      </c>
      <c r="X66" s="12">
        <f t="shared" si="6"/>
        <v>168264.04164691115</v>
      </c>
      <c r="Y66" s="12">
        <f t="shared" si="12"/>
        <v>39113546.63643828</v>
      </c>
    </row>
    <row r="67" spans="2:25" x14ac:dyDescent="0.4">
      <c r="B67" s="26" t="s">
        <v>2</v>
      </c>
      <c r="D67" s="26" t="s">
        <v>8</v>
      </c>
      <c r="E67" s="26" t="s">
        <v>6</v>
      </c>
      <c r="G67" s="26" t="s">
        <v>6</v>
      </c>
      <c r="I67" s="26" t="s">
        <v>6</v>
      </c>
      <c r="J67" s="26" t="s">
        <v>6</v>
      </c>
      <c r="P67" s="81">
        <v>46022</v>
      </c>
      <c r="Q67" s="77">
        <v>1.37494E-2</v>
      </c>
      <c r="S67" s="82">
        <f t="shared" si="10"/>
        <v>45961</v>
      </c>
      <c r="T67" s="1">
        <f t="shared" si="11"/>
        <v>58</v>
      </c>
      <c r="U67" s="12">
        <f t="shared" si="3"/>
        <v>214728.64920485564</v>
      </c>
      <c r="V67" s="12">
        <f t="shared" si="4"/>
        <v>39113546.63643828</v>
      </c>
      <c r="W67" s="12">
        <f t="shared" si="5"/>
        <v>41062.111866775231</v>
      </c>
      <c r="X67" s="12">
        <f t="shared" si="6"/>
        <v>173666.53733808041</v>
      </c>
      <c r="Y67" s="12">
        <f t="shared" si="12"/>
        <v>39072484.524571508</v>
      </c>
    </row>
    <row r="68" spans="2:25" x14ac:dyDescent="0.4">
      <c r="B68" s="53">
        <v>1</v>
      </c>
      <c r="D68" s="52">
        <v>0.9</v>
      </c>
      <c r="E68" s="54">
        <v>0</v>
      </c>
      <c r="G68" s="54">
        <v>0</v>
      </c>
      <c r="I68" s="54">
        <v>0</v>
      </c>
      <c r="J68" s="54">
        <v>0</v>
      </c>
      <c r="P68" s="81">
        <v>46053</v>
      </c>
      <c r="Q68" s="77">
        <v>1.3839199999999999E-2</v>
      </c>
      <c r="S68" s="82">
        <f t="shared" si="10"/>
        <v>45991</v>
      </c>
      <c r="T68" s="1">
        <f t="shared" si="11"/>
        <v>59</v>
      </c>
      <c r="U68" s="12">
        <f t="shared" si="3"/>
        <v>214728.64920485564</v>
      </c>
      <c r="V68" s="12">
        <f t="shared" si="4"/>
        <v>39072484.524571508</v>
      </c>
      <c r="W68" s="12">
        <f t="shared" si="5"/>
        <v>46840.695283525944</v>
      </c>
      <c r="X68" s="12">
        <f t="shared" si="6"/>
        <v>167887.9539213297</v>
      </c>
      <c r="Y68" s="12">
        <f t="shared" si="12"/>
        <v>39025643.829287983</v>
      </c>
    </row>
    <row r="69" spans="2:25" x14ac:dyDescent="0.4">
      <c r="B69" s="24">
        <f>++B68+1</f>
        <v>2</v>
      </c>
      <c r="D69" s="52">
        <v>0.91</v>
      </c>
      <c r="E69" s="54">
        <v>0.02</v>
      </c>
      <c r="G69" s="54">
        <v>0.02</v>
      </c>
      <c r="I69" s="54">
        <v>0.02</v>
      </c>
      <c r="J69" s="54">
        <v>0.02</v>
      </c>
      <c r="P69" s="81">
        <v>46081</v>
      </c>
      <c r="Q69" s="77">
        <v>1.39057E-2</v>
      </c>
      <c r="S69" s="82">
        <f t="shared" si="10"/>
        <v>46022</v>
      </c>
      <c r="T69" s="1">
        <f t="shared" si="11"/>
        <v>60</v>
      </c>
      <c r="U69" s="12">
        <f t="shared" si="3"/>
        <v>214728.64920485564</v>
      </c>
      <c r="V69" s="12">
        <f t="shared" si="4"/>
        <v>39025643.829287983</v>
      </c>
      <c r="W69" s="12">
        <f t="shared" si="5"/>
        <v>41452.40570236076</v>
      </c>
      <c r="X69" s="12">
        <f t="shared" si="6"/>
        <v>173276.24350249488</v>
      </c>
      <c r="Y69" s="12">
        <f t="shared" si="12"/>
        <v>38984191.423585624</v>
      </c>
    </row>
    <row r="70" spans="2:25" x14ac:dyDescent="0.4">
      <c r="B70" s="24">
        <f t="shared" ref="B70:B78" si="13">++B69+1</f>
        <v>3</v>
      </c>
      <c r="D70" s="52">
        <v>0.93</v>
      </c>
      <c r="E70" s="54">
        <v>0.03</v>
      </c>
      <c r="G70" s="54">
        <v>0.02</v>
      </c>
      <c r="I70" s="54">
        <v>0.03</v>
      </c>
      <c r="J70" s="54">
        <v>0.02</v>
      </c>
      <c r="P70" s="81">
        <v>46112</v>
      </c>
      <c r="Q70" s="77">
        <v>1.39878E-2</v>
      </c>
      <c r="S70" s="82">
        <f t="shared" si="10"/>
        <v>46053</v>
      </c>
      <c r="T70" s="1">
        <f t="shared" si="11"/>
        <v>61</v>
      </c>
      <c r="U70" s="12">
        <f t="shared" si="3"/>
        <v>214728.64920485564</v>
      </c>
      <c r="V70" s="12">
        <f t="shared" si="4"/>
        <v>38984191.423585624</v>
      </c>
      <c r="W70" s="12">
        <f t="shared" si="5"/>
        <v>41636.456916881813</v>
      </c>
      <c r="X70" s="12">
        <f t="shared" si="6"/>
        <v>173092.19228797383</v>
      </c>
      <c r="Y70" s="12">
        <f t="shared" si="12"/>
        <v>38942554.96666874</v>
      </c>
    </row>
    <row r="71" spans="2:25" x14ac:dyDescent="0.4">
      <c r="B71" s="24">
        <f t="shared" si="13"/>
        <v>4</v>
      </c>
      <c r="D71" s="25">
        <f>D70</f>
        <v>0.93</v>
      </c>
      <c r="E71" s="55">
        <f>E70</f>
        <v>0.03</v>
      </c>
      <c r="G71" s="55">
        <f t="shared" ref="G71:G78" si="14">G70</f>
        <v>0.02</v>
      </c>
      <c r="I71" s="55">
        <f t="shared" ref="I71:J78" si="15">I70</f>
        <v>0.03</v>
      </c>
      <c r="J71" s="55">
        <f t="shared" si="15"/>
        <v>0.02</v>
      </c>
      <c r="P71" s="81">
        <v>46142</v>
      </c>
      <c r="Q71" s="77">
        <v>1.4070600000000001E-2</v>
      </c>
      <c r="S71" s="82">
        <f t="shared" si="10"/>
        <v>46081</v>
      </c>
      <c r="T71" s="1">
        <f t="shared" si="11"/>
        <v>62</v>
      </c>
      <c r="U71" s="12">
        <f t="shared" si="3"/>
        <v>214728.64920485564</v>
      </c>
      <c r="V71" s="12">
        <f t="shared" si="4"/>
        <v>38942554.96666874</v>
      </c>
      <c r="W71" s="12">
        <f t="shared" si="5"/>
        <v>58554.292156637704</v>
      </c>
      <c r="X71" s="12">
        <f t="shared" si="6"/>
        <v>156174.35704821793</v>
      </c>
      <c r="Y71" s="12">
        <f t="shared" si="12"/>
        <v>38884000.674512103</v>
      </c>
    </row>
    <row r="72" spans="2:25" x14ac:dyDescent="0.4">
      <c r="B72" s="24">
        <f t="shared" si="13"/>
        <v>5</v>
      </c>
      <c r="D72" s="25">
        <f>D71</f>
        <v>0.93</v>
      </c>
      <c r="E72" s="55">
        <f>E71</f>
        <v>0.03</v>
      </c>
      <c r="G72" s="55">
        <f t="shared" si="14"/>
        <v>0.02</v>
      </c>
      <c r="I72" s="55">
        <f t="shared" si="15"/>
        <v>0.03</v>
      </c>
      <c r="J72" s="55">
        <f t="shared" si="15"/>
        <v>0.02</v>
      </c>
      <c r="P72" s="81">
        <v>46173</v>
      </c>
      <c r="Q72" s="77">
        <v>1.41327E-2</v>
      </c>
      <c r="S72" s="82">
        <f t="shared" si="10"/>
        <v>46112</v>
      </c>
      <c r="T72" s="1">
        <f t="shared" si="11"/>
        <v>63</v>
      </c>
      <c r="U72" s="12">
        <f t="shared" si="3"/>
        <v>214728.64920485564</v>
      </c>
      <c r="V72" s="12">
        <f t="shared" si="4"/>
        <v>38884000.674512103</v>
      </c>
      <c r="W72" s="12">
        <f t="shared" si="5"/>
        <v>42081.309965536231</v>
      </c>
      <c r="X72" s="12">
        <f t="shared" si="6"/>
        <v>172647.33923931941</v>
      </c>
      <c r="Y72" s="12">
        <f t="shared" si="12"/>
        <v>38841919.364546567</v>
      </c>
    </row>
    <row r="73" spans="2:25" x14ac:dyDescent="0.4">
      <c r="B73" s="24">
        <f t="shared" si="13"/>
        <v>6</v>
      </c>
      <c r="D73" s="25">
        <f t="shared" ref="D73:D78" si="16">D72</f>
        <v>0.93</v>
      </c>
      <c r="E73" s="55">
        <f t="shared" ref="E73:E78" si="17">E72</f>
        <v>0.03</v>
      </c>
      <c r="G73" s="55">
        <f t="shared" si="14"/>
        <v>0.02</v>
      </c>
      <c r="I73" s="55">
        <f t="shared" si="15"/>
        <v>0.03</v>
      </c>
      <c r="J73" s="55">
        <f t="shared" si="15"/>
        <v>0.02</v>
      </c>
      <c r="P73" s="81">
        <v>46203</v>
      </c>
      <c r="Q73" s="77">
        <v>1.41966E-2</v>
      </c>
      <c r="S73" s="82">
        <f t="shared" si="10"/>
        <v>46142</v>
      </c>
      <c r="T73" s="1">
        <f t="shared" si="11"/>
        <v>64</v>
      </c>
      <c r="U73" s="12">
        <f t="shared" si="3"/>
        <v>214728.64920485564</v>
      </c>
      <c r="V73" s="12">
        <f t="shared" si="4"/>
        <v>38841919.364546567</v>
      </c>
      <c r="W73" s="12">
        <f t="shared" si="5"/>
        <v>47831.395348626451</v>
      </c>
      <c r="X73" s="12">
        <f t="shared" si="6"/>
        <v>166897.25385622919</v>
      </c>
      <c r="Y73" s="12">
        <f t="shared" si="12"/>
        <v>38794087.969197944</v>
      </c>
    </row>
    <row r="74" spans="2:25" x14ac:dyDescent="0.4">
      <c r="B74" s="24">
        <f t="shared" si="13"/>
        <v>7</v>
      </c>
      <c r="D74" s="25">
        <f t="shared" si="16"/>
        <v>0.93</v>
      </c>
      <c r="E74" s="55">
        <f t="shared" si="17"/>
        <v>0.03</v>
      </c>
      <c r="G74" s="55">
        <f t="shared" si="14"/>
        <v>0.02</v>
      </c>
      <c r="I74" s="55">
        <f t="shared" si="15"/>
        <v>0.03</v>
      </c>
      <c r="J74" s="55">
        <f t="shared" si="15"/>
        <v>0.02</v>
      </c>
      <c r="P74" s="81">
        <v>46234</v>
      </c>
      <c r="Q74" s="77">
        <v>1.42705E-2</v>
      </c>
      <c r="S74" s="82">
        <f t="shared" si="10"/>
        <v>46173</v>
      </c>
      <c r="T74" s="1">
        <f t="shared" si="11"/>
        <v>65</v>
      </c>
      <c r="U74" s="12">
        <f t="shared" si="3"/>
        <v>214728.64920485564</v>
      </c>
      <c r="V74" s="12">
        <f t="shared" si="4"/>
        <v>38794087.969197944</v>
      </c>
      <c r="W74" s="12">
        <f t="shared" si="5"/>
        <v>42480.527871796425</v>
      </c>
      <c r="X74" s="12">
        <f t="shared" si="6"/>
        <v>172248.12133305921</v>
      </c>
      <c r="Y74" s="12">
        <f t="shared" si="12"/>
        <v>38751607.441326149</v>
      </c>
    </row>
    <row r="75" spans="2:25" x14ac:dyDescent="0.4">
      <c r="B75" s="24">
        <f t="shared" si="13"/>
        <v>8</v>
      </c>
      <c r="D75" s="25">
        <f t="shared" si="16"/>
        <v>0.93</v>
      </c>
      <c r="E75" s="55">
        <f t="shared" si="17"/>
        <v>0.03</v>
      </c>
      <c r="G75" s="55">
        <f t="shared" si="14"/>
        <v>0.02</v>
      </c>
      <c r="I75" s="55">
        <f t="shared" si="15"/>
        <v>0.03</v>
      </c>
      <c r="J75" s="55">
        <f t="shared" si="15"/>
        <v>0.02</v>
      </c>
      <c r="P75" s="81">
        <v>46265</v>
      </c>
      <c r="Q75" s="77">
        <v>1.43158E-2</v>
      </c>
      <c r="S75" s="82">
        <f t="shared" si="10"/>
        <v>46203</v>
      </c>
      <c r="T75" s="1">
        <f t="shared" si="11"/>
        <v>66</v>
      </c>
      <c r="U75" s="12">
        <f t="shared" ref="U75:U129" si="18">IF(T75&lt;=$J$21,$X75,$T$6)</f>
        <v>214728.64920485564</v>
      </c>
      <c r="V75" s="12">
        <f t="shared" ref="V75:V129" si="19">Y74</f>
        <v>38751607.441326149</v>
      </c>
      <c r="W75" s="12">
        <f t="shared" ref="W75:W129" si="20">U75-X75</f>
        <v>48219.450630717387</v>
      </c>
      <c r="X75" s="12">
        <f t="shared" ref="X75:X129" si="21">$J$19/$I$13*($S75-$S74)*V75</f>
        <v>166509.19857413825</v>
      </c>
      <c r="Y75" s="12">
        <f t="shared" si="12"/>
        <v>38703387.990695432</v>
      </c>
    </row>
    <row r="76" spans="2:25" x14ac:dyDescent="0.4">
      <c r="B76" s="24">
        <f t="shared" si="13"/>
        <v>9</v>
      </c>
      <c r="D76" s="25">
        <f t="shared" si="16"/>
        <v>0.93</v>
      </c>
      <c r="E76" s="55">
        <f t="shared" si="17"/>
        <v>0.03</v>
      </c>
      <c r="G76" s="55">
        <f t="shared" si="14"/>
        <v>0.02</v>
      </c>
      <c r="I76" s="55">
        <f t="shared" si="15"/>
        <v>0.03</v>
      </c>
      <c r="J76" s="55">
        <f t="shared" si="15"/>
        <v>0.02</v>
      </c>
      <c r="P76" s="81">
        <v>46295</v>
      </c>
      <c r="Q76" s="77">
        <v>1.4377600000000001E-2</v>
      </c>
      <c r="S76" s="82">
        <f t="shared" si="10"/>
        <v>46234</v>
      </c>
      <c r="T76" s="1">
        <f t="shared" si="11"/>
        <v>67</v>
      </c>
      <c r="U76" s="12">
        <f t="shared" si="18"/>
        <v>214728.64920485564</v>
      </c>
      <c r="V76" s="12">
        <f t="shared" si="19"/>
        <v>38703387.990695432</v>
      </c>
      <c r="W76" s="12">
        <f t="shared" si="20"/>
        <v>42883.241319124034</v>
      </c>
      <c r="X76" s="12">
        <f t="shared" si="21"/>
        <v>171845.40788573161</v>
      </c>
      <c r="Y76" s="12">
        <f t="shared" si="12"/>
        <v>38660504.749376304</v>
      </c>
    </row>
    <row r="77" spans="2:25" x14ac:dyDescent="0.4">
      <c r="B77" s="24">
        <f t="shared" si="13"/>
        <v>10</v>
      </c>
      <c r="D77" s="25">
        <f t="shared" si="16"/>
        <v>0.93</v>
      </c>
      <c r="E77" s="55">
        <f t="shared" si="17"/>
        <v>0.03</v>
      </c>
      <c r="G77" s="55">
        <f t="shared" si="14"/>
        <v>0.02</v>
      </c>
      <c r="I77" s="55">
        <f t="shared" si="15"/>
        <v>0.03</v>
      </c>
      <c r="J77" s="55">
        <f t="shared" si="15"/>
        <v>0.02</v>
      </c>
      <c r="P77" s="81">
        <v>46326</v>
      </c>
      <c r="Q77" s="77">
        <v>1.44425E-2</v>
      </c>
      <c r="S77" s="82">
        <f t="shared" si="10"/>
        <v>46265</v>
      </c>
      <c r="T77" s="1">
        <f t="shared" si="11"/>
        <v>68</v>
      </c>
      <c r="U77" s="12">
        <f t="shared" si="18"/>
        <v>214728.64920485564</v>
      </c>
      <c r="V77" s="12">
        <f t="shared" si="19"/>
        <v>38660504.749376304</v>
      </c>
      <c r="W77" s="12">
        <f t="shared" si="20"/>
        <v>43073.645531223505</v>
      </c>
      <c r="X77" s="12">
        <f t="shared" si="21"/>
        <v>171655.00367363213</v>
      </c>
      <c r="Y77" s="12">
        <f t="shared" si="12"/>
        <v>38617431.103845082</v>
      </c>
    </row>
    <row r="78" spans="2:25" x14ac:dyDescent="0.4">
      <c r="B78" s="24">
        <f t="shared" si="13"/>
        <v>11</v>
      </c>
      <c r="D78" s="25">
        <f t="shared" si="16"/>
        <v>0.93</v>
      </c>
      <c r="E78" s="55">
        <f t="shared" si="17"/>
        <v>0.03</v>
      </c>
      <c r="G78" s="55">
        <f t="shared" si="14"/>
        <v>0.02</v>
      </c>
      <c r="I78" s="55">
        <f t="shared" si="15"/>
        <v>0.03</v>
      </c>
      <c r="J78" s="55">
        <f t="shared" si="15"/>
        <v>0.02</v>
      </c>
      <c r="P78" s="81">
        <v>46356</v>
      </c>
      <c r="Q78" s="77">
        <v>1.4482699999999999E-2</v>
      </c>
      <c r="S78" s="82">
        <f t="shared" si="10"/>
        <v>46295</v>
      </c>
      <c r="T78" s="1">
        <f t="shared" si="11"/>
        <v>69</v>
      </c>
      <c r="U78" s="12">
        <f t="shared" si="18"/>
        <v>214728.64920485564</v>
      </c>
      <c r="V78" s="12">
        <f t="shared" si="19"/>
        <v>38617431.103845082</v>
      </c>
      <c r="W78" s="12">
        <f t="shared" si="20"/>
        <v>48795.983990150591</v>
      </c>
      <c r="X78" s="12">
        <f t="shared" si="21"/>
        <v>165932.66521470505</v>
      </c>
      <c r="Y78" s="12">
        <f t="shared" si="12"/>
        <v>38568635.119854935</v>
      </c>
    </row>
    <row r="79" spans="2:25" x14ac:dyDescent="0.4">
      <c r="P79" s="81">
        <v>46387</v>
      </c>
      <c r="Q79" s="77">
        <v>1.4535899999999999E-2</v>
      </c>
      <c r="S79" s="82">
        <f t="shared" si="10"/>
        <v>46326</v>
      </c>
      <c r="T79" s="1">
        <f t="shared" si="11"/>
        <v>70</v>
      </c>
      <c r="U79" s="12">
        <f t="shared" si="18"/>
        <v>214728.64920485564</v>
      </c>
      <c r="V79" s="12">
        <f t="shared" si="19"/>
        <v>38568635.119854935</v>
      </c>
      <c r="W79" s="12">
        <f t="shared" si="20"/>
        <v>43481.552300553507</v>
      </c>
      <c r="X79" s="12">
        <f t="shared" si="21"/>
        <v>171247.09690430213</v>
      </c>
      <c r="Y79" s="12">
        <f t="shared" si="12"/>
        <v>38525153.567554384</v>
      </c>
    </row>
    <row r="80" spans="2:25" x14ac:dyDescent="0.4">
      <c r="P80" s="81">
        <v>46418</v>
      </c>
      <c r="Q80" s="77">
        <v>1.4591700000000001E-2</v>
      </c>
      <c r="S80" s="82">
        <f t="shared" si="10"/>
        <v>46356</v>
      </c>
      <c r="T80" s="1">
        <f t="shared" si="11"/>
        <v>71</v>
      </c>
      <c r="U80" s="12">
        <f t="shared" si="18"/>
        <v>214728.64920485564</v>
      </c>
      <c r="V80" s="12">
        <f t="shared" si="19"/>
        <v>38525153.567554384</v>
      </c>
      <c r="W80" s="12">
        <f t="shared" si="20"/>
        <v>49192.485184002348</v>
      </c>
      <c r="X80" s="12">
        <f t="shared" si="21"/>
        <v>165536.16402085329</v>
      </c>
      <c r="Y80" s="12">
        <f t="shared" si="12"/>
        <v>38475961.082370386</v>
      </c>
    </row>
    <row r="81" spans="16:25" x14ac:dyDescent="0.4">
      <c r="P81" s="81">
        <v>46446</v>
      </c>
      <c r="Q81" s="77">
        <v>1.46295E-2</v>
      </c>
      <c r="S81" s="82">
        <f t="shared" si="10"/>
        <v>46387</v>
      </c>
      <c r="T81" s="1">
        <f t="shared" si="11"/>
        <v>72</v>
      </c>
      <c r="U81" s="12">
        <f t="shared" si="18"/>
        <v>214728.64920485564</v>
      </c>
      <c r="V81" s="12">
        <f t="shared" si="19"/>
        <v>38475961.082370386</v>
      </c>
      <c r="W81" s="12">
        <f t="shared" si="20"/>
        <v>43893.030690398329</v>
      </c>
      <c r="X81" s="12">
        <f t="shared" si="21"/>
        <v>170835.61851445731</v>
      </c>
      <c r="Y81" s="12">
        <f t="shared" si="12"/>
        <v>38432068.051679984</v>
      </c>
    </row>
    <row r="82" spans="16:25" x14ac:dyDescent="0.4">
      <c r="P82" s="81">
        <v>46477</v>
      </c>
      <c r="Q82" s="77">
        <v>1.46818E-2</v>
      </c>
      <c r="S82" s="82">
        <f t="shared" si="10"/>
        <v>46418</v>
      </c>
      <c r="T82" s="1">
        <f t="shared" si="11"/>
        <v>73</v>
      </c>
      <c r="U82" s="12">
        <f t="shared" si="18"/>
        <v>214728.64920485564</v>
      </c>
      <c r="V82" s="12">
        <f t="shared" si="19"/>
        <v>38432068.051679984</v>
      </c>
      <c r="W82" s="12">
        <f t="shared" si="20"/>
        <v>44087.918429015583</v>
      </c>
      <c r="X82" s="12">
        <f t="shared" si="21"/>
        <v>170640.73077584006</v>
      </c>
      <c r="Y82" s="12">
        <f t="shared" si="12"/>
        <v>38387980.133250967</v>
      </c>
    </row>
    <row r="83" spans="16:25" x14ac:dyDescent="0.4">
      <c r="P83" s="81">
        <v>46507</v>
      </c>
      <c r="Q83" s="77">
        <v>1.4741799999999999E-2</v>
      </c>
      <c r="S83" s="82">
        <f t="shared" si="10"/>
        <v>46446</v>
      </c>
      <c r="T83" s="1">
        <f t="shared" si="11"/>
        <v>74</v>
      </c>
      <c r="U83" s="12">
        <f t="shared" si="18"/>
        <v>214728.64920485564</v>
      </c>
      <c r="V83" s="12">
        <f t="shared" si="19"/>
        <v>38387980.133250967</v>
      </c>
      <c r="W83" s="12">
        <f t="shared" si="20"/>
        <v>60778.346744691138</v>
      </c>
      <c r="X83" s="12">
        <f t="shared" si="21"/>
        <v>153950.3024601645</v>
      </c>
      <c r="Y83" s="12">
        <f t="shared" si="12"/>
        <v>38327201.786506273</v>
      </c>
    </row>
    <row r="84" spans="16:25" x14ac:dyDescent="0.4">
      <c r="P84" s="81">
        <v>46538</v>
      </c>
      <c r="Q84" s="77">
        <v>1.47793E-2</v>
      </c>
      <c r="S84" s="82">
        <f t="shared" si="10"/>
        <v>46477</v>
      </c>
      <c r="T84" s="1">
        <f t="shared" si="11"/>
        <v>75</v>
      </c>
      <c r="U84" s="12">
        <f t="shared" si="18"/>
        <v>214728.64920485564</v>
      </c>
      <c r="V84" s="12">
        <f t="shared" si="19"/>
        <v>38327201.786506273</v>
      </c>
      <c r="W84" s="12">
        <f t="shared" si="20"/>
        <v>44553.531054880848</v>
      </c>
      <c r="X84" s="12">
        <f t="shared" si="21"/>
        <v>170175.11814997479</v>
      </c>
      <c r="Y84" s="12">
        <f t="shared" si="12"/>
        <v>38282648.255451389</v>
      </c>
    </row>
    <row r="85" spans="16:25" x14ac:dyDescent="0.4">
      <c r="P85" s="81">
        <v>46568</v>
      </c>
      <c r="Q85" s="77">
        <v>1.48361E-2</v>
      </c>
      <c r="S85" s="82">
        <f t="shared" si="10"/>
        <v>46507</v>
      </c>
      <c r="T85" s="1">
        <f t="shared" si="11"/>
        <v>76</v>
      </c>
      <c r="U85" s="12">
        <f t="shared" si="18"/>
        <v>214728.64920485564</v>
      </c>
      <c r="V85" s="12">
        <f t="shared" si="19"/>
        <v>38282648.255451389</v>
      </c>
      <c r="W85" s="12">
        <f t="shared" si="20"/>
        <v>50234.490092556895</v>
      </c>
      <c r="X85" s="12">
        <f t="shared" si="21"/>
        <v>164494.15911229874</v>
      </c>
      <c r="Y85" s="12">
        <f t="shared" si="12"/>
        <v>38232413.765358835</v>
      </c>
    </row>
    <row r="86" spans="16:25" x14ac:dyDescent="0.4">
      <c r="P86" s="81">
        <v>46599</v>
      </c>
      <c r="Q86" s="77">
        <v>1.48997E-2</v>
      </c>
      <c r="S86" s="82">
        <f t="shared" si="10"/>
        <v>46538</v>
      </c>
      <c r="T86" s="1">
        <f t="shared" si="11"/>
        <v>77</v>
      </c>
      <c r="U86" s="12">
        <f t="shared" si="18"/>
        <v>214728.64920485564</v>
      </c>
      <c r="V86" s="12">
        <f t="shared" si="19"/>
        <v>38232413.765358835</v>
      </c>
      <c r="W86" s="12">
        <f t="shared" si="20"/>
        <v>44974.395661376737</v>
      </c>
      <c r="X86" s="12">
        <f t="shared" si="21"/>
        <v>169754.2535434789</v>
      </c>
      <c r="Y86" s="12">
        <f t="shared" si="12"/>
        <v>38187439.369697459</v>
      </c>
    </row>
    <row r="87" spans="16:25" x14ac:dyDescent="0.4">
      <c r="P87" s="81">
        <v>46630</v>
      </c>
      <c r="Q87" s="77">
        <v>1.49441E-2</v>
      </c>
      <c r="S87" s="82">
        <f t="shared" si="10"/>
        <v>46568</v>
      </c>
      <c r="T87" s="1">
        <f t="shared" si="11"/>
        <v>78</v>
      </c>
      <c r="U87" s="12">
        <f t="shared" si="18"/>
        <v>214728.64920485564</v>
      </c>
      <c r="V87" s="12">
        <f t="shared" si="19"/>
        <v>38187439.369697459</v>
      </c>
      <c r="W87" s="12">
        <f t="shared" si="20"/>
        <v>50643.586806493928</v>
      </c>
      <c r="X87" s="12">
        <f t="shared" si="21"/>
        <v>164085.06239836171</v>
      </c>
      <c r="Y87" s="12">
        <f t="shared" si="12"/>
        <v>38136795.782890968</v>
      </c>
    </row>
    <row r="88" spans="16:25" x14ac:dyDescent="0.4">
      <c r="P88" s="81">
        <v>46660</v>
      </c>
      <c r="Q88" s="77">
        <v>1.5003300000000001E-2</v>
      </c>
      <c r="S88" s="82">
        <f t="shared" si="10"/>
        <v>46599</v>
      </c>
      <c r="T88" s="1">
        <f t="shared" si="11"/>
        <v>79</v>
      </c>
      <c r="U88" s="12">
        <f t="shared" si="18"/>
        <v>214728.64920485564</v>
      </c>
      <c r="V88" s="12">
        <f t="shared" si="19"/>
        <v>38136795.782890968</v>
      </c>
      <c r="W88" s="12">
        <f t="shared" si="20"/>
        <v>45398.945346855238</v>
      </c>
      <c r="X88" s="12">
        <f t="shared" si="21"/>
        <v>169329.7038580004</v>
      </c>
      <c r="Y88" s="12">
        <f t="shared" si="12"/>
        <v>38091396.837544113</v>
      </c>
    </row>
    <row r="89" spans="16:25" x14ac:dyDescent="0.4">
      <c r="P89" s="81">
        <v>46691</v>
      </c>
      <c r="Q89" s="77">
        <v>1.5069600000000001E-2</v>
      </c>
      <c r="S89" s="82">
        <f t="shared" si="10"/>
        <v>46630</v>
      </c>
      <c r="T89" s="1">
        <f t="shared" si="11"/>
        <v>80</v>
      </c>
      <c r="U89" s="12">
        <f t="shared" si="18"/>
        <v>214728.64920485564</v>
      </c>
      <c r="V89" s="12">
        <f t="shared" si="19"/>
        <v>38091396.837544113</v>
      </c>
      <c r="W89" s="12">
        <f t="shared" si="20"/>
        <v>45600.519438575255</v>
      </c>
      <c r="X89" s="12">
        <f t="shared" si="21"/>
        <v>169128.12976628038</v>
      </c>
      <c r="Y89" s="12">
        <f t="shared" si="12"/>
        <v>38045796.318105541</v>
      </c>
    </row>
    <row r="90" spans="16:25" x14ac:dyDescent="0.4">
      <c r="P90" s="81">
        <v>46721</v>
      </c>
      <c r="Q90" s="77">
        <v>1.51176E-2</v>
      </c>
      <c r="S90" s="82">
        <f t="shared" si="10"/>
        <v>46660</v>
      </c>
      <c r="T90" s="1">
        <f t="shared" si="11"/>
        <v>81</v>
      </c>
      <c r="U90" s="12">
        <f t="shared" si="18"/>
        <v>214728.64920485564</v>
      </c>
      <c r="V90" s="12">
        <f t="shared" si="19"/>
        <v>38045796.318105541</v>
      </c>
      <c r="W90" s="12">
        <f t="shared" si="20"/>
        <v>51252.203392009134</v>
      </c>
      <c r="X90" s="12">
        <f t="shared" si="21"/>
        <v>163476.4458128465</v>
      </c>
      <c r="Y90" s="12">
        <f t="shared" si="12"/>
        <v>37994544.114713535</v>
      </c>
    </row>
    <row r="91" spans="16:25" x14ac:dyDescent="0.4">
      <c r="P91" s="81">
        <v>46752</v>
      </c>
      <c r="Q91" s="77">
        <v>1.5181E-2</v>
      </c>
      <c r="S91" s="82">
        <f t="shared" si="10"/>
        <v>46691</v>
      </c>
      <c r="T91" s="1">
        <f t="shared" si="11"/>
        <v>82</v>
      </c>
      <c r="U91" s="12">
        <f t="shared" si="18"/>
        <v>214728.64920485564</v>
      </c>
      <c r="V91" s="12">
        <f t="shared" si="19"/>
        <v>37994544.114713535</v>
      </c>
      <c r="W91" s="12">
        <f t="shared" si="20"/>
        <v>46030.551446720521</v>
      </c>
      <c r="X91" s="12">
        <f t="shared" si="21"/>
        <v>168698.09775813512</v>
      </c>
      <c r="Y91" s="12">
        <f t="shared" si="12"/>
        <v>37948513.563266814</v>
      </c>
    </row>
    <row r="92" spans="16:25" x14ac:dyDescent="0.4">
      <c r="P92" s="81">
        <v>46783</v>
      </c>
      <c r="Q92" s="77">
        <v>1.52432E-2</v>
      </c>
      <c r="S92" s="82">
        <f t="shared" si="10"/>
        <v>46721</v>
      </c>
      <c r="T92" s="1">
        <f t="shared" si="11"/>
        <v>83</v>
      </c>
      <c r="U92" s="12">
        <f t="shared" si="18"/>
        <v>214728.64920485564</v>
      </c>
      <c r="V92" s="12">
        <f t="shared" si="19"/>
        <v>37948513.563266814</v>
      </c>
      <c r="W92" s="12">
        <f t="shared" si="20"/>
        <v>51670.211175758654</v>
      </c>
      <c r="X92" s="12">
        <f t="shared" si="21"/>
        <v>163058.43802909699</v>
      </c>
      <c r="Y92" s="12">
        <f t="shared" si="12"/>
        <v>37896843.352091052</v>
      </c>
    </row>
    <row r="93" spans="16:25" x14ac:dyDescent="0.4">
      <c r="P93" s="81">
        <v>46812</v>
      </c>
      <c r="Q93" s="77">
        <v>1.52873E-2</v>
      </c>
      <c r="S93" s="82">
        <f t="shared" si="10"/>
        <v>46752</v>
      </c>
      <c r="T93" s="1">
        <f t="shared" si="11"/>
        <v>84</v>
      </c>
      <c r="U93" s="12">
        <f t="shared" si="18"/>
        <v>214728.64920485564</v>
      </c>
      <c r="V93" s="12">
        <f t="shared" si="19"/>
        <v>37896843.352091052</v>
      </c>
      <c r="W93" s="12">
        <f t="shared" si="20"/>
        <v>46464.348803366505</v>
      </c>
      <c r="X93" s="12">
        <f t="shared" si="21"/>
        <v>168264.30040148913</v>
      </c>
      <c r="Y93" s="12">
        <f t="shared" si="12"/>
        <v>37850379.003287688</v>
      </c>
    </row>
    <row r="94" spans="16:25" x14ac:dyDescent="0.4">
      <c r="P94" s="81">
        <v>46843</v>
      </c>
      <c r="Q94" s="77">
        <v>1.5346200000000001E-2</v>
      </c>
      <c r="S94" s="82">
        <f t="shared" si="10"/>
        <v>46783</v>
      </c>
      <c r="T94" s="1">
        <f t="shared" si="11"/>
        <v>85</v>
      </c>
      <c r="U94" s="12">
        <f t="shared" si="18"/>
        <v>214728.64920485564</v>
      </c>
      <c r="V94" s="12">
        <f t="shared" si="19"/>
        <v>37850379.003287688</v>
      </c>
      <c r="W94" s="12">
        <f t="shared" si="20"/>
        <v>46670.653351541434</v>
      </c>
      <c r="X94" s="12">
        <f t="shared" si="21"/>
        <v>168057.99585331421</v>
      </c>
      <c r="Y94" s="12">
        <f t="shared" si="12"/>
        <v>37803708.34993615</v>
      </c>
    </row>
    <row r="95" spans="16:25" x14ac:dyDescent="0.4">
      <c r="P95" s="81">
        <v>46873</v>
      </c>
      <c r="Q95" s="77">
        <v>1.5412500000000001E-2</v>
      </c>
      <c r="S95" s="82">
        <f t="shared" si="10"/>
        <v>46812</v>
      </c>
      <c r="T95" s="1">
        <f t="shared" si="11"/>
        <v>86</v>
      </c>
      <c r="U95" s="12">
        <f t="shared" si="18"/>
        <v>214728.64920485564</v>
      </c>
      <c r="V95" s="12">
        <f t="shared" si="19"/>
        <v>37803708.34993615</v>
      </c>
      <c r="W95" s="12">
        <f t="shared" si="20"/>
        <v>57706.9561819589</v>
      </c>
      <c r="X95" s="12">
        <f t="shared" si="21"/>
        <v>157021.69302289674</v>
      </c>
      <c r="Y95" s="12">
        <f t="shared" si="12"/>
        <v>37746001.393754192</v>
      </c>
    </row>
    <row r="96" spans="16:25" x14ac:dyDescent="0.4">
      <c r="P96" s="81">
        <v>46904</v>
      </c>
      <c r="Q96" s="77">
        <v>1.5458400000000001E-2</v>
      </c>
      <c r="S96" s="82">
        <f t="shared" si="10"/>
        <v>46843</v>
      </c>
      <c r="T96" s="1">
        <f t="shared" si="11"/>
        <v>87</v>
      </c>
      <c r="U96" s="12">
        <f t="shared" si="18"/>
        <v>214728.64920485564</v>
      </c>
      <c r="V96" s="12">
        <f t="shared" si="19"/>
        <v>37746001.393754192</v>
      </c>
      <c r="W96" s="12">
        <f t="shared" si="20"/>
        <v>47134.096316501847</v>
      </c>
      <c r="X96" s="12">
        <f t="shared" si="21"/>
        <v>167594.55288835379</v>
      </c>
      <c r="Y96" s="12">
        <f t="shared" si="12"/>
        <v>37698867.29743769</v>
      </c>
    </row>
    <row r="97" spans="16:25" x14ac:dyDescent="0.4">
      <c r="P97" s="81">
        <v>46934</v>
      </c>
      <c r="Q97" s="77">
        <v>1.5518799999999999E-2</v>
      </c>
      <c r="S97" s="82">
        <f t="shared" si="10"/>
        <v>46873</v>
      </c>
      <c r="T97" s="1">
        <f t="shared" si="11"/>
        <v>88</v>
      </c>
      <c r="U97" s="12">
        <f t="shared" si="18"/>
        <v>214728.64920485564</v>
      </c>
      <c r="V97" s="12">
        <f t="shared" si="19"/>
        <v>37698867.29743769</v>
      </c>
      <c r="W97" s="12">
        <f t="shared" si="20"/>
        <v>52742.899572315422</v>
      </c>
      <c r="X97" s="12">
        <f t="shared" si="21"/>
        <v>161985.74963254022</v>
      </c>
      <c r="Y97" s="12">
        <f t="shared" si="12"/>
        <v>37646124.397865377</v>
      </c>
    </row>
    <row r="98" spans="16:25" x14ac:dyDescent="0.4">
      <c r="P98" s="81">
        <v>46965</v>
      </c>
      <c r="Q98" s="77">
        <v>1.55826E-2</v>
      </c>
      <c r="S98" s="82">
        <f t="shared" si="10"/>
        <v>46904</v>
      </c>
      <c r="T98" s="1">
        <f t="shared" si="11"/>
        <v>89</v>
      </c>
      <c r="U98" s="12">
        <f t="shared" si="18"/>
        <v>214728.64920485564</v>
      </c>
      <c r="V98" s="12">
        <f t="shared" si="19"/>
        <v>37646124.397865377</v>
      </c>
      <c r="W98" s="12">
        <f t="shared" si="20"/>
        <v>47577.556281842379</v>
      </c>
      <c r="X98" s="12">
        <f t="shared" si="21"/>
        <v>167151.09292301326</v>
      </c>
      <c r="Y98" s="12">
        <f t="shared" si="12"/>
        <v>37598546.841583535</v>
      </c>
    </row>
    <row r="99" spans="16:25" x14ac:dyDescent="0.4">
      <c r="P99" s="81">
        <v>46996</v>
      </c>
      <c r="Q99" s="77">
        <v>1.56361E-2</v>
      </c>
      <c r="S99" s="82">
        <f t="shared" si="10"/>
        <v>46934</v>
      </c>
      <c r="T99" s="1">
        <f t="shared" si="11"/>
        <v>90</v>
      </c>
      <c r="U99" s="12">
        <f t="shared" si="18"/>
        <v>214728.64920485564</v>
      </c>
      <c r="V99" s="12">
        <f t="shared" si="19"/>
        <v>37598546.841583535</v>
      </c>
      <c r="W99" s="12">
        <f t="shared" si="20"/>
        <v>53173.959851044754</v>
      </c>
      <c r="X99" s="12">
        <f t="shared" si="21"/>
        <v>161554.68935381089</v>
      </c>
      <c r="Y99" s="12">
        <f t="shared" si="12"/>
        <v>37545372.881732494</v>
      </c>
    </row>
    <row r="100" spans="16:25" x14ac:dyDescent="0.4">
      <c r="P100" s="81">
        <v>47026</v>
      </c>
      <c r="Q100" s="77">
        <v>1.56992E-2</v>
      </c>
      <c r="S100" s="82">
        <f t="shared" si="10"/>
        <v>46965</v>
      </c>
      <c r="T100" s="1">
        <f t="shared" si="11"/>
        <v>91</v>
      </c>
      <c r="U100" s="12">
        <f t="shared" si="18"/>
        <v>214728.64920485564</v>
      </c>
      <c r="V100" s="12">
        <f t="shared" si="19"/>
        <v>37545372.881732494</v>
      </c>
      <c r="W100" s="12">
        <f t="shared" si="20"/>
        <v>48024.899170509481</v>
      </c>
      <c r="X100" s="12">
        <f t="shared" si="21"/>
        <v>166703.75003434616</v>
      </c>
      <c r="Y100" s="12">
        <f t="shared" si="12"/>
        <v>37497347.982561983</v>
      </c>
    </row>
    <row r="101" spans="16:25" x14ac:dyDescent="0.4">
      <c r="P101" s="81">
        <v>47057</v>
      </c>
      <c r="Q101" s="77">
        <v>1.5758299999999999E-2</v>
      </c>
      <c r="S101" s="82">
        <f t="shared" si="10"/>
        <v>46996</v>
      </c>
      <c r="T101" s="1">
        <f t="shared" si="11"/>
        <v>92</v>
      </c>
      <c r="U101" s="12">
        <f t="shared" si="18"/>
        <v>214728.64920485564</v>
      </c>
      <c r="V101" s="12">
        <f t="shared" si="19"/>
        <v>37497347.982561983</v>
      </c>
      <c r="W101" s="12">
        <f t="shared" si="20"/>
        <v>48238.132657681504</v>
      </c>
      <c r="X101" s="12">
        <f t="shared" si="21"/>
        <v>166490.51654717413</v>
      </c>
      <c r="Y101" s="12">
        <f t="shared" si="12"/>
        <v>37449109.849904299</v>
      </c>
    </row>
    <row r="102" spans="16:25" x14ac:dyDescent="0.4">
      <c r="P102" s="81">
        <v>47087</v>
      </c>
      <c r="Q102" s="77">
        <v>1.58114E-2</v>
      </c>
      <c r="S102" s="82">
        <f t="shared" si="10"/>
        <v>47026</v>
      </c>
      <c r="T102" s="1">
        <f t="shared" si="11"/>
        <v>93</v>
      </c>
      <c r="U102" s="12">
        <f t="shared" si="18"/>
        <v>214728.64920485564</v>
      </c>
      <c r="V102" s="12">
        <f t="shared" si="19"/>
        <v>37449109.849904299</v>
      </c>
      <c r="W102" s="12">
        <f t="shared" si="20"/>
        <v>53816.065698125167</v>
      </c>
      <c r="X102" s="12">
        <f t="shared" si="21"/>
        <v>160912.58350673047</v>
      </c>
      <c r="Y102" s="12">
        <f t="shared" si="12"/>
        <v>37395293.784206174</v>
      </c>
    </row>
    <row r="103" spans="16:25" x14ac:dyDescent="0.4">
      <c r="P103" s="81">
        <v>47118</v>
      </c>
      <c r="Q103" s="77">
        <v>1.58716E-2</v>
      </c>
      <c r="S103" s="82">
        <f t="shared" si="10"/>
        <v>47057</v>
      </c>
      <c r="T103" s="1">
        <f t="shared" si="11"/>
        <v>94</v>
      </c>
      <c r="U103" s="12">
        <f t="shared" si="18"/>
        <v>214728.64920485564</v>
      </c>
      <c r="V103" s="12">
        <f t="shared" si="19"/>
        <v>37395293.784206174</v>
      </c>
      <c r="W103" s="12">
        <f t="shared" si="20"/>
        <v>48691.259535026737</v>
      </c>
      <c r="X103" s="12">
        <f t="shared" si="21"/>
        <v>166037.3896698289</v>
      </c>
      <c r="Y103" s="12">
        <f t="shared" si="12"/>
        <v>37346602.524671145</v>
      </c>
    </row>
    <row r="104" spans="16:25" x14ac:dyDescent="0.4">
      <c r="P104" s="81">
        <v>47149</v>
      </c>
      <c r="Q104" s="77">
        <v>1.5931000000000001E-2</v>
      </c>
      <c r="S104" s="82">
        <f t="shared" si="10"/>
        <v>47087</v>
      </c>
      <c r="T104" s="1">
        <f t="shared" si="11"/>
        <v>95</v>
      </c>
      <c r="U104" s="12">
        <f t="shared" si="18"/>
        <v>214728.64920485564</v>
      </c>
      <c r="V104" s="12">
        <f t="shared" si="19"/>
        <v>37346602.524671145</v>
      </c>
      <c r="W104" s="12">
        <f t="shared" si="20"/>
        <v>54256.522590097826</v>
      </c>
      <c r="X104" s="12">
        <f t="shared" si="21"/>
        <v>160472.12661475781</v>
      </c>
      <c r="Y104" s="12">
        <f t="shared" si="12"/>
        <v>37292346.002081044</v>
      </c>
    </row>
    <row r="105" spans="16:25" x14ac:dyDescent="0.4">
      <c r="P105" s="81">
        <v>47177</v>
      </c>
      <c r="Q105" s="77">
        <v>1.5981800000000001E-2</v>
      </c>
      <c r="S105" s="82">
        <f t="shared" si="10"/>
        <v>47118</v>
      </c>
      <c r="T105" s="1">
        <f t="shared" si="11"/>
        <v>96</v>
      </c>
      <c r="U105" s="12">
        <f t="shared" si="18"/>
        <v>214728.64920485564</v>
      </c>
      <c r="V105" s="12">
        <f t="shared" si="19"/>
        <v>37292346.002081044</v>
      </c>
      <c r="W105" s="12">
        <f t="shared" si="20"/>
        <v>49148.353978915664</v>
      </c>
      <c r="X105" s="12">
        <f t="shared" si="21"/>
        <v>165580.29522593998</v>
      </c>
      <c r="Y105" s="12">
        <f t="shared" si="12"/>
        <v>37243197.648102127</v>
      </c>
    </row>
    <row r="106" spans="16:25" x14ac:dyDescent="0.4">
      <c r="P106" s="81">
        <v>47208</v>
      </c>
      <c r="Q106" s="77">
        <v>1.6041300000000001E-2</v>
      </c>
      <c r="S106" s="82">
        <f t="shared" si="10"/>
        <v>47149</v>
      </c>
      <c r="T106" s="1">
        <f t="shared" si="11"/>
        <v>97</v>
      </c>
      <c r="U106" s="12">
        <f t="shared" si="18"/>
        <v>214728.64920485564</v>
      </c>
      <c r="V106" s="12">
        <f t="shared" si="19"/>
        <v>37243197.648102127</v>
      </c>
      <c r="W106" s="12">
        <f t="shared" si="20"/>
        <v>49366.575674092601</v>
      </c>
      <c r="X106" s="12">
        <f t="shared" si="21"/>
        <v>165362.07353076304</v>
      </c>
      <c r="Y106" s="12">
        <f t="shared" si="12"/>
        <v>37193831.072428033</v>
      </c>
    </row>
    <row r="107" spans="16:25" x14ac:dyDescent="0.4">
      <c r="P107" s="81">
        <v>47238</v>
      </c>
      <c r="Q107" s="77">
        <v>1.60988E-2</v>
      </c>
      <c r="S107" s="82">
        <f t="shared" si="10"/>
        <v>47177</v>
      </c>
      <c r="T107" s="1">
        <f t="shared" si="11"/>
        <v>98</v>
      </c>
      <c r="U107" s="12">
        <f t="shared" si="18"/>
        <v>214728.64920485564</v>
      </c>
      <c r="V107" s="12">
        <f t="shared" si="19"/>
        <v>37193831.072428033</v>
      </c>
      <c r="W107" s="12">
        <f t="shared" si="20"/>
        <v>65567.335601569648</v>
      </c>
      <c r="X107" s="12">
        <f t="shared" si="21"/>
        <v>149161.31360328599</v>
      </c>
      <c r="Y107" s="12">
        <f t="shared" si="12"/>
        <v>37128263.736826465</v>
      </c>
    </row>
    <row r="108" spans="16:25" x14ac:dyDescent="0.4">
      <c r="P108" s="81">
        <v>47269</v>
      </c>
      <c r="Q108" s="77">
        <v>1.6147100000000001E-2</v>
      </c>
      <c r="S108" s="82">
        <f t="shared" si="10"/>
        <v>47208</v>
      </c>
      <c r="T108" s="1">
        <f t="shared" si="11"/>
        <v>99</v>
      </c>
      <c r="U108" s="12">
        <f t="shared" si="18"/>
        <v>214728.64920485564</v>
      </c>
      <c r="V108" s="12">
        <f t="shared" si="19"/>
        <v>37128263.736826465</v>
      </c>
      <c r="W108" s="12">
        <f t="shared" si="20"/>
        <v>49876.889263895544</v>
      </c>
      <c r="X108" s="12">
        <f t="shared" si="21"/>
        <v>164851.7599409601</v>
      </c>
      <c r="Y108" s="12">
        <f t="shared" si="12"/>
        <v>37078386.847562566</v>
      </c>
    </row>
    <row r="109" spans="16:25" x14ac:dyDescent="0.4">
      <c r="P109" s="81">
        <v>47299</v>
      </c>
      <c r="Q109" s="77">
        <v>1.6205399999999998E-2</v>
      </c>
      <c r="S109" s="82">
        <f t="shared" si="10"/>
        <v>47238</v>
      </c>
      <c r="T109" s="1">
        <f t="shared" si="11"/>
        <v>100</v>
      </c>
      <c r="U109" s="12">
        <f t="shared" si="18"/>
        <v>214728.64920485564</v>
      </c>
      <c r="V109" s="12">
        <f t="shared" si="19"/>
        <v>37078386.847562566</v>
      </c>
      <c r="W109" s="12">
        <f t="shared" si="20"/>
        <v>55409.000652020535</v>
      </c>
      <c r="X109" s="12">
        <f t="shared" si="21"/>
        <v>159319.6485528351</v>
      </c>
      <c r="Y109" s="12">
        <f t="shared" si="12"/>
        <v>37022977.846910544</v>
      </c>
    </row>
    <row r="110" spans="16:25" x14ac:dyDescent="0.4">
      <c r="P110" s="81">
        <v>47330</v>
      </c>
      <c r="Q110" s="77">
        <v>1.6267299999999998E-2</v>
      </c>
      <c r="S110" s="82">
        <f t="shared" si="10"/>
        <v>47269</v>
      </c>
      <c r="T110" s="1">
        <f t="shared" si="11"/>
        <v>101</v>
      </c>
      <c r="U110" s="12">
        <f t="shared" si="18"/>
        <v>214728.64920485564</v>
      </c>
      <c r="V110" s="12">
        <f t="shared" si="19"/>
        <v>37022977.846910544</v>
      </c>
      <c r="W110" s="12">
        <f t="shared" si="20"/>
        <v>50344.36504925997</v>
      </c>
      <c r="X110" s="12">
        <f t="shared" si="21"/>
        <v>164384.28415559567</v>
      </c>
      <c r="Y110" s="12">
        <f t="shared" si="12"/>
        <v>36972633.481861286</v>
      </c>
    </row>
    <row r="111" spans="16:25" x14ac:dyDescent="0.4">
      <c r="P111" s="81">
        <v>47361</v>
      </c>
      <c r="Q111" s="77">
        <v>1.6316000000000001E-2</v>
      </c>
      <c r="S111" s="82">
        <f t="shared" si="10"/>
        <v>47299</v>
      </c>
      <c r="T111" s="1">
        <f t="shared" si="11"/>
        <v>102</v>
      </c>
      <c r="U111" s="12">
        <f t="shared" si="18"/>
        <v>214728.64920485564</v>
      </c>
      <c r="V111" s="12">
        <f t="shared" si="19"/>
        <v>36972633.481861286</v>
      </c>
      <c r="W111" s="12">
        <f t="shared" si="20"/>
        <v>55863.405238877982</v>
      </c>
      <c r="X111" s="12">
        <f t="shared" si="21"/>
        <v>158865.24396597766</v>
      </c>
      <c r="Y111" s="12">
        <f t="shared" si="12"/>
        <v>36916770.076622412</v>
      </c>
    </row>
    <row r="112" spans="16:25" x14ac:dyDescent="0.4">
      <c r="P112" s="81">
        <v>47391</v>
      </c>
      <c r="Q112" s="77">
        <v>1.6370599999999999E-2</v>
      </c>
      <c r="S112" s="82">
        <f t="shared" si="10"/>
        <v>47330</v>
      </c>
      <c r="T112" s="1">
        <f t="shared" si="11"/>
        <v>103</v>
      </c>
      <c r="U112" s="12">
        <f t="shared" si="18"/>
        <v>214728.64920485564</v>
      </c>
      <c r="V112" s="12">
        <f t="shared" si="19"/>
        <v>36916770.076622412</v>
      </c>
      <c r="W112" s="12">
        <f t="shared" si="20"/>
        <v>50815.934039814107</v>
      </c>
      <c r="X112" s="12">
        <f t="shared" si="21"/>
        <v>163912.71516504153</v>
      </c>
      <c r="Y112" s="12">
        <f t="shared" si="12"/>
        <v>36865954.142582595</v>
      </c>
    </row>
    <row r="113" spans="16:25" x14ac:dyDescent="0.4">
      <c r="P113" s="81">
        <v>47422</v>
      </c>
      <c r="Q113" s="77">
        <v>1.6439599999999999E-2</v>
      </c>
      <c r="S113" s="82">
        <f t="shared" si="10"/>
        <v>47361</v>
      </c>
      <c r="T113" s="1">
        <f t="shared" si="11"/>
        <v>104</v>
      </c>
      <c r="U113" s="12">
        <f t="shared" si="18"/>
        <v>214728.64920485564</v>
      </c>
      <c r="V113" s="12">
        <f t="shared" si="19"/>
        <v>36865954.142582595</v>
      </c>
      <c r="W113" s="12">
        <f t="shared" si="20"/>
        <v>51041.559892369085</v>
      </c>
      <c r="X113" s="12">
        <f t="shared" si="21"/>
        <v>163687.08931248655</v>
      </c>
      <c r="Y113" s="12">
        <f t="shared" si="12"/>
        <v>36814912.582690224</v>
      </c>
    </row>
    <row r="114" spans="16:25" x14ac:dyDescent="0.4">
      <c r="P114" s="81">
        <v>47452</v>
      </c>
      <c r="Q114" s="77">
        <v>1.6491499999999999E-2</v>
      </c>
      <c r="S114" s="82">
        <f t="shared" si="10"/>
        <v>47391</v>
      </c>
      <c r="T114" s="1">
        <f t="shared" si="11"/>
        <v>105</v>
      </c>
      <c r="U114" s="12">
        <f t="shared" si="18"/>
        <v>214728.64920485564</v>
      </c>
      <c r="V114" s="12">
        <f t="shared" si="19"/>
        <v>36814912.582690224</v>
      </c>
      <c r="W114" s="12">
        <f t="shared" si="20"/>
        <v>56541.105655799503</v>
      </c>
      <c r="X114" s="12">
        <f t="shared" si="21"/>
        <v>158187.54354905614</v>
      </c>
      <c r="Y114" s="12">
        <f t="shared" si="12"/>
        <v>36758371.477034427</v>
      </c>
    </row>
    <row r="115" spans="16:25" x14ac:dyDescent="0.4">
      <c r="P115" s="81">
        <v>47483</v>
      </c>
      <c r="Q115" s="77">
        <v>1.6542100000000001E-2</v>
      </c>
      <c r="S115" s="82">
        <f t="shared" si="10"/>
        <v>47422</v>
      </c>
      <c r="T115" s="1">
        <f t="shared" si="11"/>
        <v>106</v>
      </c>
      <c r="U115" s="12">
        <f t="shared" si="18"/>
        <v>214728.64920485564</v>
      </c>
      <c r="V115" s="12">
        <f t="shared" si="19"/>
        <v>36758371.477034427</v>
      </c>
      <c r="W115" s="12">
        <f t="shared" si="20"/>
        <v>51519.233501899173</v>
      </c>
      <c r="X115" s="12">
        <f t="shared" si="21"/>
        <v>163209.41570295647</v>
      </c>
      <c r="Y115" s="12">
        <f t="shared" si="12"/>
        <v>36706852.243532531</v>
      </c>
    </row>
    <row r="116" spans="16:25" x14ac:dyDescent="0.4">
      <c r="P116" s="81">
        <v>47514</v>
      </c>
      <c r="Q116" s="77">
        <v>1.6601899999999999E-2</v>
      </c>
      <c r="S116" s="82">
        <f t="shared" si="10"/>
        <v>47452</v>
      </c>
      <c r="T116" s="1">
        <f t="shared" si="11"/>
        <v>107</v>
      </c>
      <c r="U116" s="12">
        <f t="shared" si="18"/>
        <v>214728.64920485564</v>
      </c>
      <c r="V116" s="12">
        <f t="shared" si="19"/>
        <v>36706852.243532531</v>
      </c>
      <c r="W116" s="12">
        <f t="shared" si="20"/>
        <v>57005.422923103586</v>
      </c>
      <c r="X116" s="12">
        <f t="shared" si="21"/>
        <v>157723.22628175205</v>
      </c>
      <c r="Y116" s="12">
        <f t="shared" si="12"/>
        <v>36649846.820609428</v>
      </c>
    </row>
    <row r="117" spans="16:25" x14ac:dyDescent="0.4">
      <c r="P117" s="81">
        <v>47542</v>
      </c>
      <c r="Q117" s="77">
        <v>1.6643700000000001E-2</v>
      </c>
      <c r="S117" s="82">
        <f t="shared" si="10"/>
        <v>47483</v>
      </c>
      <c r="T117" s="1">
        <f t="shared" si="11"/>
        <v>108</v>
      </c>
      <c r="U117" s="12">
        <f t="shared" si="18"/>
        <v>214728.64920485564</v>
      </c>
      <c r="V117" s="12">
        <f t="shared" si="19"/>
        <v>36649846.820609428</v>
      </c>
      <c r="W117" s="12">
        <f t="shared" si="20"/>
        <v>52001.089608488517</v>
      </c>
      <c r="X117" s="12">
        <f t="shared" si="21"/>
        <v>162727.55959636712</v>
      </c>
      <c r="Y117" s="12">
        <f t="shared" si="12"/>
        <v>36597845.731000938</v>
      </c>
    </row>
    <row r="118" spans="16:25" x14ac:dyDescent="0.4">
      <c r="P118" s="81">
        <v>47573</v>
      </c>
      <c r="Q118" s="77">
        <v>1.66912E-2</v>
      </c>
      <c r="S118" s="82">
        <f t="shared" si="10"/>
        <v>47514</v>
      </c>
      <c r="T118" s="1">
        <f t="shared" si="11"/>
        <v>109</v>
      </c>
      <c r="U118" s="12">
        <f t="shared" si="18"/>
        <v>214728.64920485564</v>
      </c>
      <c r="V118" s="12">
        <f t="shared" si="19"/>
        <v>36597845.731000938</v>
      </c>
      <c r="W118" s="12">
        <f t="shared" si="20"/>
        <v>52231.97762419458</v>
      </c>
      <c r="X118" s="12">
        <f t="shared" si="21"/>
        <v>162496.67158066106</v>
      </c>
      <c r="Y118" s="12">
        <f t="shared" si="12"/>
        <v>36545613.753376745</v>
      </c>
    </row>
    <row r="119" spans="16:25" x14ac:dyDescent="0.4">
      <c r="P119" s="81">
        <v>47603</v>
      </c>
      <c r="Q119" s="77">
        <v>1.6739500000000001E-2</v>
      </c>
      <c r="S119" s="82">
        <f t="shared" si="10"/>
        <v>47542</v>
      </c>
      <c r="T119" s="1">
        <f t="shared" si="11"/>
        <v>110</v>
      </c>
      <c r="U119" s="12">
        <f t="shared" si="18"/>
        <v>214728.64920485564</v>
      </c>
      <c r="V119" s="12">
        <f t="shared" si="19"/>
        <v>36545613.753376745</v>
      </c>
      <c r="W119" s="12">
        <f t="shared" si="20"/>
        <v>68166.931933063606</v>
      </c>
      <c r="X119" s="12">
        <f t="shared" si="21"/>
        <v>146561.71727179203</v>
      </c>
      <c r="Y119" s="12">
        <f t="shared" si="12"/>
        <v>36477446.821443684</v>
      </c>
    </row>
    <row r="120" spans="16:25" x14ac:dyDescent="0.4">
      <c r="P120" s="81">
        <v>47634</v>
      </c>
      <c r="Q120" s="77">
        <v>1.6771000000000001E-2</v>
      </c>
      <c r="S120" s="82">
        <f t="shared" ref="S120:S129" si="22">EOMONTH(S119,1)</f>
        <v>47573</v>
      </c>
      <c r="T120" s="1">
        <f t="shared" ref="T120:T129" si="23">T119+1</f>
        <v>111</v>
      </c>
      <c r="U120" s="12">
        <f t="shared" si="18"/>
        <v>214728.64920485564</v>
      </c>
      <c r="V120" s="12">
        <f t="shared" si="19"/>
        <v>36477446.821443684</v>
      </c>
      <c r="W120" s="12">
        <f t="shared" si="20"/>
        <v>52766.556140339933</v>
      </c>
      <c r="X120" s="12">
        <f t="shared" si="21"/>
        <v>161962.09306451571</v>
      </c>
      <c r="Y120" s="12">
        <f t="shared" ref="Y120:Y129" si="24">V120-W120</f>
        <v>36424680.265303344</v>
      </c>
    </row>
    <row r="121" spans="16:25" x14ac:dyDescent="0.4">
      <c r="P121" s="81">
        <v>47664</v>
      </c>
      <c r="Q121" s="77">
        <v>1.6806100000000001E-2</v>
      </c>
      <c r="S121" s="82">
        <f t="shared" si="22"/>
        <v>47603</v>
      </c>
      <c r="T121" s="1">
        <f t="shared" si="23"/>
        <v>112</v>
      </c>
      <c r="U121" s="12">
        <f t="shared" si="18"/>
        <v>214728.64920485564</v>
      </c>
      <c r="V121" s="12">
        <f t="shared" si="19"/>
        <v>36424680.265303344</v>
      </c>
      <c r="W121" s="12">
        <f t="shared" si="20"/>
        <v>58217.868884891359</v>
      </c>
      <c r="X121" s="12">
        <f t="shared" si="21"/>
        <v>156510.78031996428</v>
      </c>
      <c r="Y121" s="12">
        <f t="shared" si="24"/>
        <v>36366462.396418452</v>
      </c>
    </row>
    <row r="122" spans="16:25" x14ac:dyDescent="0.4">
      <c r="P122" s="81">
        <v>47695</v>
      </c>
      <c r="Q122" s="77">
        <v>1.6849099999999999E-2</v>
      </c>
      <c r="S122" s="82">
        <f t="shared" si="22"/>
        <v>47634</v>
      </c>
      <c r="T122" s="1">
        <f t="shared" si="23"/>
        <v>113</v>
      </c>
      <c r="U122" s="12">
        <f t="shared" si="18"/>
        <v>214728.64920485564</v>
      </c>
      <c r="V122" s="12">
        <f t="shared" si="19"/>
        <v>36366462.396418452</v>
      </c>
      <c r="W122" s="12">
        <f t="shared" si="20"/>
        <v>53259.333769833494</v>
      </c>
      <c r="X122" s="12">
        <f t="shared" si="21"/>
        <v>161469.31543502214</v>
      </c>
      <c r="Y122" s="12">
        <f t="shared" si="24"/>
        <v>36313203.062648617</v>
      </c>
    </row>
    <row r="123" spans="16:25" x14ac:dyDescent="0.4">
      <c r="P123" s="81">
        <v>47726</v>
      </c>
      <c r="Q123" s="77">
        <v>1.6870599999999999E-2</v>
      </c>
      <c r="S123" s="82">
        <f t="shared" si="22"/>
        <v>47664</v>
      </c>
      <c r="T123" s="1">
        <f t="shared" si="23"/>
        <v>114</v>
      </c>
      <c r="U123" s="12">
        <f t="shared" si="18"/>
        <v>214728.64920485564</v>
      </c>
      <c r="V123" s="12">
        <f t="shared" si="19"/>
        <v>36313203.062648617</v>
      </c>
      <c r="W123" s="12">
        <f t="shared" si="20"/>
        <v>58696.867845164961</v>
      </c>
      <c r="X123" s="12">
        <f t="shared" si="21"/>
        <v>156031.78135969068</v>
      </c>
      <c r="Y123" s="12">
        <f t="shared" si="24"/>
        <v>36254506.194803454</v>
      </c>
    </row>
    <row r="124" spans="16:25" x14ac:dyDescent="0.4">
      <c r="P124" s="81">
        <v>47756</v>
      </c>
      <c r="Q124" s="77">
        <v>1.6892399999999998E-2</v>
      </c>
      <c r="S124" s="82">
        <f t="shared" si="22"/>
        <v>47695</v>
      </c>
      <c r="T124" s="1">
        <f t="shared" si="23"/>
        <v>115</v>
      </c>
      <c r="U124" s="12">
        <f t="shared" si="18"/>
        <v>214728.64920485564</v>
      </c>
      <c r="V124" s="12">
        <f t="shared" si="19"/>
        <v>36254506.194803454</v>
      </c>
      <c r="W124" s="12">
        <f t="shared" si="20"/>
        <v>53756.426146771963</v>
      </c>
      <c r="X124" s="12">
        <f t="shared" si="21"/>
        <v>160972.22305808368</v>
      </c>
      <c r="Y124" s="12">
        <f t="shared" si="24"/>
        <v>36200749.768656678</v>
      </c>
    </row>
    <row r="125" spans="16:25" x14ac:dyDescent="0.4">
      <c r="P125" s="81">
        <v>47787</v>
      </c>
      <c r="Q125" s="77">
        <v>1.6918800000000001E-2</v>
      </c>
      <c r="S125" s="82">
        <f t="shared" si="22"/>
        <v>47726</v>
      </c>
      <c r="T125" s="1">
        <f t="shared" si="23"/>
        <v>116</v>
      </c>
      <c r="U125" s="12">
        <f t="shared" si="18"/>
        <v>214728.64920485564</v>
      </c>
      <c r="V125" s="12">
        <f t="shared" si="19"/>
        <v>36200749.768656678</v>
      </c>
      <c r="W125" s="12">
        <f t="shared" si="20"/>
        <v>53995.107963978575</v>
      </c>
      <c r="X125" s="12">
        <f t="shared" si="21"/>
        <v>160733.54124087706</v>
      </c>
      <c r="Y125" s="12">
        <f t="shared" si="24"/>
        <v>36146754.660692699</v>
      </c>
    </row>
    <row r="126" spans="16:25" x14ac:dyDescent="0.4">
      <c r="P126" s="81">
        <v>47817</v>
      </c>
      <c r="Q126" s="77">
        <v>1.6924399999999999E-2</v>
      </c>
      <c r="S126" s="82">
        <f t="shared" si="22"/>
        <v>47756</v>
      </c>
      <c r="T126" s="1">
        <f t="shared" si="23"/>
        <v>117</v>
      </c>
      <c r="U126" s="12">
        <f t="shared" si="18"/>
        <v>214728.64920485564</v>
      </c>
      <c r="V126" s="12">
        <f t="shared" si="19"/>
        <v>36146754.660692699</v>
      </c>
      <c r="W126" s="12">
        <f t="shared" si="20"/>
        <v>59412.068886969209</v>
      </c>
      <c r="X126" s="12">
        <f t="shared" si="21"/>
        <v>155316.58031788643</v>
      </c>
      <c r="Y126" s="12">
        <f t="shared" si="24"/>
        <v>36087342.591805734</v>
      </c>
    </row>
    <row r="127" spans="16:25" x14ac:dyDescent="0.4">
      <c r="P127" s="81">
        <v>47848</v>
      </c>
      <c r="Q127" s="77">
        <v>1.6935100000000002E-2</v>
      </c>
      <c r="S127" s="82">
        <f t="shared" si="22"/>
        <v>47787</v>
      </c>
      <c r="T127" s="1">
        <f t="shared" si="23"/>
        <v>118</v>
      </c>
      <c r="U127" s="12">
        <f t="shared" si="18"/>
        <v>214728.64920485564</v>
      </c>
      <c r="V127" s="12">
        <f t="shared" si="19"/>
        <v>36087342.591805734</v>
      </c>
      <c r="W127" s="12">
        <f t="shared" si="20"/>
        <v>54498.642759635346</v>
      </c>
      <c r="X127" s="12">
        <f t="shared" si="21"/>
        <v>160230.00644522029</v>
      </c>
      <c r="Y127" s="12">
        <f t="shared" si="24"/>
        <v>36032843.949046098</v>
      </c>
    </row>
    <row r="128" spans="16:25" x14ac:dyDescent="0.4">
      <c r="S128" s="82">
        <f t="shared" si="22"/>
        <v>47817</v>
      </c>
      <c r="T128" s="1">
        <f t="shared" si="23"/>
        <v>119</v>
      </c>
      <c r="U128" s="12">
        <f t="shared" si="18"/>
        <v>214728.64920485564</v>
      </c>
      <c r="V128" s="12">
        <f t="shared" si="19"/>
        <v>36032843.949046098</v>
      </c>
      <c r="W128" s="12">
        <f t="shared" si="20"/>
        <v>59901.52422979605</v>
      </c>
      <c r="X128" s="12">
        <f t="shared" si="21"/>
        <v>154827.12497505959</v>
      </c>
      <c r="Y128" s="12">
        <f t="shared" si="24"/>
        <v>35972942.424816303</v>
      </c>
    </row>
    <row r="129" spans="19:25" x14ac:dyDescent="0.4">
      <c r="S129" s="82">
        <f t="shared" si="22"/>
        <v>47848</v>
      </c>
      <c r="T129" s="1">
        <f t="shared" si="23"/>
        <v>120</v>
      </c>
      <c r="U129" s="12">
        <f t="shared" si="18"/>
        <v>214728.64920485564</v>
      </c>
      <c r="V129" s="12">
        <f t="shared" si="19"/>
        <v>35972942.424816303</v>
      </c>
      <c r="W129" s="12">
        <f t="shared" si="20"/>
        <v>55006.58649218973</v>
      </c>
      <c r="X129" s="12">
        <f t="shared" si="21"/>
        <v>159722.06271266591</v>
      </c>
      <c r="Y129" s="12">
        <f t="shared" si="24"/>
        <v>35917935.838324115</v>
      </c>
    </row>
    <row r="130" spans="19:25" x14ac:dyDescent="0.4">
      <c r="S130" s="82"/>
      <c r="U130" s="12"/>
      <c r="V130" s="12"/>
      <c r="W130" s="12"/>
      <c r="X130" s="12"/>
      <c r="Y130" s="12"/>
    </row>
    <row r="131" spans="19:25" x14ac:dyDescent="0.4">
      <c r="S131" s="82"/>
      <c r="U131" s="12"/>
      <c r="V131" s="12"/>
      <c r="W131" s="12"/>
      <c r="X131" s="12"/>
      <c r="Y131" s="12"/>
    </row>
    <row r="132" spans="19:25" x14ac:dyDescent="0.4">
      <c r="S132" s="82"/>
      <c r="U132" s="12"/>
      <c r="V132" s="12"/>
      <c r="W132" s="12"/>
      <c r="X132" s="12"/>
      <c r="Y132" s="12"/>
    </row>
  </sheetData>
  <dataValidations count="1">
    <dataValidation type="list" allowBlank="1" showInputMessage="1" showErrorMessage="1" sqref="H13" xr:uid="{487E7EE6-B6F7-4932-9546-E706AF31BF83}">
      <formula1>"Fixed,Floating"</formula1>
    </dataValidation>
  </dataValidations>
  <pageMargins left="0.7" right="0.7" top="0.75" bottom="0.75" header="0.3" footer="0.3"/>
  <pageSetup orientation="portrait" horizontalDpi="90" verticalDpi="9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98D2F-F956-4021-B879-BD147D504773}">
  <dimension ref="B1:FJ280"/>
  <sheetViews>
    <sheetView showGridLines="0" tabSelected="1" zoomScale="85" zoomScaleNormal="100" workbookViewId="0">
      <pane xSplit="3" ySplit="6" topLeftCell="D10" activePane="bottomRight" state="frozen"/>
      <selection activeCell="E32" sqref="E32"/>
      <selection pane="topRight" activeCell="E32" sqref="E32"/>
      <selection pane="bottomLeft" activeCell="E32" sqref="E32"/>
      <selection pane="bottomRight" activeCell="H50" sqref="H50"/>
    </sheetView>
  </sheetViews>
  <sheetFormatPr defaultColWidth="13.1796875" defaultRowHeight="14.5" outlineLevelRow="1" outlineLevelCol="1" x14ac:dyDescent="0.4"/>
  <cols>
    <col min="1" max="1" width="8.7265625" style="1" customWidth="1"/>
    <col min="2" max="2" width="35.7265625" style="1" bestFit="1" customWidth="1"/>
    <col min="3" max="3" width="13.1796875" style="1"/>
    <col min="4" max="4" width="5.7265625" style="1" customWidth="1"/>
    <col min="5" max="6" width="14" style="1" customWidth="1"/>
    <col min="7" max="7" width="5.7265625" style="1" customWidth="1"/>
    <col min="8" max="141" width="13.1796875" style="1" customWidth="1" outlineLevel="1"/>
    <col min="142" max="16384" width="13.1796875" style="1"/>
  </cols>
  <sheetData>
    <row r="1" spans="2:166" x14ac:dyDescent="0.4">
      <c r="B1" s="15"/>
    </row>
    <row r="2" spans="2:166" ht="15" thickBot="1" x14ac:dyDescent="0.45">
      <c r="B2" s="45" t="s">
        <v>26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46"/>
      <c r="CH2" s="46"/>
      <c r="CI2" s="46"/>
      <c r="CJ2" s="46"/>
      <c r="CK2" s="46"/>
      <c r="CL2" s="46"/>
      <c r="CM2" s="46"/>
      <c r="CN2" s="46"/>
      <c r="CO2" s="46"/>
      <c r="CP2" s="46"/>
      <c r="CQ2" s="46"/>
      <c r="CR2" s="46"/>
      <c r="CS2" s="46"/>
      <c r="CT2" s="46"/>
      <c r="CU2" s="46"/>
      <c r="CV2" s="46"/>
      <c r="CW2" s="46"/>
      <c r="CX2" s="46"/>
      <c r="CY2" s="46"/>
      <c r="CZ2" s="46"/>
      <c r="DA2" s="46"/>
      <c r="DB2" s="46"/>
      <c r="DC2" s="46"/>
      <c r="DD2" s="46"/>
      <c r="DE2" s="46"/>
      <c r="DF2" s="46"/>
      <c r="DG2" s="46"/>
      <c r="DH2" s="46"/>
      <c r="DI2" s="46"/>
      <c r="DJ2" s="46"/>
      <c r="DK2" s="46"/>
      <c r="DL2" s="46"/>
      <c r="DM2" s="46"/>
      <c r="DN2" s="46"/>
      <c r="DO2" s="46"/>
      <c r="DP2" s="46"/>
      <c r="DQ2" s="46"/>
      <c r="DR2" s="46"/>
      <c r="DS2" s="46"/>
      <c r="DT2" s="46"/>
      <c r="DU2" s="46"/>
      <c r="DV2" s="46"/>
      <c r="DW2" s="46"/>
      <c r="DX2" s="46"/>
      <c r="DY2" s="46"/>
      <c r="DZ2" s="46"/>
      <c r="EA2" s="46"/>
      <c r="EB2" s="46"/>
      <c r="EC2" s="46"/>
      <c r="ED2" s="46"/>
      <c r="EE2" s="46"/>
      <c r="EF2" s="46"/>
      <c r="EG2" s="46"/>
      <c r="EH2" s="46"/>
      <c r="EI2" s="46"/>
      <c r="EJ2" s="46"/>
      <c r="EK2" s="46"/>
      <c r="EL2" s="46"/>
      <c r="EM2" s="46"/>
      <c r="EN2" s="46"/>
      <c r="EO2" s="46"/>
      <c r="EP2" s="46"/>
      <c r="EQ2" s="46"/>
      <c r="ER2" s="46"/>
      <c r="ES2" s="46"/>
      <c r="ET2" s="46"/>
      <c r="EU2" s="46"/>
      <c r="EV2" s="46"/>
      <c r="EW2" s="46"/>
    </row>
    <row r="3" spans="2:166" ht="15" thickTop="1" x14ac:dyDescent="0.4"/>
    <row r="4" spans="2:166" x14ac:dyDescent="0.4">
      <c r="B4" s="16" t="s">
        <v>37</v>
      </c>
      <c r="C4" s="2">
        <f>'Inputs &amp; Drivers'!E12</f>
        <v>44196</v>
      </c>
      <c r="H4" s="3">
        <v>0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4">
        <f>I4+1</f>
        <v>2</v>
      </c>
      <c r="V4" s="4">
        <f t="shared" ref="V4:AF4" si="0">J4+1</f>
        <v>2</v>
      </c>
      <c r="W4" s="4">
        <f t="shared" si="0"/>
        <v>2</v>
      </c>
      <c r="X4" s="4">
        <f t="shared" si="0"/>
        <v>2</v>
      </c>
      <c r="Y4" s="4">
        <f t="shared" si="0"/>
        <v>2</v>
      </c>
      <c r="Z4" s="4">
        <f t="shared" si="0"/>
        <v>2</v>
      </c>
      <c r="AA4" s="4">
        <f t="shared" si="0"/>
        <v>2</v>
      </c>
      <c r="AB4" s="4">
        <f t="shared" si="0"/>
        <v>2</v>
      </c>
      <c r="AC4" s="4">
        <f t="shared" si="0"/>
        <v>2</v>
      </c>
      <c r="AD4" s="4">
        <f t="shared" si="0"/>
        <v>2</v>
      </c>
      <c r="AE4" s="4">
        <f t="shared" si="0"/>
        <v>2</v>
      </c>
      <c r="AF4" s="4">
        <f t="shared" si="0"/>
        <v>2</v>
      </c>
      <c r="AG4" s="4">
        <f t="shared" ref="AG4:BL4" si="1">U4+1</f>
        <v>3</v>
      </c>
      <c r="AH4" s="4">
        <f t="shared" si="1"/>
        <v>3</v>
      </c>
      <c r="AI4" s="4">
        <f t="shared" si="1"/>
        <v>3</v>
      </c>
      <c r="AJ4" s="4">
        <f t="shared" si="1"/>
        <v>3</v>
      </c>
      <c r="AK4" s="4">
        <f t="shared" si="1"/>
        <v>3</v>
      </c>
      <c r="AL4" s="4">
        <f t="shared" si="1"/>
        <v>3</v>
      </c>
      <c r="AM4" s="4">
        <f t="shared" si="1"/>
        <v>3</v>
      </c>
      <c r="AN4" s="4">
        <f t="shared" si="1"/>
        <v>3</v>
      </c>
      <c r="AO4" s="4">
        <f t="shared" si="1"/>
        <v>3</v>
      </c>
      <c r="AP4" s="4">
        <f t="shared" si="1"/>
        <v>3</v>
      </c>
      <c r="AQ4" s="4">
        <f t="shared" si="1"/>
        <v>3</v>
      </c>
      <c r="AR4" s="4">
        <f t="shared" si="1"/>
        <v>3</v>
      </c>
      <c r="AS4" s="4">
        <f t="shared" si="1"/>
        <v>4</v>
      </c>
      <c r="AT4" s="4">
        <f t="shared" si="1"/>
        <v>4</v>
      </c>
      <c r="AU4" s="4">
        <f t="shared" si="1"/>
        <v>4</v>
      </c>
      <c r="AV4" s="4">
        <f t="shared" si="1"/>
        <v>4</v>
      </c>
      <c r="AW4" s="4">
        <f t="shared" si="1"/>
        <v>4</v>
      </c>
      <c r="AX4" s="4">
        <f t="shared" si="1"/>
        <v>4</v>
      </c>
      <c r="AY4" s="4">
        <f t="shared" si="1"/>
        <v>4</v>
      </c>
      <c r="AZ4" s="4">
        <f t="shared" si="1"/>
        <v>4</v>
      </c>
      <c r="BA4" s="4">
        <f t="shared" si="1"/>
        <v>4</v>
      </c>
      <c r="BB4" s="4">
        <f t="shared" si="1"/>
        <v>4</v>
      </c>
      <c r="BC4" s="4">
        <f t="shared" si="1"/>
        <v>4</v>
      </c>
      <c r="BD4" s="4">
        <f t="shared" si="1"/>
        <v>4</v>
      </c>
      <c r="BE4" s="4">
        <f t="shared" si="1"/>
        <v>5</v>
      </c>
      <c r="BF4" s="4">
        <f t="shared" si="1"/>
        <v>5</v>
      </c>
      <c r="BG4" s="4">
        <f t="shared" si="1"/>
        <v>5</v>
      </c>
      <c r="BH4" s="4">
        <f t="shared" si="1"/>
        <v>5</v>
      </c>
      <c r="BI4" s="4">
        <f t="shared" si="1"/>
        <v>5</v>
      </c>
      <c r="BJ4" s="4">
        <f t="shared" si="1"/>
        <v>5</v>
      </c>
      <c r="BK4" s="4">
        <f t="shared" si="1"/>
        <v>5</v>
      </c>
      <c r="BL4" s="4">
        <f t="shared" si="1"/>
        <v>5</v>
      </c>
      <c r="BM4" s="4">
        <f t="shared" ref="BM4:CR4" si="2">BA4+1</f>
        <v>5</v>
      </c>
      <c r="BN4" s="4">
        <f t="shared" si="2"/>
        <v>5</v>
      </c>
      <c r="BO4" s="4">
        <f t="shared" si="2"/>
        <v>5</v>
      </c>
      <c r="BP4" s="4">
        <f t="shared" si="2"/>
        <v>5</v>
      </c>
      <c r="BQ4" s="4">
        <f t="shared" si="2"/>
        <v>6</v>
      </c>
      <c r="BR4" s="4">
        <f t="shared" si="2"/>
        <v>6</v>
      </c>
      <c r="BS4" s="4">
        <f t="shared" si="2"/>
        <v>6</v>
      </c>
      <c r="BT4" s="4">
        <f t="shared" si="2"/>
        <v>6</v>
      </c>
      <c r="BU4" s="4">
        <f t="shared" si="2"/>
        <v>6</v>
      </c>
      <c r="BV4" s="4">
        <f t="shared" si="2"/>
        <v>6</v>
      </c>
      <c r="BW4" s="4">
        <f t="shared" si="2"/>
        <v>6</v>
      </c>
      <c r="BX4" s="4">
        <f t="shared" si="2"/>
        <v>6</v>
      </c>
      <c r="BY4" s="4">
        <f t="shared" si="2"/>
        <v>6</v>
      </c>
      <c r="BZ4" s="4">
        <f t="shared" si="2"/>
        <v>6</v>
      </c>
      <c r="CA4" s="4">
        <f t="shared" si="2"/>
        <v>6</v>
      </c>
      <c r="CB4" s="4">
        <f t="shared" si="2"/>
        <v>6</v>
      </c>
      <c r="CC4" s="4">
        <f t="shared" si="2"/>
        <v>7</v>
      </c>
      <c r="CD4" s="4">
        <f t="shared" si="2"/>
        <v>7</v>
      </c>
      <c r="CE4" s="4">
        <f t="shared" si="2"/>
        <v>7</v>
      </c>
      <c r="CF4" s="4">
        <f t="shared" si="2"/>
        <v>7</v>
      </c>
      <c r="CG4" s="4">
        <f t="shared" si="2"/>
        <v>7</v>
      </c>
      <c r="CH4" s="4">
        <f t="shared" si="2"/>
        <v>7</v>
      </c>
      <c r="CI4" s="4">
        <f t="shared" si="2"/>
        <v>7</v>
      </c>
      <c r="CJ4" s="4">
        <f t="shared" si="2"/>
        <v>7</v>
      </c>
      <c r="CK4" s="4">
        <f t="shared" si="2"/>
        <v>7</v>
      </c>
      <c r="CL4" s="4">
        <f t="shared" si="2"/>
        <v>7</v>
      </c>
      <c r="CM4" s="4">
        <f t="shared" si="2"/>
        <v>7</v>
      </c>
      <c r="CN4" s="4">
        <f t="shared" si="2"/>
        <v>7</v>
      </c>
      <c r="CO4" s="4">
        <f t="shared" si="2"/>
        <v>8</v>
      </c>
      <c r="CP4" s="4">
        <f t="shared" si="2"/>
        <v>8</v>
      </c>
      <c r="CQ4" s="4">
        <f t="shared" si="2"/>
        <v>8</v>
      </c>
      <c r="CR4" s="4">
        <f t="shared" si="2"/>
        <v>8</v>
      </c>
      <c r="CS4" s="4">
        <f t="shared" ref="CS4:DX4" si="3">CG4+1</f>
        <v>8</v>
      </c>
      <c r="CT4" s="4">
        <f t="shared" si="3"/>
        <v>8</v>
      </c>
      <c r="CU4" s="4">
        <f t="shared" si="3"/>
        <v>8</v>
      </c>
      <c r="CV4" s="4">
        <f t="shared" si="3"/>
        <v>8</v>
      </c>
      <c r="CW4" s="4">
        <f t="shared" si="3"/>
        <v>8</v>
      </c>
      <c r="CX4" s="4">
        <f t="shared" si="3"/>
        <v>8</v>
      </c>
      <c r="CY4" s="4">
        <f t="shared" si="3"/>
        <v>8</v>
      </c>
      <c r="CZ4" s="4">
        <f t="shared" si="3"/>
        <v>8</v>
      </c>
      <c r="DA4" s="4">
        <f t="shared" si="3"/>
        <v>9</v>
      </c>
      <c r="DB4" s="4">
        <f t="shared" si="3"/>
        <v>9</v>
      </c>
      <c r="DC4" s="4">
        <f t="shared" si="3"/>
        <v>9</v>
      </c>
      <c r="DD4" s="4">
        <f t="shared" si="3"/>
        <v>9</v>
      </c>
      <c r="DE4" s="4">
        <f t="shared" si="3"/>
        <v>9</v>
      </c>
      <c r="DF4" s="4">
        <f t="shared" si="3"/>
        <v>9</v>
      </c>
      <c r="DG4" s="4">
        <f t="shared" si="3"/>
        <v>9</v>
      </c>
      <c r="DH4" s="4">
        <f t="shared" si="3"/>
        <v>9</v>
      </c>
      <c r="DI4" s="4">
        <f t="shared" si="3"/>
        <v>9</v>
      </c>
      <c r="DJ4" s="4">
        <f t="shared" si="3"/>
        <v>9</v>
      </c>
      <c r="DK4" s="4">
        <f t="shared" si="3"/>
        <v>9</v>
      </c>
      <c r="DL4" s="4">
        <f t="shared" si="3"/>
        <v>9</v>
      </c>
      <c r="DM4" s="4">
        <f t="shared" si="3"/>
        <v>10</v>
      </c>
      <c r="DN4" s="4">
        <f t="shared" si="3"/>
        <v>10</v>
      </c>
      <c r="DO4" s="4">
        <f t="shared" si="3"/>
        <v>10</v>
      </c>
      <c r="DP4" s="4">
        <f t="shared" si="3"/>
        <v>10</v>
      </c>
      <c r="DQ4" s="4">
        <f t="shared" si="3"/>
        <v>10</v>
      </c>
      <c r="DR4" s="4">
        <f t="shared" si="3"/>
        <v>10</v>
      </c>
      <c r="DS4" s="4">
        <f t="shared" si="3"/>
        <v>10</v>
      </c>
      <c r="DT4" s="4">
        <f t="shared" si="3"/>
        <v>10</v>
      </c>
      <c r="DU4" s="4">
        <f t="shared" si="3"/>
        <v>10</v>
      </c>
      <c r="DV4" s="4">
        <f t="shared" si="3"/>
        <v>10</v>
      </c>
      <c r="DW4" s="4">
        <f t="shared" si="3"/>
        <v>10</v>
      </c>
      <c r="DX4" s="4">
        <f t="shared" si="3"/>
        <v>10</v>
      </c>
      <c r="DY4" s="4">
        <f t="shared" ref="DY4:FD4" si="4">DM4+1</f>
        <v>11</v>
      </c>
      <c r="DZ4" s="4">
        <f t="shared" si="4"/>
        <v>11</v>
      </c>
      <c r="EA4" s="4">
        <f t="shared" si="4"/>
        <v>11</v>
      </c>
      <c r="EB4" s="4">
        <f t="shared" si="4"/>
        <v>11</v>
      </c>
      <c r="EC4" s="4">
        <f t="shared" si="4"/>
        <v>11</v>
      </c>
      <c r="ED4" s="4">
        <f t="shared" si="4"/>
        <v>11</v>
      </c>
      <c r="EE4" s="4">
        <f t="shared" si="4"/>
        <v>11</v>
      </c>
      <c r="EF4" s="4">
        <f t="shared" si="4"/>
        <v>11</v>
      </c>
      <c r="EG4" s="4">
        <f t="shared" si="4"/>
        <v>11</v>
      </c>
      <c r="EH4" s="4">
        <f t="shared" si="4"/>
        <v>11</v>
      </c>
      <c r="EI4" s="4">
        <f t="shared" si="4"/>
        <v>11</v>
      </c>
      <c r="EJ4" s="4">
        <f t="shared" si="4"/>
        <v>11</v>
      </c>
      <c r="EK4" s="4"/>
      <c r="EL4" s="4"/>
      <c r="EM4" s="4"/>
    </row>
    <row r="5" spans="2:166" x14ac:dyDescent="0.4">
      <c r="B5" s="16" t="s">
        <v>62</v>
      </c>
      <c r="C5" s="2">
        <f>'Inputs &amp; Drivers'!E14</f>
        <v>45291</v>
      </c>
      <c r="H5" s="17">
        <v>0</v>
      </c>
      <c r="I5" s="5">
        <f>++H5+1</f>
        <v>1</v>
      </c>
      <c r="J5" s="5">
        <f t="shared" ref="J5:AF5" si="5">++I5+1</f>
        <v>2</v>
      </c>
      <c r="K5" s="5">
        <f t="shared" si="5"/>
        <v>3</v>
      </c>
      <c r="L5" s="5">
        <f t="shared" si="5"/>
        <v>4</v>
      </c>
      <c r="M5" s="5">
        <f t="shared" si="5"/>
        <v>5</v>
      </c>
      <c r="N5" s="5">
        <f t="shared" si="5"/>
        <v>6</v>
      </c>
      <c r="O5" s="5">
        <f t="shared" si="5"/>
        <v>7</v>
      </c>
      <c r="P5" s="5">
        <f t="shared" si="5"/>
        <v>8</v>
      </c>
      <c r="Q5" s="5">
        <f t="shared" si="5"/>
        <v>9</v>
      </c>
      <c r="R5" s="5">
        <f t="shared" si="5"/>
        <v>10</v>
      </c>
      <c r="S5" s="5">
        <f t="shared" si="5"/>
        <v>11</v>
      </c>
      <c r="T5" s="5">
        <f t="shared" si="5"/>
        <v>12</v>
      </c>
      <c r="U5" s="5">
        <f t="shared" si="5"/>
        <v>13</v>
      </c>
      <c r="V5" s="5">
        <f t="shared" si="5"/>
        <v>14</v>
      </c>
      <c r="W5" s="5">
        <f t="shared" si="5"/>
        <v>15</v>
      </c>
      <c r="X5" s="5">
        <f t="shared" si="5"/>
        <v>16</v>
      </c>
      <c r="Y5" s="5">
        <f t="shared" si="5"/>
        <v>17</v>
      </c>
      <c r="Z5" s="5">
        <f t="shared" si="5"/>
        <v>18</v>
      </c>
      <c r="AA5" s="5">
        <f t="shared" si="5"/>
        <v>19</v>
      </c>
      <c r="AB5" s="5">
        <f t="shared" si="5"/>
        <v>20</v>
      </c>
      <c r="AC5" s="5">
        <f t="shared" si="5"/>
        <v>21</v>
      </c>
      <c r="AD5" s="5">
        <f t="shared" si="5"/>
        <v>22</v>
      </c>
      <c r="AE5" s="5">
        <f t="shared" si="5"/>
        <v>23</v>
      </c>
      <c r="AF5" s="5">
        <f t="shared" si="5"/>
        <v>24</v>
      </c>
      <c r="AG5" s="5">
        <f t="shared" ref="AG5:BL5" si="6">++AF5+1</f>
        <v>25</v>
      </c>
      <c r="AH5" s="5">
        <f t="shared" si="6"/>
        <v>26</v>
      </c>
      <c r="AI5" s="5">
        <f t="shared" si="6"/>
        <v>27</v>
      </c>
      <c r="AJ5" s="5">
        <f t="shared" si="6"/>
        <v>28</v>
      </c>
      <c r="AK5" s="5">
        <f t="shared" si="6"/>
        <v>29</v>
      </c>
      <c r="AL5" s="5">
        <f t="shared" si="6"/>
        <v>30</v>
      </c>
      <c r="AM5" s="5">
        <f t="shared" si="6"/>
        <v>31</v>
      </c>
      <c r="AN5" s="5">
        <f t="shared" si="6"/>
        <v>32</v>
      </c>
      <c r="AO5" s="5">
        <f t="shared" si="6"/>
        <v>33</v>
      </c>
      <c r="AP5" s="5">
        <f t="shared" si="6"/>
        <v>34</v>
      </c>
      <c r="AQ5" s="5">
        <f t="shared" si="6"/>
        <v>35</v>
      </c>
      <c r="AR5" s="5">
        <f t="shared" si="6"/>
        <v>36</v>
      </c>
      <c r="AS5" s="5">
        <f t="shared" si="6"/>
        <v>37</v>
      </c>
      <c r="AT5" s="5">
        <f t="shared" si="6"/>
        <v>38</v>
      </c>
      <c r="AU5" s="5">
        <f t="shared" si="6"/>
        <v>39</v>
      </c>
      <c r="AV5" s="5">
        <f t="shared" si="6"/>
        <v>40</v>
      </c>
      <c r="AW5" s="5">
        <f t="shared" si="6"/>
        <v>41</v>
      </c>
      <c r="AX5" s="5">
        <f t="shared" si="6"/>
        <v>42</v>
      </c>
      <c r="AY5" s="5">
        <f t="shared" si="6"/>
        <v>43</v>
      </c>
      <c r="AZ5" s="5">
        <f t="shared" si="6"/>
        <v>44</v>
      </c>
      <c r="BA5" s="5">
        <f t="shared" si="6"/>
        <v>45</v>
      </c>
      <c r="BB5" s="5">
        <f t="shared" si="6"/>
        <v>46</v>
      </c>
      <c r="BC5" s="5">
        <f t="shared" si="6"/>
        <v>47</v>
      </c>
      <c r="BD5" s="5">
        <f t="shared" si="6"/>
        <v>48</v>
      </c>
      <c r="BE5" s="5">
        <f t="shared" si="6"/>
        <v>49</v>
      </c>
      <c r="BF5" s="5">
        <f t="shared" si="6"/>
        <v>50</v>
      </c>
      <c r="BG5" s="5">
        <f t="shared" si="6"/>
        <v>51</v>
      </c>
      <c r="BH5" s="5">
        <f t="shared" si="6"/>
        <v>52</v>
      </c>
      <c r="BI5" s="5">
        <f t="shared" si="6"/>
        <v>53</v>
      </c>
      <c r="BJ5" s="5">
        <f t="shared" si="6"/>
        <v>54</v>
      </c>
      <c r="BK5" s="5">
        <f t="shared" si="6"/>
        <v>55</v>
      </c>
      <c r="BL5" s="5">
        <f t="shared" si="6"/>
        <v>56</v>
      </c>
      <c r="BM5" s="5">
        <f t="shared" ref="BM5:CR5" si="7">++BL5+1</f>
        <v>57</v>
      </c>
      <c r="BN5" s="5">
        <f t="shared" si="7"/>
        <v>58</v>
      </c>
      <c r="BO5" s="5">
        <f t="shared" si="7"/>
        <v>59</v>
      </c>
      <c r="BP5" s="5">
        <f t="shared" si="7"/>
        <v>60</v>
      </c>
      <c r="BQ5" s="5">
        <f t="shared" si="7"/>
        <v>61</v>
      </c>
      <c r="BR5" s="5">
        <f t="shared" si="7"/>
        <v>62</v>
      </c>
      <c r="BS5" s="5">
        <f t="shared" si="7"/>
        <v>63</v>
      </c>
      <c r="BT5" s="5">
        <f t="shared" si="7"/>
        <v>64</v>
      </c>
      <c r="BU5" s="5">
        <f t="shared" si="7"/>
        <v>65</v>
      </c>
      <c r="BV5" s="5">
        <f t="shared" si="7"/>
        <v>66</v>
      </c>
      <c r="BW5" s="5">
        <f t="shared" si="7"/>
        <v>67</v>
      </c>
      <c r="BX5" s="5">
        <f t="shared" si="7"/>
        <v>68</v>
      </c>
      <c r="BY5" s="5">
        <f t="shared" si="7"/>
        <v>69</v>
      </c>
      <c r="BZ5" s="5">
        <f t="shared" si="7"/>
        <v>70</v>
      </c>
      <c r="CA5" s="5">
        <f t="shared" si="7"/>
        <v>71</v>
      </c>
      <c r="CB5" s="5">
        <f t="shared" si="7"/>
        <v>72</v>
      </c>
      <c r="CC5" s="5">
        <f t="shared" si="7"/>
        <v>73</v>
      </c>
      <c r="CD5" s="5">
        <f t="shared" si="7"/>
        <v>74</v>
      </c>
      <c r="CE5" s="5">
        <f t="shared" si="7"/>
        <v>75</v>
      </c>
      <c r="CF5" s="5">
        <f t="shared" si="7"/>
        <v>76</v>
      </c>
      <c r="CG5" s="5">
        <f t="shared" si="7"/>
        <v>77</v>
      </c>
      <c r="CH5" s="5">
        <f t="shared" si="7"/>
        <v>78</v>
      </c>
      <c r="CI5" s="5">
        <f t="shared" si="7"/>
        <v>79</v>
      </c>
      <c r="CJ5" s="5">
        <f t="shared" si="7"/>
        <v>80</v>
      </c>
      <c r="CK5" s="5">
        <f t="shared" si="7"/>
        <v>81</v>
      </c>
      <c r="CL5" s="5">
        <f t="shared" si="7"/>
        <v>82</v>
      </c>
      <c r="CM5" s="5">
        <f t="shared" si="7"/>
        <v>83</v>
      </c>
      <c r="CN5" s="5">
        <f t="shared" si="7"/>
        <v>84</v>
      </c>
      <c r="CO5" s="5">
        <f t="shared" si="7"/>
        <v>85</v>
      </c>
      <c r="CP5" s="5">
        <f t="shared" si="7"/>
        <v>86</v>
      </c>
      <c r="CQ5" s="5">
        <f t="shared" si="7"/>
        <v>87</v>
      </c>
      <c r="CR5" s="5">
        <f t="shared" si="7"/>
        <v>88</v>
      </c>
      <c r="CS5" s="5">
        <f t="shared" ref="CS5:DX5" si="8">++CR5+1</f>
        <v>89</v>
      </c>
      <c r="CT5" s="5">
        <f t="shared" si="8"/>
        <v>90</v>
      </c>
      <c r="CU5" s="5">
        <f t="shared" si="8"/>
        <v>91</v>
      </c>
      <c r="CV5" s="5">
        <f t="shared" si="8"/>
        <v>92</v>
      </c>
      <c r="CW5" s="5">
        <f t="shared" si="8"/>
        <v>93</v>
      </c>
      <c r="CX5" s="5">
        <f t="shared" si="8"/>
        <v>94</v>
      </c>
      <c r="CY5" s="5">
        <f t="shared" si="8"/>
        <v>95</v>
      </c>
      <c r="CZ5" s="5">
        <f t="shared" si="8"/>
        <v>96</v>
      </c>
      <c r="DA5" s="5">
        <f t="shared" si="8"/>
        <v>97</v>
      </c>
      <c r="DB5" s="5">
        <f t="shared" si="8"/>
        <v>98</v>
      </c>
      <c r="DC5" s="5">
        <f t="shared" si="8"/>
        <v>99</v>
      </c>
      <c r="DD5" s="5">
        <f t="shared" si="8"/>
        <v>100</v>
      </c>
      <c r="DE5" s="5">
        <f t="shared" si="8"/>
        <v>101</v>
      </c>
      <c r="DF5" s="5">
        <f t="shared" si="8"/>
        <v>102</v>
      </c>
      <c r="DG5" s="5">
        <f t="shared" si="8"/>
        <v>103</v>
      </c>
      <c r="DH5" s="5">
        <f t="shared" si="8"/>
        <v>104</v>
      </c>
      <c r="DI5" s="5">
        <f t="shared" si="8"/>
        <v>105</v>
      </c>
      <c r="DJ5" s="5">
        <f t="shared" si="8"/>
        <v>106</v>
      </c>
      <c r="DK5" s="5">
        <f t="shared" si="8"/>
        <v>107</v>
      </c>
      <c r="DL5" s="5">
        <f t="shared" si="8"/>
        <v>108</v>
      </c>
      <c r="DM5" s="5">
        <f t="shared" si="8"/>
        <v>109</v>
      </c>
      <c r="DN5" s="5">
        <f t="shared" si="8"/>
        <v>110</v>
      </c>
      <c r="DO5" s="5">
        <f t="shared" si="8"/>
        <v>111</v>
      </c>
      <c r="DP5" s="5">
        <f t="shared" si="8"/>
        <v>112</v>
      </c>
      <c r="DQ5" s="5">
        <f t="shared" si="8"/>
        <v>113</v>
      </c>
      <c r="DR5" s="5">
        <f t="shared" si="8"/>
        <v>114</v>
      </c>
      <c r="DS5" s="5">
        <f t="shared" si="8"/>
        <v>115</v>
      </c>
      <c r="DT5" s="5">
        <f t="shared" si="8"/>
        <v>116</v>
      </c>
      <c r="DU5" s="5">
        <f t="shared" si="8"/>
        <v>117</v>
      </c>
      <c r="DV5" s="5">
        <f t="shared" si="8"/>
        <v>118</v>
      </c>
      <c r="DW5" s="5">
        <f t="shared" si="8"/>
        <v>119</v>
      </c>
      <c r="DX5" s="5">
        <f t="shared" si="8"/>
        <v>120</v>
      </c>
      <c r="DY5" s="5">
        <f t="shared" ref="DY5:EJ5" si="9">++DX5+1</f>
        <v>121</v>
      </c>
      <c r="DZ5" s="5">
        <f t="shared" si="9"/>
        <v>122</v>
      </c>
      <c r="EA5" s="5">
        <f t="shared" si="9"/>
        <v>123</v>
      </c>
      <c r="EB5" s="5">
        <f t="shared" si="9"/>
        <v>124</v>
      </c>
      <c r="EC5" s="5">
        <f t="shared" si="9"/>
        <v>125</v>
      </c>
      <c r="ED5" s="5">
        <f t="shared" si="9"/>
        <v>126</v>
      </c>
      <c r="EE5" s="5">
        <f t="shared" si="9"/>
        <v>127</v>
      </c>
      <c r="EF5" s="5">
        <f t="shared" si="9"/>
        <v>128</v>
      </c>
      <c r="EG5" s="5">
        <f t="shared" si="9"/>
        <v>129</v>
      </c>
      <c r="EH5" s="5">
        <f t="shared" si="9"/>
        <v>130</v>
      </c>
      <c r="EI5" s="5">
        <f t="shared" si="9"/>
        <v>131</v>
      </c>
      <c r="EJ5" s="5">
        <f t="shared" si="9"/>
        <v>132</v>
      </c>
      <c r="EK5" s="5"/>
      <c r="EL5" s="18">
        <f>H4</f>
        <v>0</v>
      </c>
      <c r="EM5" s="18">
        <f>EL5+1</f>
        <v>1</v>
      </c>
      <c r="EN5" s="18">
        <f t="shared" ref="EN5:EW5" si="10">EM5+1</f>
        <v>2</v>
      </c>
      <c r="EO5" s="18">
        <f t="shared" si="10"/>
        <v>3</v>
      </c>
      <c r="EP5" s="18">
        <f t="shared" si="10"/>
        <v>4</v>
      </c>
      <c r="EQ5" s="18">
        <f t="shared" si="10"/>
        <v>5</v>
      </c>
      <c r="ER5" s="18">
        <f t="shared" si="10"/>
        <v>6</v>
      </c>
      <c r="ES5" s="18">
        <f t="shared" si="10"/>
        <v>7</v>
      </c>
      <c r="ET5" s="18">
        <f t="shared" si="10"/>
        <v>8</v>
      </c>
      <c r="EU5" s="18">
        <f t="shared" si="10"/>
        <v>9</v>
      </c>
      <c r="EV5" s="18">
        <f t="shared" si="10"/>
        <v>10</v>
      </c>
      <c r="EW5" s="18">
        <f t="shared" si="10"/>
        <v>11</v>
      </c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</row>
    <row r="6" spans="2:166" x14ac:dyDescent="0.4">
      <c r="B6" s="16" t="s">
        <v>11</v>
      </c>
      <c r="C6" s="6">
        <f>'Inputs &amp; Drivers'!E8</f>
        <v>300</v>
      </c>
      <c r="E6" s="56"/>
      <c r="F6" s="189" t="s">
        <v>3</v>
      </c>
      <c r="H6" s="7">
        <f>C4</f>
        <v>44196</v>
      </c>
      <c r="I6" s="7">
        <f>EOMONTH(H6,1)</f>
        <v>44227</v>
      </c>
      <c r="J6" s="7">
        <f t="shared" ref="J6:AF6" si="11">EOMONTH(I6,1)</f>
        <v>44255</v>
      </c>
      <c r="K6" s="7">
        <f t="shared" si="11"/>
        <v>44286</v>
      </c>
      <c r="L6" s="7">
        <f t="shared" si="11"/>
        <v>44316</v>
      </c>
      <c r="M6" s="7">
        <f t="shared" si="11"/>
        <v>44347</v>
      </c>
      <c r="N6" s="7">
        <f t="shared" si="11"/>
        <v>44377</v>
      </c>
      <c r="O6" s="7">
        <f t="shared" si="11"/>
        <v>44408</v>
      </c>
      <c r="P6" s="7">
        <f t="shared" si="11"/>
        <v>44439</v>
      </c>
      <c r="Q6" s="7">
        <f t="shared" si="11"/>
        <v>44469</v>
      </c>
      <c r="R6" s="7">
        <f t="shared" si="11"/>
        <v>44500</v>
      </c>
      <c r="S6" s="7">
        <f t="shared" si="11"/>
        <v>44530</v>
      </c>
      <c r="T6" s="7">
        <f t="shared" si="11"/>
        <v>44561</v>
      </c>
      <c r="U6" s="7">
        <f t="shared" si="11"/>
        <v>44592</v>
      </c>
      <c r="V6" s="7">
        <f t="shared" si="11"/>
        <v>44620</v>
      </c>
      <c r="W6" s="7">
        <f t="shared" si="11"/>
        <v>44651</v>
      </c>
      <c r="X6" s="7">
        <f t="shared" si="11"/>
        <v>44681</v>
      </c>
      <c r="Y6" s="7">
        <f t="shared" si="11"/>
        <v>44712</v>
      </c>
      <c r="Z6" s="7">
        <f t="shared" si="11"/>
        <v>44742</v>
      </c>
      <c r="AA6" s="7">
        <f t="shared" si="11"/>
        <v>44773</v>
      </c>
      <c r="AB6" s="7">
        <f t="shared" si="11"/>
        <v>44804</v>
      </c>
      <c r="AC6" s="7">
        <f t="shared" si="11"/>
        <v>44834</v>
      </c>
      <c r="AD6" s="7">
        <f t="shared" si="11"/>
        <v>44865</v>
      </c>
      <c r="AE6" s="7">
        <f t="shared" si="11"/>
        <v>44895</v>
      </c>
      <c r="AF6" s="7">
        <f t="shared" si="11"/>
        <v>44926</v>
      </c>
      <c r="AG6" s="7">
        <f t="shared" ref="AG6:BL6" si="12">EOMONTH(AF6,1)</f>
        <v>44957</v>
      </c>
      <c r="AH6" s="7">
        <f t="shared" si="12"/>
        <v>44985</v>
      </c>
      <c r="AI6" s="7">
        <f t="shared" si="12"/>
        <v>45016</v>
      </c>
      <c r="AJ6" s="7">
        <f t="shared" si="12"/>
        <v>45046</v>
      </c>
      <c r="AK6" s="7">
        <f t="shared" si="12"/>
        <v>45077</v>
      </c>
      <c r="AL6" s="7">
        <f t="shared" si="12"/>
        <v>45107</v>
      </c>
      <c r="AM6" s="7">
        <f t="shared" si="12"/>
        <v>45138</v>
      </c>
      <c r="AN6" s="7">
        <f t="shared" si="12"/>
        <v>45169</v>
      </c>
      <c r="AO6" s="7">
        <f t="shared" si="12"/>
        <v>45199</v>
      </c>
      <c r="AP6" s="7">
        <f t="shared" si="12"/>
        <v>45230</v>
      </c>
      <c r="AQ6" s="7">
        <f t="shared" si="12"/>
        <v>45260</v>
      </c>
      <c r="AR6" s="7">
        <f t="shared" si="12"/>
        <v>45291</v>
      </c>
      <c r="AS6" s="7">
        <f t="shared" si="12"/>
        <v>45322</v>
      </c>
      <c r="AT6" s="7">
        <f t="shared" si="12"/>
        <v>45351</v>
      </c>
      <c r="AU6" s="7">
        <f t="shared" si="12"/>
        <v>45382</v>
      </c>
      <c r="AV6" s="7">
        <f t="shared" si="12"/>
        <v>45412</v>
      </c>
      <c r="AW6" s="7">
        <f t="shared" si="12"/>
        <v>45443</v>
      </c>
      <c r="AX6" s="7">
        <f t="shared" si="12"/>
        <v>45473</v>
      </c>
      <c r="AY6" s="7">
        <f t="shared" si="12"/>
        <v>45504</v>
      </c>
      <c r="AZ6" s="7">
        <f t="shared" si="12"/>
        <v>45535</v>
      </c>
      <c r="BA6" s="7">
        <f t="shared" si="12"/>
        <v>45565</v>
      </c>
      <c r="BB6" s="7">
        <f t="shared" si="12"/>
        <v>45596</v>
      </c>
      <c r="BC6" s="7">
        <f t="shared" si="12"/>
        <v>45626</v>
      </c>
      <c r="BD6" s="7">
        <f t="shared" si="12"/>
        <v>45657</v>
      </c>
      <c r="BE6" s="7">
        <f t="shared" si="12"/>
        <v>45688</v>
      </c>
      <c r="BF6" s="7">
        <f t="shared" si="12"/>
        <v>45716</v>
      </c>
      <c r="BG6" s="7">
        <f t="shared" si="12"/>
        <v>45747</v>
      </c>
      <c r="BH6" s="7">
        <f t="shared" si="12"/>
        <v>45777</v>
      </c>
      <c r="BI6" s="7">
        <f t="shared" si="12"/>
        <v>45808</v>
      </c>
      <c r="BJ6" s="7">
        <f t="shared" si="12"/>
        <v>45838</v>
      </c>
      <c r="BK6" s="7">
        <f t="shared" si="12"/>
        <v>45869</v>
      </c>
      <c r="BL6" s="7">
        <f t="shared" si="12"/>
        <v>45900</v>
      </c>
      <c r="BM6" s="7">
        <f t="shared" ref="BM6:CR6" si="13">EOMONTH(BL6,1)</f>
        <v>45930</v>
      </c>
      <c r="BN6" s="7">
        <f t="shared" si="13"/>
        <v>45961</v>
      </c>
      <c r="BO6" s="7">
        <f t="shared" si="13"/>
        <v>45991</v>
      </c>
      <c r="BP6" s="7">
        <f t="shared" si="13"/>
        <v>46022</v>
      </c>
      <c r="BQ6" s="7">
        <f t="shared" si="13"/>
        <v>46053</v>
      </c>
      <c r="BR6" s="7">
        <f t="shared" si="13"/>
        <v>46081</v>
      </c>
      <c r="BS6" s="7">
        <f t="shared" si="13"/>
        <v>46112</v>
      </c>
      <c r="BT6" s="7">
        <f t="shared" si="13"/>
        <v>46142</v>
      </c>
      <c r="BU6" s="7">
        <f t="shared" si="13"/>
        <v>46173</v>
      </c>
      <c r="BV6" s="7">
        <f t="shared" si="13"/>
        <v>46203</v>
      </c>
      <c r="BW6" s="7">
        <f t="shared" si="13"/>
        <v>46234</v>
      </c>
      <c r="BX6" s="7">
        <f t="shared" si="13"/>
        <v>46265</v>
      </c>
      <c r="BY6" s="7">
        <f t="shared" si="13"/>
        <v>46295</v>
      </c>
      <c r="BZ6" s="7">
        <f t="shared" si="13"/>
        <v>46326</v>
      </c>
      <c r="CA6" s="7">
        <f t="shared" si="13"/>
        <v>46356</v>
      </c>
      <c r="CB6" s="7">
        <f t="shared" si="13"/>
        <v>46387</v>
      </c>
      <c r="CC6" s="7">
        <f t="shared" si="13"/>
        <v>46418</v>
      </c>
      <c r="CD6" s="7">
        <f t="shared" si="13"/>
        <v>46446</v>
      </c>
      <c r="CE6" s="7">
        <f t="shared" si="13"/>
        <v>46477</v>
      </c>
      <c r="CF6" s="7">
        <f t="shared" si="13"/>
        <v>46507</v>
      </c>
      <c r="CG6" s="7">
        <f t="shared" si="13"/>
        <v>46538</v>
      </c>
      <c r="CH6" s="7">
        <f t="shared" si="13"/>
        <v>46568</v>
      </c>
      <c r="CI6" s="7">
        <f t="shared" si="13"/>
        <v>46599</v>
      </c>
      <c r="CJ6" s="7">
        <f t="shared" si="13"/>
        <v>46630</v>
      </c>
      <c r="CK6" s="7">
        <f t="shared" si="13"/>
        <v>46660</v>
      </c>
      <c r="CL6" s="7">
        <f t="shared" si="13"/>
        <v>46691</v>
      </c>
      <c r="CM6" s="7">
        <f t="shared" si="13"/>
        <v>46721</v>
      </c>
      <c r="CN6" s="7">
        <f t="shared" si="13"/>
        <v>46752</v>
      </c>
      <c r="CO6" s="7">
        <f t="shared" si="13"/>
        <v>46783</v>
      </c>
      <c r="CP6" s="7">
        <f t="shared" si="13"/>
        <v>46812</v>
      </c>
      <c r="CQ6" s="7">
        <f t="shared" si="13"/>
        <v>46843</v>
      </c>
      <c r="CR6" s="7">
        <f t="shared" si="13"/>
        <v>46873</v>
      </c>
      <c r="CS6" s="7">
        <f t="shared" ref="CS6:DX6" si="14">EOMONTH(CR6,1)</f>
        <v>46904</v>
      </c>
      <c r="CT6" s="7">
        <f t="shared" si="14"/>
        <v>46934</v>
      </c>
      <c r="CU6" s="7">
        <f t="shared" si="14"/>
        <v>46965</v>
      </c>
      <c r="CV6" s="7">
        <f t="shared" si="14"/>
        <v>46996</v>
      </c>
      <c r="CW6" s="7">
        <f t="shared" si="14"/>
        <v>47026</v>
      </c>
      <c r="CX6" s="7">
        <f t="shared" si="14"/>
        <v>47057</v>
      </c>
      <c r="CY6" s="7">
        <f t="shared" si="14"/>
        <v>47087</v>
      </c>
      <c r="CZ6" s="7">
        <f t="shared" si="14"/>
        <v>47118</v>
      </c>
      <c r="DA6" s="7">
        <f t="shared" si="14"/>
        <v>47149</v>
      </c>
      <c r="DB6" s="7">
        <f t="shared" si="14"/>
        <v>47177</v>
      </c>
      <c r="DC6" s="7">
        <f t="shared" si="14"/>
        <v>47208</v>
      </c>
      <c r="DD6" s="7">
        <f t="shared" si="14"/>
        <v>47238</v>
      </c>
      <c r="DE6" s="7">
        <f t="shared" si="14"/>
        <v>47269</v>
      </c>
      <c r="DF6" s="7">
        <f t="shared" si="14"/>
        <v>47299</v>
      </c>
      <c r="DG6" s="7">
        <f t="shared" si="14"/>
        <v>47330</v>
      </c>
      <c r="DH6" s="7">
        <f t="shared" si="14"/>
        <v>47361</v>
      </c>
      <c r="DI6" s="7">
        <f t="shared" si="14"/>
        <v>47391</v>
      </c>
      <c r="DJ6" s="7">
        <f t="shared" si="14"/>
        <v>47422</v>
      </c>
      <c r="DK6" s="7">
        <f t="shared" si="14"/>
        <v>47452</v>
      </c>
      <c r="DL6" s="7">
        <f t="shared" si="14"/>
        <v>47483</v>
      </c>
      <c r="DM6" s="7">
        <f t="shared" si="14"/>
        <v>47514</v>
      </c>
      <c r="DN6" s="7">
        <f t="shared" si="14"/>
        <v>47542</v>
      </c>
      <c r="DO6" s="7">
        <f t="shared" si="14"/>
        <v>47573</v>
      </c>
      <c r="DP6" s="7">
        <f t="shared" si="14"/>
        <v>47603</v>
      </c>
      <c r="DQ6" s="7">
        <f t="shared" si="14"/>
        <v>47634</v>
      </c>
      <c r="DR6" s="7">
        <f t="shared" si="14"/>
        <v>47664</v>
      </c>
      <c r="DS6" s="7">
        <f t="shared" si="14"/>
        <v>47695</v>
      </c>
      <c r="DT6" s="7">
        <f t="shared" si="14"/>
        <v>47726</v>
      </c>
      <c r="DU6" s="7">
        <f t="shared" si="14"/>
        <v>47756</v>
      </c>
      <c r="DV6" s="7">
        <f t="shared" si="14"/>
        <v>47787</v>
      </c>
      <c r="DW6" s="7">
        <f t="shared" si="14"/>
        <v>47817</v>
      </c>
      <c r="DX6" s="7">
        <f t="shared" si="14"/>
        <v>47848</v>
      </c>
      <c r="DY6" s="7">
        <f t="shared" ref="DY6:EJ6" si="15">EOMONTH(DX6,1)</f>
        <v>47879</v>
      </c>
      <c r="DZ6" s="7">
        <f t="shared" si="15"/>
        <v>47907</v>
      </c>
      <c r="EA6" s="7">
        <f t="shared" si="15"/>
        <v>47938</v>
      </c>
      <c r="EB6" s="7">
        <f t="shared" si="15"/>
        <v>47968</v>
      </c>
      <c r="EC6" s="7">
        <f t="shared" si="15"/>
        <v>47999</v>
      </c>
      <c r="ED6" s="7">
        <f t="shared" si="15"/>
        <v>48029</v>
      </c>
      <c r="EE6" s="7">
        <f t="shared" si="15"/>
        <v>48060</v>
      </c>
      <c r="EF6" s="7">
        <f t="shared" si="15"/>
        <v>48091</v>
      </c>
      <c r="EG6" s="7">
        <f t="shared" si="15"/>
        <v>48121</v>
      </c>
      <c r="EH6" s="7">
        <f t="shared" si="15"/>
        <v>48152</v>
      </c>
      <c r="EI6" s="7">
        <f t="shared" si="15"/>
        <v>48182</v>
      </c>
      <c r="EJ6" s="7">
        <f t="shared" si="15"/>
        <v>48213</v>
      </c>
      <c r="EK6" s="7"/>
      <c r="EL6" s="7">
        <f>H6</f>
        <v>44196</v>
      </c>
      <c r="EM6" s="7">
        <f>EOMONTH(EL6,12)</f>
        <v>44561</v>
      </c>
      <c r="EN6" s="7">
        <f t="shared" ref="EN6:EW6" si="16">EOMONTH(EM6,12)</f>
        <v>44926</v>
      </c>
      <c r="EO6" s="7">
        <f t="shared" si="16"/>
        <v>45291</v>
      </c>
      <c r="EP6" s="7">
        <f t="shared" si="16"/>
        <v>45657</v>
      </c>
      <c r="EQ6" s="7">
        <f t="shared" si="16"/>
        <v>46022</v>
      </c>
      <c r="ER6" s="7">
        <f t="shared" si="16"/>
        <v>46387</v>
      </c>
      <c r="ES6" s="7">
        <f t="shared" si="16"/>
        <v>46752</v>
      </c>
      <c r="ET6" s="7">
        <f t="shared" si="16"/>
        <v>47118</v>
      </c>
      <c r="EU6" s="7">
        <f t="shared" si="16"/>
        <v>47483</v>
      </c>
      <c r="EV6" s="7">
        <f t="shared" si="16"/>
        <v>47848</v>
      </c>
      <c r="EW6" s="7">
        <f t="shared" si="16"/>
        <v>48213</v>
      </c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</row>
    <row r="7" spans="2:166" outlineLevel="1" x14ac:dyDescent="0.4"/>
    <row r="8" spans="2:166" outlineLevel="1" x14ac:dyDescent="0.4">
      <c r="B8" s="1" t="s">
        <v>261</v>
      </c>
      <c r="H8" s="243">
        <f>H5</f>
        <v>0</v>
      </c>
      <c r="I8" s="243">
        <f t="shared" ref="I8:BT8" si="17">I5</f>
        <v>1</v>
      </c>
      <c r="J8" s="243">
        <f t="shared" si="17"/>
        <v>2</v>
      </c>
      <c r="K8" s="243">
        <f t="shared" si="17"/>
        <v>3</v>
      </c>
      <c r="L8" s="243">
        <f t="shared" si="17"/>
        <v>4</v>
      </c>
      <c r="M8" s="243">
        <f t="shared" si="17"/>
        <v>5</v>
      </c>
      <c r="N8" s="243">
        <f t="shared" si="17"/>
        <v>6</v>
      </c>
      <c r="O8" s="243">
        <f t="shared" si="17"/>
        <v>7</v>
      </c>
      <c r="P8" s="243">
        <f t="shared" si="17"/>
        <v>8</v>
      </c>
      <c r="Q8" s="243">
        <f t="shared" si="17"/>
        <v>9</v>
      </c>
      <c r="R8" s="243">
        <f t="shared" si="17"/>
        <v>10</v>
      </c>
      <c r="S8" s="243">
        <f t="shared" si="17"/>
        <v>11</v>
      </c>
      <c r="T8" s="243">
        <f t="shared" si="17"/>
        <v>12</v>
      </c>
      <c r="U8" s="243">
        <f t="shared" si="17"/>
        <v>13</v>
      </c>
      <c r="V8" s="243">
        <f t="shared" si="17"/>
        <v>14</v>
      </c>
      <c r="W8" s="243">
        <f t="shared" si="17"/>
        <v>15</v>
      </c>
      <c r="X8" s="243">
        <f t="shared" si="17"/>
        <v>16</v>
      </c>
      <c r="Y8" s="243">
        <f t="shared" si="17"/>
        <v>17</v>
      </c>
      <c r="Z8" s="243">
        <f t="shared" si="17"/>
        <v>18</v>
      </c>
      <c r="AA8" s="243">
        <f t="shared" si="17"/>
        <v>19</v>
      </c>
      <c r="AB8" s="243">
        <f t="shared" si="17"/>
        <v>20</v>
      </c>
      <c r="AC8" s="243">
        <f t="shared" si="17"/>
        <v>21</v>
      </c>
      <c r="AD8" s="243">
        <f t="shared" si="17"/>
        <v>22</v>
      </c>
      <c r="AE8" s="243">
        <f t="shared" si="17"/>
        <v>23</v>
      </c>
      <c r="AF8" s="243">
        <f t="shared" si="17"/>
        <v>24</v>
      </c>
      <c r="AG8" s="243">
        <f t="shared" si="17"/>
        <v>25</v>
      </c>
      <c r="AH8" s="243">
        <f t="shared" si="17"/>
        <v>26</v>
      </c>
      <c r="AI8" s="243">
        <f t="shared" si="17"/>
        <v>27</v>
      </c>
      <c r="AJ8" s="243">
        <f t="shared" si="17"/>
        <v>28</v>
      </c>
      <c r="AK8" s="243">
        <f t="shared" si="17"/>
        <v>29</v>
      </c>
      <c r="AL8" s="243">
        <f t="shared" si="17"/>
        <v>30</v>
      </c>
      <c r="AM8" s="243">
        <f t="shared" si="17"/>
        <v>31</v>
      </c>
      <c r="AN8" s="243">
        <f t="shared" si="17"/>
        <v>32</v>
      </c>
      <c r="AO8" s="243">
        <f t="shared" si="17"/>
        <v>33</v>
      </c>
      <c r="AP8" s="243">
        <f t="shared" si="17"/>
        <v>34</v>
      </c>
      <c r="AQ8" s="243">
        <f t="shared" si="17"/>
        <v>35</v>
      </c>
      <c r="AR8" s="243">
        <f t="shared" si="17"/>
        <v>36</v>
      </c>
      <c r="AS8" s="243">
        <f t="shared" si="17"/>
        <v>37</v>
      </c>
      <c r="AT8" s="243">
        <f t="shared" si="17"/>
        <v>38</v>
      </c>
      <c r="AU8" s="243">
        <f t="shared" si="17"/>
        <v>39</v>
      </c>
      <c r="AV8" s="243">
        <f t="shared" si="17"/>
        <v>40</v>
      </c>
      <c r="AW8" s="243">
        <f t="shared" si="17"/>
        <v>41</v>
      </c>
      <c r="AX8" s="243">
        <f t="shared" si="17"/>
        <v>42</v>
      </c>
      <c r="AY8" s="243">
        <f t="shared" si="17"/>
        <v>43</v>
      </c>
      <c r="AZ8" s="243">
        <f t="shared" si="17"/>
        <v>44</v>
      </c>
      <c r="BA8" s="243">
        <f t="shared" si="17"/>
        <v>45</v>
      </c>
      <c r="BB8" s="243">
        <f t="shared" si="17"/>
        <v>46</v>
      </c>
      <c r="BC8" s="243">
        <f t="shared" si="17"/>
        <v>47</v>
      </c>
      <c r="BD8" s="243">
        <f t="shared" si="17"/>
        <v>48</v>
      </c>
      <c r="BE8" s="243">
        <f t="shared" si="17"/>
        <v>49</v>
      </c>
      <c r="BF8" s="243">
        <f t="shared" si="17"/>
        <v>50</v>
      </c>
      <c r="BG8" s="243">
        <f t="shared" si="17"/>
        <v>51</v>
      </c>
      <c r="BH8" s="243">
        <f t="shared" si="17"/>
        <v>52</v>
      </c>
      <c r="BI8" s="243">
        <f t="shared" si="17"/>
        <v>53</v>
      </c>
      <c r="BJ8" s="243">
        <f t="shared" si="17"/>
        <v>54</v>
      </c>
      <c r="BK8" s="243">
        <f t="shared" si="17"/>
        <v>55</v>
      </c>
      <c r="BL8" s="243">
        <f t="shared" si="17"/>
        <v>56</v>
      </c>
      <c r="BM8" s="243">
        <f t="shared" si="17"/>
        <v>57</v>
      </c>
      <c r="BN8" s="243">
        <f t="shared" si="17"/>
        <v>58</v>
      </c>
      <c r="BO8" s="243">
        <f t="shared" si="17"/>
        <v>59</v>
      </c>
      <c r="BP8" s="243">
        <f t="shared" si="17"/>
        <v>60</v>
      </c>
      <c r="BQ8" s="243">
        <f t="shared" si="17"/>
        <v>61</v>
      </c>
      <c r="BR8" s="243">
        <f t="shared" si="17"/>
        <v>62</v>
      </c>
      <c r="BS8" s="243">
        <f t="shared" si="17"/>
        <v>63</v>
      </c>
      <c r="BT8" s="243">
        <f t="shared" si="17"/>
        <v>64</v>
      </c>
      <c r="BU8" s="243">
        <f t="shared" ref="BU8:EF8" si="18">BU5</f>
        <v>65</v>
      </c>
      <c r="BV8" s="243">
        <f t="shared" si="18"/>
        <v>66</v>
      </c>
      <c r="BW8" s="243">
        <f t="shared" si="18"/>
        <v>67</v>
      </c>
      <c r="BX8" s="243">
        <f t="shared" si="18"/>
        <v>68</v>
      </c>
      <c r="BY8" s="243">
        <f t="shared" si="18"/>
        <v>69</v>
      </c>
      <c r="BZ8" s="243">
        <f t="shared" si="18"/>
        <v>70</v>
      </c>
      <c r="CA8" s="243">
        <f t="shared" si="18"/>
        <v>71</v>
      </c>
      <c r="CB8" s="243">
        <f t="shared" si="18"/>
        <v>72</v>
      </c>
      <c r="CC8" s="243">
        <f t="shared" si="18"/>
        <v>73</v>
      </c>
      <c r="CD8" s="243">
        <f t="shared" si="18"/>
        <v>74</v>
      </c>
      <c r="CE8" s="243">
        <f t="shared" si="18"/>
        <v>75</v>
      </c>
      <c r="CF8" s="243">
        <f t="shared" si="18"/>
        <v>76</v>
      </c>
      <c r="CG8" s="243">
        <f t="shared" si="18"/>
        <v>77</v>
      </c>
      <c r="CH8" s="243">
        <f t="shared" si="18"/>
        <v>78</v>
      </c>
      <c r="CI8" s="243">
        <f t="shared" si="18"/>
        <v>79</v>
      </c>
      <c r="CJ8" s="243">
        <f t="shared" si="18"/>
        <v>80</v>
      </c>
      <c r="CK8" s="243">
        <f t="shared" si="18"/>
        <v>81</v>
      </c>
      <c r="CL8" s="243">
        <f t="shared" si="18"/>
        <v>82</v>
      </c>
      <c r="CM8" s="243">
        <f t="shared" si="18"/>
        <v>83</v>
      </c>
      <c r="CN8" s="243">
        <f t="shared" si="18"/>
        <v>84</v>
      </c>
      <c r="CO8" s="243">
        <f t="shared" si="18"/>
        <v>85</v>
      </c>
      <c r="CP8" s="243">
        <f t="shared" si="18"/>
        <v>86</v>
      </c>
      <c r="CQ8" s="243">
        <f t="shared" si="18"/>
        <v>87</v>
      </c>
      <c r="CR8" s="243">
        <f t="shared" si="18"/>
        <v>88</v>
      </c>
      <c r="CS8" s="243">
        <f t="shared" si="18"/>
        <v>89</v>
      </c>
      <c r="CT8" s="243">
        <f t="shared" si="18"/>
        <v>90</v>
      </c>
      <c r="CU8" s="243">
        <f t="shared" si="18"/>
        <v>91</v>
      </c>
      <c r="CV8" s="243">
        <f t="shared" si="18"/>
        <v>92</v>
      </c>
      <c r="CW8" s="243">
        <f t="shared" si="18"/>
        <v>93</v>
      </c>
      <c r="CX8" s="243">
        <f t="shared" si="18"/>
        <v>94</v>
      </c>
      <c r="CY8" s="243">
        <f t="shared" si="18"/>
        <v>95</v>
      </c>
      <c r="CZ8" s="243">
        <f t="shared" si="18"/>
        <v>96</v>
      </c>
      <c r="DA8" s="243">
        <f t="shared" si="18"/>
        <v>97</v>
      </c>
      <c r="DB8" s="243">
        <f t="shared" si="18"/>
        <v>98</v>
      </c>
      <c r="DC8" s="243">
        <f t="shared" si="18"/>
        <v>99</v>
      </c>
      <c r="DD8" s="243">
        <f t="shared" si="18"/>
        <v>100</v>
      </c>
      <c r="DE8" s="243">
        <f t="shared" si="18"/>
        <v>101</v>
      </c>
      <c r="DF8" s="243">
        <f t="shared" si="18"/>
        <v>102</v>
      </c>
      <c r="DG8" s="243">
        <f t="shared" si="18"/>
        <v>103</v>
      </c>
      <c r="DH8" s="243">
        <f t="shared" si="18"/>
        <v>104</v>
      </c>
      <c r="DI8" s="243">
        <f t="shared" si="18"/>
        <v>105</v>
      </c>
      <c r="DJ8" s="243">
        <f t="shared" si="18"/>
        <v>106</v>
      </c>
      <c r="DK8" s="243">
        <f t="shared" si="18"/>
        <v>107</v>
      </c>
      <c r="DL8" s="243">
        <f t="shared" si="18"/>
        <v>108</v>
      </c>
      <c r="DM8" s="243">
        <f t="shared" si="18"/>
        <v>109</v>
      </c>
      <c r="DN8" s="243">
        <f t="shared" si="18"/>
        <v>110</v>
      </c>
      <c r="DO8" s="243">
        <f t="shared" si="18"/>
        <v>111</v>
      </c>
      <c r="DP8" s="243">
        <f t="shared" si="18"/>
        <v>112</v>
      </c>
      <c r="DQ8" s="243">
        <f t="shared" si="18"/>
        <v>113</v>
      </c>
      <c r="DR8" s="243">
        <f t="shared" si="18"/>
        <v>114</v>
      </c>
      <c r="DS8" s="243">
        <f t="shared" si="18"/>
        <v>115</v>
      </c>
      <c r="DT8" s="243">
        <f t="shared" si="18"/>
        <v>116</v>
      </c>
      <c r="DU8" s="243">
        <f t="shared" si="18"/>
        <v>117</v>
      </c>
      <c r="DV8" s="243">
        <f t="shared" si="18"/>
        <v>118</v>
      </c>
      <c r="DW8" s="243">
        <f t="shared" si="18"/>
        <v>119</v>
      </c>
      <c r="DX8" s="243">
        <f t="shared" si="18"/>
        <v>120</v>
      </c>
      <c r="DY8" s="243">
        <f t="shared" si="18"/>
        <v>121</v>
      </c>
      <c r="DZ8" s="243">
        <f t="shared" si="18"/>
        <v>122</v>
      </c>
      <c r="EA8" s="243">
        <f t="shared" si="18"/>
        <v>123</v>
      </c>
      <c r="EB8" s="243">
        <f t="shared" si="18"/>
        <v>124</v>
      </c>
      <c r="EC8" s="243">
        <f t="shared" si="18"/>
        <v>125</v>
      </c>
      <c r="ED8" s="243">
        <f t="shared" si="18"/>
        <v>126</v>
      </c>
      <c r="EE8" s="243">
        <f t="shared" si="18"/>
        <v>127</v>
      </c>
      <c r="EF8" s="243">
        <f t="shared" si="18"/>
        <v>128</v>
      </c>
      <c r="EG8" s="243">
        <f>EG5</f>
        <v>129</v>
      </c>
      <c r="EH8" s="243">
        <f>EH5</f>
        <v>130</v>
      </c>
      <c r="EI8" s="243">
        <f>EI5</f>
        <v>131</v>
      </c>
      <c r="EJ8" s="243">
        <f>EJ5</f>
        <v>132</v>
      </c>
    </row>
    <row r="9" spans="2:166" outlineLevel="1" x14ac:dyDescent="0.4">
      <c r="B9" s="1" t="s">
        <v>262</v>
      </c>
      <c r="H9" s="245">
        <f>H5</f>
        <v>0</v>
      </c>
      <c r="I9" s="243">
        <f>IF(OR(Model!I$8&lt;'Inputs &amp; Drivers'!$F40,Model!I$8&gt;'Inputs &amp; Drivers'!$J40),0,IF(I$8='Inputs &amp; Drivers'!$F40,1,Model!H9+1))</f>
        <v>0</v>
      </c>
      <c r="J9" s="243">
        <f>IF(OR(Model!J$8&lt;'Inputs &amp; Drivers'!$F40,Model!J$8&gt;'Inputs &amp; Drivers'!$J40),0,IF(J$8='Inputs &amp; Drivers'!$F40,1,Model!I9+1))</f>
        <v>0</v>
      </c>
      <c r="K9" s="243">
        <f>IF(OR(Model!K$8&lt;'Inputs &amp; Drivers'!$F40,Model!K$8&gt;'Inputs &amp; Drivers'!$J40),0,IF(K$8='Inputs &amp; Drivers'!$F40,1,Model!J9+1))</f>
        <v>0</v>
      </c>
      <c r="L9" s="243">
        <f>IF(OR(Model!L$8&lt;'Inputs &amp; Drivers'!$F40,Model!L$8&gt;'Inputs &amp; Drivers'!$J40),0,IF(L$8='Inputs &amp; Drivers'!$F40,1,Model!K9+1))</f>
        <v>0</v>
      </c>
      <c r="M9" s="243">
        <f>IF(OR(Model!M$8&lt;'Inputs &amp; Drivers'!$F40,Model!M$8&gt;'Inputs &amp; Drivers'!$J40),0,IF(M$8='Inputs &amp; Drivers'!$F40,1,Model!L9+1))</f>
        <v>0</v>
      </c>
      <c r="N9" s="243">
        <f>IF(OR(Model!N$8&lt;'Inputs &amp; Drivers'!$F40,Model!N$8&gt;'Inputs &amp; Drivers'!$J40),0,IF(N$8='Inputs &amp; Drivers'!$F40,1,Model!M9+1))</f>
        <v>0</v>
      </c>
      <c r="O9" s="243">
        <f>IF(OR(Model!O$8&lt;'Inputs &amp; Drivers'!$F40,Model!O$8&gt;'Inputs &amp; Drivers'!$J40),0,IF(O$8='Inputs &amp; Drivers'!$F40,1,Model!N9+1))</f>
        <v>1</v>
      </c>
      <c r="P9" s="243">
        <f>IF(OR(Model!P$8&lt;'Inputs &amp; Drivers'!$F40,Model!P$8&gt;'Inputs &amp; Drivers'!$J40),0,IF(P$8='Inputs &amp; Drivers'!$F40,1,Model!O9+1))</f>
        <v>2</v>
      </c>
      <c r="Q9" s="243">
        <f>IF(OR(Model!Q$8&lt;'Inputs &amp; Drivers'!$F40,Model!Q$8&gt;'Inputs &amp; Drivers'!$J40),0,IF(Q$8='Inputs &amp; Drivers'!$F40,1,Model!P9+1))</f>
        <v>3</v>
      </c>
      <c r="R9" s="243">
        <f>IF(OR(Model!R$8&lt;'Inputs &amp; Drivers'!$F40,Model!R$8&gt;'Inputs &amp; Drivers'!$J40),0,IF(R$8='Inputs &amp; Drivers'!$F40,1,Model!Q9+1))</f>
        <v>4</v>
      </c>
      <c r="S9" s="243">
        <f>IF(OR(Model!S$8&lt;'Inputs &amp; Drivers'!$F40,Model!S$8&gt;'Inputs &amp; Drivers'!$J40),0,IF(S$8='Inputs &amp; Drivers'!$F40,1,Model!R9+1))</f>
        <v>5</v>
      </c>
      <c r="T9" s="243">
        <f>IF(OR(Model!T$8&lt;'Inputs &amp; Drivers'!$F40,Model!T$8&gt;'Inputs &amp; Drivers'!$J40),0,IF(T$8='Inputs &amp; Drivers'!$F40,1,Model!S9+1))</f>
        <v>6</v>
      </c>
      <c r="U9" s="243">
        <f>IF(OR(Model!U$8&lt;'Inputs &amp; Drivers'!$F40,Model!U$8&gt;'Inputs &amp; Drivers'!$J40),0,IF(U$8='Inputs &amp; Drivers'!$F40,1,Model!T9+1))</f>
        <v>7</v>
      </c>
      <c r="V9" s="243">
        <f>IF(OR(Model!V$8&lt;'Inputs &amp; Drivers'!$F40,Model!V$8&gt;'Inputs &amp; Drivers'!$J40),0,IF(V$8='Inputs &amp; Drivers'!$F40,1,Model!U9+1))</f>
        <v>8</v>
      </c>
      <c r="W9" s="243">
        <f>IF(OR(Model!W$8&lt;'Inputs &amp; Drivers'!$F40,Model!W$8&gt;'Inputs &amp; Drivers'!$J40),0,IF(W$8='Inputs &amp; Drivers'!$F40,1,Model!V9+1))</f>
        <v>9</v>
      </c>
      <c r="X9" s="243">
        <f>IF(OR(Model!X$8&lt;'Inputs &amp; Drivers'!$F40,Model!X$8&gt;'Inputs &amp; Drivers'!$J40),0,IF(X$8='Inputs &amp; Drivers'!$F40,1,Model!W9+1))</f>
        <v>10</v>
      </c>
      <c r="Y9" s="243">
        <f>IF(OR(Model!Y$8&lt;'Inputs &amp; Drivers'!$F40,Model!Y$8&gt;'Inputs &amp; Drivers'!$J40),0,IF(Y$8='Inputs &amp; Drivers'!$F40,1,Model!X9+1))</f>
        <v>11</v>
      </c>
      <c r="Z9" s="243">
        <f>IF(OR(Model!Z$8&lt;'Inputs &amp; Drivers'!$F40,Model!Z$8&gt;'Inputs &amp; Drivers'!$J40),0,IF(Z$8='Inputs &amp; Drivers'!$F40,1,Model!Y9+1))</f>
        <v>12</v>
      </c>
      <c r="AA9" s="243">
        <f>IF(OR(Model!AA$8&lt;'Inputs &amp; Drivers'!$F40,Model!AA$8&gt;'Inputs &amp; Drivers'!$J40),0,IF(AA$8='Inputs &amp; Drivers'!$F40,1,Model!Z9+1))</f>
        <v>13</v>
      </c>
      <c r="AB9" s="243">
        <f>IF(OR(Model!AB$8&lt;'Inputs &amp; Drivers'!$F40,Model!AB$8&gt;'Inputs &amp; Drivers'!$J40),0,IF(AB$8='Inputs &amp; Drivers'!$F40,1,Model!AA9+1))</f>
        <v>14</v>
      </c>
      <c r="AC9" s="243">
        <f>IF(OR(Model!AC$8&lt;'Inputs &amp; Drivers'!$F40,Model!AC$8&gt;'Inputs &amp; Drivers'!$J40),0,IF(AC$8='Inputs &amp; Drivers'!$F40,1,Model!AB9+1))</f>
        <v>15</v>
      </c>
      <c r="AD9" s="243">
        <f>IF(OR(Model!AD$8&lt;'Inputs &amp; Drivers'!$F40,Model!AD$8&gt;'Inputs &amp; Drivers'!$J40),0,IF(AD$8='Inputs &amp; Drivers'!$F40,1,Model!AC9+1))</f>
        <v>16</v>
      </c>
      <c r="AE9" s="243">
        <f>IF(OR(Model!AE$8&lt;'Inputs &amp; Drivers'!$F40,Model!AE$8&gt;'Inputs &amp; Drivers'!$J40),0,IF(AE$8='Inputs &amp; Drivers'!$F40,1,Model!AD9+1))</f>
        <v>0</v>
      </c>
      <c r="AF9" s="243">
        <f>IF(OR(Model!AF$8&lt;'Inputs &amp; Drivers'!$F40,Model!AF$8&gt;'Inputs &amp; Drivers'!$J40),0,IF(AF$8='Inputs &amp; Drivers'!$F40,1,Model!AE9+1))</f>
        <v>0</v>
      </c>
      <c r="AG9" s="243">
        <f>IF(OR(Model!AG$8&lt;'Inputs &amp; Drivers'!$F40,Model!AG$8&gt;'Inputs &amp; Drivers'!$J40),0,IF(AG$8='Inputs &amp; Drivers'!$F40,1,Model!AF9+1))</f>
        <v>0</v>
      </c>
      <c r="AH9" s="243">
        <f>IF(OR(Model!AH$8&lt;'Inputs &amp; Drivers'!$F40,Model!AH$8&gt;'Inputs &amp; Drivers'!$J40),0,IF(AH$8='Inputs &amp; Drivers'!$F40,1,Model!AG9+1))</f>
        <v>0</v>
      </c>
      <c r="AI9" s="243">
        <f>IF(OR(Model!AI$8&lt;'Inputs &amp; Drivers'!$F40,Model!AI$8&gt;'Inputs &amp; Drivers'!$J40),0,IF(AI$8='Inputs &amp; Drivers'!$F40,1,Model!AH9+1))</f>
        <v>0</v>
      </c>
      <c r="AJ9" s="243">
        <f>IF(OR(Model!AJ$8&lt;'Inputs &amp; Drivers'!$F40,Model!AJ$8&gt;'Inputs &amp; Drivers'!$J40),0,IF(AJ$8='Inputs &amp; Drivers'!$F40,1,Model!AI9+1))</f>
        <v>0</v>
      </c>
      <c r="AK9" s="243">
        <f>IF(OR(Model!AK$8&lt;'Inputs &amp; Drivers'!$F40,Model!AK$8&gt;'Inputs &amp; Drivers'!$J40),0,IF(AK$8='Inputs &amp; Drivers'!$F40,1,Model!AJ9+1))</f>
        <v>0</v>
      </c>
      <c r="AL9" s="243">
        <f>IF(OR(Model!AL$8&lt;'Inputs &amp; Drivers'!$F40,Model!AL$8&gt;'Inputs &amp; Drivers'!$J40),0,IF(AL$8='Inputs &amp; Drivers'!$F40,1,Model!AK9+1))</f>
        <v>0</v>
      </c>
      <c r="AM9" s="243">
        <f>IF(OR(Model!AM$8&lt;'Inputs &amp; Drivers'!$F40,Model!AM$8&gt;'Inputs &amp; Drivers'!$J40),0,IF(AM$8='Inputs &amp; Drivers'!$F40,1,Model!AL9+1))</f>
        <v>0</v>
      </c>
      <c r="AN9" s="243">
        <f>IF(OR(Model!AN$8&lt;'Inputs &amp; Drivers'!$F40,Model!AN$8&gt;'Inputs &amp; Drivers'!$J40),0,IF(AN$8='Inputs &amp; Drivers'!$F40,1,Model!AM9+1))</f>
        <v>0</v>
      </c>
      <c r="AO9" s="243">
        <f>IF(OR(Model!AO$8&lt;'Inputs &amp; Drivers'!$F40,Model!AO$8&gt;'Inputs &amp; Drivers'!$J40),0,IF(AO$8='Inputs &amp; Drivers'!$F40,1,Model!AN9+1))</f>
        <v>0</v>
      </c>
      <c r="AP9" s="243">
        <f>IF(OR(Model!AP$8&lt;'Inputs &amp; Drivers'!$F40,Model!AP$8&gt;'Inputs &amp; Drivers'!$J40),0,IF(AP$8='Inputs &amp; Drivers'!$F40,1,Model!AO9+1))</f>
        <v>0</v>
      </c>
      <c r="AQ9" s="243">
        <f>IF(OR(Model!AQ$8&lt;'Inputs &amp; Drivers'!$F40,Model!AQ$8&gt;'Inputs &amp; Drivers'!$J40),0,IF(AQ$8='Inputs &amp; Drivers'!$F40,1,Model!AP9+1))</f>
        <v>0</v>
      </c>
      <c r="AR9" s="243">
        <f>IF(OR(Model!AR$8&lt;'Inputs &amp; Drivers'!$F40,Model!AR$8&gt;'Inputs &amp; Drivers'!$J40),0,IF(AR$8='Inputs &amp; Drivers'!$F40,1,Model!AQ9+1))</f>
        <v>0</v>
      </c>
      <c r="AS9" s="243">
        <f>IF(OR(Model!AS$8&lt;'Inputs &amp; Drivers'!$F40,Model!AS$8&gt;'Inputs &amp; Drivers'!$J40),0,IF(AS$8='Inputs &amp; Drivers'!$F40,1,Model!AR9+1))</f>
        <v>0</v>
      </c>
      <c r="AT9" s="243">
        <f>IF(OR(Model!AT$8&lt;'Inputs &amp; Drivers'!$F40,Model!AT$8&gt;'Inputs &amp; Drivers'!$J40),0,IF(AT$8='Inputs &amp; Drivers'!$F40,1,Model!AS9+1))</f>
        <v>0</v>
      </c>
      <c r="AU9" s="243">
        <f>IF(OR(Model!AU$8&lt;'Inputs &amp; Drivers'!$F40,Model!AU$8&gt;'Inputs &amp; Drivers'!$J40),0,IF(AU$8='Inputs &amp; Drivers'!$F40,1,Model!AT9+1))</f>
        <v>0</v>
      </c>
      <c r="AV9" s="243">
        <f>IF(OR(Model!AV$8&lt;'Inputs &amp; Drivers'!$F40,Model!AV$8&gt;'Inputs &amp; Drivers'!$J40),0,IF(AV$8='Inputs &amp; Drivers'!$F40,1,Model!AU9+1))</f>
        <v>0</v>
      </c>
      <c r="AW9" s="243">
        <f>IF(OR(Model!AW$8&lt;'Inputs &amp; Drivers'!$F40,Model!AW$8&gt;'Inputs &amp; Drivers'!$J40),0,IF(AW$8='Inputs &amp; Drivers'!$F40,1,Model!AV9+1))</f>
        <v>0</v>
      </c>
      <c r="AX9" s="243">
        <f>IF(OR(Model!AX$8&lt;'Inputs &amp; Drivers'!$F40,Model!AX$8&gt;'Inputs &amp; Drivers'!$J40),0,IF(AX$8='Inputs &amp; Drivers'!$F40,1,Model!AW9+1))</f>
        <v>0</v>
      </c>
      <c r="AY9" s="243">
        <f>IF(OR(Model!AY$8&lt;'Inputs &amp; Drivers'!$F40,Model!AY$8&gt;'Inputs &amp; Drivers'!$J40),0,IF(AY$8='Inputs &amp; Drivers'!$F40,1,Model!AX9+1))</f>
        <v>0</v>
      </c>
      <c r="AZ9" s="243">
        <f>IF(OR(Model!AZ$8&lt;'Inputs &amp; Drivers'!$F40,Model!AZ$8&gt;'Inputs &amp; Drivers'!$J40),0,IF(AZ$8='Inputs &amp; Drivers'!$F40,1,Model!AY9+1))</f>
        <v>0</v>
      </c>
      <c r="BA9" s="243">
        <f>IF(OR(Model!BA$8&lt;'Inputs &amp; Drivers'!$F40,Model!BA$8&gt;'Inputs &amp; Drivers'!$J40),0,IF(BA$8='Inputs &amp; Drivers'!$F40,1,Model!AZ9+1))</f>
        <v>0</v>
      </c>
      <c r="BB9" s="243">
        <f>IF(OR(Model!BB$8&lt;'Inputs &amp; Drivers'!$F40,Model!BB$8&gt;'Inputs &amp; Drivers'!$J40),0,IF(BB$8='Inputs &amp; Drivers'!$F40,1,Model!BA9+1))</f>
        <v>0</v>
      </c>
      <c r="BC9" s="243">
        <f>IF(OR(Model!BC$8&lt;'Inputs &amp; Drivers'!$F40,Model!BC$8&gt;'Inputs &amp; Drivers'!$J40),0,IF(BC$8='Inputs &amp; Drivers'!$F40,1,Model!BB9+1))</f>
        <v>0</v>
      </c>
      <c r="BD9" s="243">
        <f>IF(OR(Model!BD$8&lt;'Inputs &amp; Drivers'!$F40,Model!BD$8&gt;'Inputs &amp; Drivers'!$J40),0,IF(BD$8='Inputs &amp; Drivers'!$F40,1,Model!BC9+1))</f>
        <v>0</v>
      </c>
      <c r="BE9" s="243">
        <f>IF(OR(Model!BE$8&lt;'Inputs &amp; Drivers'!$F40,Model!BE$8&gt;'Inputs &amp; Drivers'!$J40),0,IF(BE$8='Inputs &amp; Drivers'!$F40,1,Model!BD9+1))</f>
        <v>0</v>
      </c>
      <c r="BF9" s="243">
        <f>IF(OR(Model!BF$8&lt;'Inputs &amp; Drivers'!$F40,Model!BF$8&gt;'Inputs &amp; Drivers'!$J40),0,IF(BF$8='Inputs &amp; Drivers'!$F40,1,Model!BE9+1))</f>
        <v>0</v>
      </c>
      <c r="BG9" s="243">
        <f>IF(OR(Model!BG$8&lt;'Inputs &amp; Drivers'!$F40,Model!BG$8&gt;'Inputs &amp; Drivers'!$J40),0,IF(BG$8='Inputs &amp; Drivers'!$F40,1,Model!BF9+1))</f>
        <v>0</v>
      </c>
      <c r="BH9" s="243">
        <f>IF(OR(Model!BH$8&lt;'Inputs &amp; Drivers'!$F40,Model!BH$8&gt;'Inputs &amp; Drivers'!$J40),0,IF(BH$8='Inputs &amp; Drivers'!$F40,1,Model!BG9+1))</f>
        <v>0</v>
      </c>
      <c r="BI9" s="243">
        <f>IF(OR(Model!BI$8&lt;'Inputs &amp; Drivers'!$F40,Model!BI$8&gt;'Inputs &amp; Drivers'!$J40),0,IF(BI$8='Inputs &amp; Drivers'!$F40,1,Model!BH9+1))</f>
        <v>0</v>
      </c>
      <c r="BJ9" s="243">
        <f>IF(OR(Model!BJ$8&lt;'Inputs &amp; Drivers'!$F40,Model!BJ$8&gt;'Inputs &amp; Drivers'!$J40),0,IF(BJ$8='Inputs &amp; Drivers'!$F40,1,Model!BI9+1))</f>
        <v>0</v>
      </c>
      <c r="BK9" s="243">
        <f>IF(OR(Model!BK$8&lt;'Inputs &amp; Drivers'!$F40,Model!BK$8&gt;'Inputs &amp; Drivers'!$J40),0,IF(BK$8='Inputs &amp; Drivers'!$F40,1,Model!BJ9+1))</f>
        <v>0</v>
      </c>
      <c r="BL9" s="243">
        <f>IF(OR(Model!BL$8&lt;'Inputs &amp; Drivers'!$F40,Model!BL$8&gt;'Inputs &amp; Drivers'!$J40),0,IF(BL$8='Inputs &amp; Drivers'!$F40,1,Model!BK9+1))</f>
        <v>0</v>
      </c>
      <c r="BM9" s="243">
        <f>IF(OR(Model!BM$8&lt;'Inputs &amp; Drivers'!$F40,Model!BM$8&gt;'Inputs &amp; Drivers'!$J40),0,IF(BM$8='Inputs &amp; Drivers'!$F40,1,Model!BL9+1))</f>
        <v>0</v>
      </c>
      <c r="BN9" s="243">
        <f>IF(OR(Model!BN$8&lt;'Inputs &amp; Drivers'!$F40,Model!BN$8&gt;'Inputs &amp; Drivers'!$J40),0,IF(BN$8='Inputs &amp; Drivers'!$F40,1,Model!BM9+1))</f>
        <v>0</v>
      </c>
      <c r="BO9" s="243">
        <f>IF(OR(Model!BO$8&lt;'Inputs &amp; Drivers'!$F40,Model!BO$8&gt;'Inputs &amp; Drivers'!$J40),0,IF(BO$8='Inputs &amp; Drivers'!$F40,1,Model!BN9+1))</f>
        <v>0</v>
      </c>
      <c r="BP9" s="243">
        <f>IF(OR(Model!BP$8&lt;'Inputs &amp; Drivers'!$F40,Model!BP$8&gt;'Inputs &amp; Drivers'!$J40),0,IF(BP$8='Inputs &amp; Drivers'!$F40,1,Model!BO9+1))</f>
        <v>0</v>
      </c>
      <c r="BQ9" s="243">
        <f>IF(OR(Model!BQ$8&lt;'Inputs &amp; Drivers'!$F40,Model!BQ$8&gt;'Inputs &amp; Drivers'!$J40),0,IF(BQ$8='Inputs &amp; Drivers'!$F40,1,Model!BP9+1))</f>
        <v>0</v>
      </c>
      <c r="BR9" s="243">
        <f>IF(OR(Model!BR$8&lt;'Inputs &amp; Drivers'!$F40,Model!BR$8&gt;'Inputs &amp; Drivers'!$J40),0,IF(BR$8='Inputs &amp; Drivers'!$F40,1,Model!BQ9+1))</f>
        <v>0</v>
      </c>
      <c r="BS9" s="243">
        <f>IF(OR(Model!BS$8&lt;'Inputs &amp; Drivers'!$F40,Model!BS$8&gt;'Inputs &amp; Drivers'!$J40),0,IF(BS$8='Inputs &amp; Drivers'!$F40,1,Model!BR9+1))</f>
        <v>0</v>
      </c>
      <c r="BT9" s="243">
        <f>IF(OR(Model!BT$8&lt;'Inputs &amp; Drivers'!$F40,Model!BT$8&gt;'Inputs &amp; Drivers'!$J40),0,IF(BT$8='Inputs &amp; Drivers'!$F40,1,Model!BS9+1))</f>
        <v>0</v>
      </c>
      <c r="BU9" s="243">
        <f>IF(OR(Model!BU$8&lt;'Inputs &amp; Drivers'!$F40,Model!BU$8&gt;'Inputs &amp; Drivers'!$J40),0,IF(BU$8='Inputs &amp; Drivers'!$F40,1,Model!BT9+1))</f>
        <v>0</v>
      </c>
      <c r="BV9" s="243">
        <f>IF(OR(Model!BV$8&lt;'Inputs &amp; Drivers'!$F40,Model!BV$8&gt;'Inputs &amp; Drivers'!$J40),0,IF(BV$8='Inputs &amp; Drivers'!$F40,1,Model!BU9+1))</f>
        <v>0</v>
      </c>
      <c r="BW9" s="243">
        <f>IF(OR(Model!BW$8&lt;'Inputs &amp; Drivers'!$F40,Model!BW$8&gt;'Inputs &amp; Drivers'!$J40),0,IF(BW$8='Inputs &amp; Drivers'!$F40,1,Model!BV9+1))</f>
        <v>0</v>
      </c>
      <c r="BX9" s="243">
        <f>IF(OR(Model!BX$8&lt;'Inputs &amp; Drivers'!$F40,Model!BX$8&gt;'Inputs &amp; Drivers'!$J40),0,IF(BX$8='Inputs &amp; Drivers'!$F40,1,Model!BW9+1))</f>
        <v>0</v>
      </c>
      <c r="BY9" s="243">
        <f>IF(OR(Model!BY$8&lt;'Inputs &amp; Drivers'!$F40,Model!BY$8&gt;'Inputs &amp; Drivers'!$J40),0,IF(BY$8='Inputs &amp; Drivers'!$F40,1,Model!BX9+1))</f>
        <v>0</v>
      </c>
      <c r="BZ9" s="243">
        <f>IF(OR(Model!BZ$8&lt;'Inputs &amp; Drivers'!$F40,Model!BZ$8&gt;'Inputs &amp; Drivers'!$J40),0,IF(BZ$8='Inputs &amp; Drivers'!$F40,1,Model!BY9+1))</f>
        <v>0</v>
      </c>
      <c r="CA9" s="243">
        <f>IF(OR(Model!CA$8&lt;'Inputs &amp; Drivers'!$F40,Model!CA$8&gt;'Inputs &amp; Drivers'!$J40),0,IF(CA$8='Inputs &amp; Drivers'!$F40,1,Model!BZ9+1))</f>
        <v>0</v>
      </c>
      <c r="CB9" s="243">
        <f>IF(OR(Model!CB$8&lt;'Inputs &amp; Drivers'!$F40,Model!CB$8&gt;'Inputs &amp; Drivers'!$J40),0,IF(CB$8='Inputs &amp; Drivers'!$F40,1,Model!CA9+1))</f>
        <v>0</v>
      </c>
      <c r="CC9" s="243">
        <f>IF(OR(Model!CC$8&lt;'Inputs &amp; Drivers'!$F40,Model!CC$8&gt;'Inputs &amp; Drivers'!$J40),0,IF(CC$8='Inputs &amp; Drivers'!$F40,1,Model!CB9+1))</f>
        <v>0</v>
      </c>
      <c r="CD9" s="243">
        <f>IF(OR(Model!CD$8&lt;'Inputs &amp; Drivers'!$F40,Model!CD$8&gt;'Inputs &amp; Drivers'!$J40),0,IF(CD$8='Inputs &amp; Drivers'!$F40,1,Model!CC9+1))</f>
        <v>0</v>
      </c>
      <c r="CE9" s="243">
        <f>IF(OR(Model!CE$8&lt;'Inputs &amp; Drivers'!$F40,Model!CE$8&gt;'Inputs &amp; Drivers'!$J40),0,IF(CE$8='Inputs &amp; Drivers'!$F40,1,Model!CD9+1))</f>
        <v>0</v>
      </c>
      <c r="CF9" s="243">
        <f>IF(OR(Model!CF$8&lt;'Inputs &amp; Drivers'!$F40,Model!CF$8&gt;'Inputs &amp; Drivers'!$J40),0,IF(CF$8='Inputs &amp; Drivers'!$F40,1,Model!CE9+1))</f>
        <v>0</v>
      </c>
      <c r="CG9" s="243">
        <f>IF(OR(Model!CG$8&lt;'Inputs &amp; Drivers'!$F40,Model!CG$8&gt;'Inputs &amp; Drivers'!$J40),0,IF(CG$8='Inputs &amp; Drivers'!$F40,1,Model!CF9+1))</f>
        <v>0</v>
      </c>
      <c r="CH9" s="243">
        <f>IF(OR(Model!CH$8&lt;'Inputs &amp; Drivers'!$F40,Model!CH$8&gt;'Inputs &amp; Drivers'!$J40),0,IF(CH$8='Inputs &amp; Drivers'!$F40,1,Model!CG9+1))</f>
        <v>0</v>
      </c>
      <c r="CI9" s="243">
        <f>IF(OR(Model!CI$8&lt;'Inputs &amp; Drivers'!$F40,Model!CI$8&gt;'Inputs &amp; Drivers'!$J40),0,IF(CI$8='Inputs &amp; Drivers'!$F40,1,Model!CH9+1))</f>
        <v>0</v>
      </c>
      <c r="CJ9" s="243">
        <f>IF(OR(Model!CJ$8&lt;'Inputs &amp; Drivers'!$F40,Model!CJ$8&gt;'Inputs &amp; Drivers'!$J40),0,IF(CJ$8='Inputs &amp; Drivers'!$F40,1,Model!CI9+1))</f>
        <v>0</v>
      </c>
      <c r="CK9" s="243">
        <f>IF(OR(Model!CK$8&lt;'Inputs &amp; Drivers'!$F40,Model!CK$8&gt;'Inputs &amp; Drivers'!$J40),0,IF(CK$8='Inputs &amp; Drivers'!$F40,1,Model!CJ9+1))</f>
        <v>0</v>
      </c>
      <c r="CL9" s="243">
        <f>IF(OR(Model!CL$8&lt;'Inputs &amp; Drivers'!$F40,Model!CL$8&gt;'Inputs &amp; Drivers'!$J40),0,IF(CL$8='Inputs &amp; Drivers'!$F40,1,Model!CK9+1))</f>
        <v>0</v>
      </c>
      <c r="CM9" s="243">
        <f>IF(OR(Model!CM$8&lt;'Inputs &amp; Drivers'!$F40,Model!CM$8&gt;'Inputs &amp; Drivers'!$J40),0,IF(CM$8='Inputs &amp; Drivers'!$F40,1,Model!CL9+1))</f>
        <v>0</v>
      </c>
      <c r="CN9" s="243">
        <f>IF(OR(Model!CN$8&lt;'Inputs &amp; Drivers'!$F40,Model!CN$8&gt;'Inputs &amp; Drivers'!$J40),0,IF(CN$8='Inputs &amp; Drivers'!$F40,1,Model!CM9+1))</f>
        <v>0</v>
      </c>
      <c r="CO9" s="243">
        <f>IF(OR(Model!CO$8&lt;'Inputs &amp; Drivers'!$F40,Model!CO$8&gt;'Inputs &amp; Drivers'!$J40),0,IF(CO$8='Inputs &amp; Drivers'!$F40,1,Model!CN9+1))</f>
        <v>0</v>
      </c>
      <c r="CP9" s="243">
        <f>IF(OR(Model!CP$8&lt;'Inputs &amp; Drivers'!$F40,Model!CP$8&gt;'Inputs &amp; Drivers'!$J40),0,IF(CP$8='Inputs &amp; Drivers'!$F40,1,Model!CO9+1))</f>
        <v>0</v>
      </c>
      <c r="CQ9" s="243">
        <f>IF(OR(Model!CQ$8&lt;'Inputs &amp; Drivers'!$F40,Model!CQ$8&gt;'Inputs &amp; Drivers'!$J40),0,IF(CQ$8='Inputs &amp; Drivers'!$F40,1,Model!CP9+1))</f>
        <v>0</v>
      </c>
      <c r="CR9" s="243">
        <f>IF(OR(Model!CR$8&lt;'Inputs &amp; Drivers'!$F40,Model!CR$8&gt;'Inputs &amp; Drivers'!$J40),0,IF(CR$8='Inputs &amp; Drivers'!$F40,1,Model!CQ9+1))</f>
        <v>0</v>
      </c>
      <c r="CS9" s="243">
        <f>IF(OR(Model!CS$8&lt;'Inputs &amp; Drivers'!$F40,Model!CS$8&gt;'Inputs &amp; Drivers'!$J40),0,IF(CS$8='Inputs &amp; Drivers'!$F40,1,Model!CR9+1))</f>
        <v>0</v>
      </c>
      <c r="CT9" s="243">
        <f>IF(OR(Model!CT$8&lt;'Inputs &amp; Drivers'!$F40,Model!CT$8&gt;'Inputs &amp; Drivers'!$J40),0,IF(CT$8='Inputs &amp; Drivers'!$F40,1,Model!CS9+1))</f>
        <v>0</v>
      </c>
      <c r="CU9" s="243">
        <f>IF(OR(Model!CU$8&lt;'Inputs &amp; Drivers'!$F40,Model!CU$8&gt;'Inputs &amp; Drivers'!$J40),0,IF(CU$8='Inputs &amp; Drivers'!$F40,1,Model!CT9+1))</f>
        <v>0</v>
      </c>
      <c r="CV9" s="243">
        <f>IF(OR(Model!CV$8&lt;'Inputs &amp; Drivers'!$F40,Model!CV$8&gt;'Inputs &amp; Drivers'!$J40),0,IF(CV$8='Inputs &amp; Drivers'!$F40,1,Model!CU9+1))</f>
        <v>0</v>
      </c>
      <c r="CW9" s="243">
        <f>IF(OR(Model!CW$8&lt;'Inputs &amp; Drivers'!$F40,Model!CW$8&gt;'Inputs &amp; Drivers'!$J40),0,IF(CW$8='Inputs &amp; Drivers'!$F40,1,Model!CV9+1))</f>
        <v>0</v>
      </c>
      <c r="CX9" s="243">
        <f>IF(OR(Model!CX$8&lt;'Inputs &amp; Drivers'!$F40,Model!CX$8&gt;'Inputs &amp; Drivers'!$J40),0,IF(CX$8='Inputs &amp; Drivers'!$F40,1,Model!CW9+1))</f>
        <v>0</v>
      </c>
      <c r="CY9" s="243">
        <f>IF(OR(Model!CY$8&lt;'Inputs &amp; Drivers'!$F40,Model!CY$8&gt;'Inputs &amp; Drivers'!$J40),0,IF(CY$8='Inputs &amp; Drivers'!$F40,1,Model!CX9+1))</f>
        <v>0</v>
      </c>
      <c r="CZ9" s="243">
        <f>IF(OR(Model!CZ$8&lt;'Inputs &amp; Drivers'!$F40,Model!CZ$8&gt;'Inputs &amp; Drivers'!$J40),0,IF(CZ$8='Inputs &amp; Drivers'!$F40,1,Model!CY9+1))</f>
        <v>0</v>
      </c>
      <c r="DA9" s="243">
        <f>IF(OR(Model!DA$8&lt;'Inputs &amp; Drivers'!$F40,Model!DA$8&gt;'Inputs &amp; Drivers'!$J40),0,IF(DA$8='Inputs &amp; Drivers'!$F40,1,Model!CZ9+1))</f>
        <v>0</v>
      </c>
      <c r="DB9" s="243">
        <f>IF(OR(Model!DB$8&lt;'Inputs &amp; Drivers'!$F40,Model!DB$8&gt;'Inputs &amp; Drivers'!$J40),0,IF(DB$8='Inputs &amp; Drivers'!$F40,1,Model!DA9+1))</f>
        <v>0</v>
      </c>
      <c r="DC9" s="243">
        <f>IF(OR(Model!DC$8&lt;'Inputs &amp; Drivers'!$F40,Model!DC$8&gt;'Inputs &amp; Drivers'!$J40),0,IF(DC$8='Inputs &amp; Drivers'!$F40,1,Model!DB9+1))</f>
        <v>0</v>
      </c>
      <c r="DD9" s="243">
        <f>IF(OR(Model!DD$8&lt;'Inputs &amp; Drivers'!$F40,Model!DD$8&gt;'Inputs &amp; Drivers'!$J40),0,IF(DD$8='Inputs &amp; Drivers'!$F40,1,Model!DC9+1))</f>
        <v>0</v>
      </c>
      <c r="DE9" s="243">
        <f>IF(OR(Model!DE$8&lt;'Inputs &amp; Drivers'!$F40,Model!DE$8&gt;'Inputs &amp; Drivers'!$J40),0,IF(DE$8='Inputs &amp; Drivers'!$F40,1,Model!DD9+1))</f>
        <v>0</v>
      </c>
      <c r="DF9" s="243">
        <f>IF(OR(Model!DF$8&lt;'Inputs &amp; Drivers'!$F40,Model!DF$8&gt;'Inputs &amp; Drivers'!$J40),0,IF(DF$8='Inputs &amp; Drivers'!$F40,1,Model!DE9+1))</f>
        <v>0</v>
      </c>
      <c r="DG9" s="243">
        <f>IF(OR(Model!DG$8&lt;'Inputs &amp; Drivers'!$F40,Model!DG$8&gt;'Inputs &amp; Drivers'!$J40),0,IF(DG$8='Inputs &amp; Drivers'!$F40,1,Model!DF9+1))</f>
        <v>0</v>
      </c>
      <c r="DH9" s="243">
        <f>IF(OR(Model!DH$8&lt;'Inputs &amp; Drivers'!$F40,Model!DH$8&gt;'Inputs &amp; Drivers'!$J40),0,IF(DH$8='Inputs &amp; Drivers'!$F40,1,Model!DG9+1))</f>
        <v>0</v>
      </c>
      <c r="DI9" s="243">
        <f>IF(OR(Model!DI$8&lt;'Inputs &amp; Drivers'!$F40,Model!DI$8&gt;'Inputs &amp; Drivers'!$J40),0,IF(DI$8='Inputs &amp; Drivers'!$F40,1,Model!DH9+1))</f>
        <v>0</v>
      </c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</row>
    <row r="10" spans="2:166" outlineLevel="1" x14ac:dyDescent="0.4">
      <c r="B10" s="1" t="s">
        <v>271</v>
      </c>
      <c r="H10" s="246"/>
      <c r="I10" s="243">
        <f>IF(OR(Model!I$8&lt;'Inputs &amp; Drivers'!$F41,Model!I$8&gt;'Inputs &amp; Drivers'!$J41),0,IF(I$8='Inputs &amp; Drivers'!$F41,1,Model!H10+1))</f>
        <v>0</v>
      </c>
      <c r="J10" s="243">
        <f>IF(OR(Model!J$8&lt;'Inputs &amp; Drivers'!$F41,Model!J$8&gt;'Inputs &amp; Drivers'!$J41),0,IF(J$8='Inputs &amp; Drivers'!$F41,1,Model!I10+1))</f>
        <v>0</v>
      </c>
      <c r="K10" s="243">
        <f>IF(OR(Model!K$8&lt;'Inputs &amp; Drivers'!$F41,Model!K$8&gt;'Inputs &amp; Drivers'!$J41),0,IF(K$8='Inputs &amp; Drivers'!$F41,1,Model!J10+1))</f>
        <v>0</v>
      </c>
      <c r="L10" s="243">
        <f>IF(OR(Model!L$8&lt;'Inputs &amp; Drivers'!$F41,Model!L$8&gt;'Inputs &amp; Drivers'!$J41),0,IF(L$8='Inputs &amp; Drivers'!$F41,1,Model!K10+1))</f>
        <v>0</v>
      </c>
      <c r="M10" s="243">
        <f>IF(OR(Model!M$8&lt;'Inputs &amp; Drivers'!$F41,Model!M$8&gt;'Inputs &amp; Drivers'!$J41),0,IF(M$8='Inputs &amp; Drivers'!$F41,1,Model!L10+1))</f>
        <v>0</v>
      </c>
      <c r="N10" s="243">
        <f>IF(OR(Model!N$8&lt;'Inputs &amp; Drivers'!$F41,Model!N$8&gt;'Inputs &amp; Drivers'!$J41),0,IF(N$8='Inputs &amp; Drivers'!$F41,1,Model!M10+1))</f>
        <v>0</v>
      </c>
      <c r="O10" s="243">
        <f>IF(OR(Model!O$8&lt;'Inputs &amp; Drivers'!$F41,Model!O$8&gt;'Inputs &amp; Drivers'!$J41),0,IF(O$8='Inputs &amp; Drivers'!$F41,1,Model!N10+1))</f>
        <v>0</v>
      </c>
      <c r="P10" s="243">
        <f>IF(OR(Model!P$8&lt;'Inputs &amp; Drivers'!$F41,Model!P$8&gt;'Inputs &amp; Drivers'!$J41),0,IF(P$8='Inputs &amp; Drivers'!$F41,1,Model!O10+1))</f>
        <v>0</v>
      </c>
      <c r="Q10" s="243">
        <f>IF(OR(Model!Q$8&lt;'Inputs &amp; Drivers'!$F41,Model!Q$8&gt;'Inputs &amp; Drivers'!$J41),0,IF(Q$8='Inputs &amp; Drivers'!$F41,1,Model!P10+1))</f>
        <v>0</v>
      </c>
      <c r="R10" s="243">
        <f>IF(OR(Model!R$8&lt;'Inputs &amp; Drivers'!$F41,Model!R$8&gt;'Inputs &amp; Drivers'!$J41),0,IF(R$8='Inputs &amp; Drivers'!$F41,1,Model!Q10+1))</f>
        <v>0</v>
      </c>
      <c r="S10" s="243">
        <f>IF(OR(Model!S$8&lt;'Inputs &amp; Drivers'!$F41,Model!S$8&gt;'Inputs &amp; Drivers'!$J41),0,IF(S$8='Inputs &amp; Drivers'!$F41,1,Model!R10+1))</f>
        <v>0</v>
      </c>
      <c r="T10" s="243">
        <f>IF(OR(Model!T$8&lt;'Inputs &amp; Drivers'!$F41,Model!T$8&gt;'Inputs &amp; Drivers'!$J41),0,IF(T$8='Inputs &amp; Drivers'!$F41,1,Model!S10+1))</f>
        <v>0</v>
      </c>
      <c r="U10" s="243">
        <f>IF(OR(Model!U$8&lt;'Inputs &amp; Drivers'!$F41,Model!U$8&gt;'Inputs &amp; Drivers'!$J41),0,IF(U$8='Inputs &amp; Drivers'!$F41,1,Model!T10+1))</f>
        <v>0</v>
      </c>
      <c r="V10" s="243">
        <f>IF(OR(Model!V$8&lt;'Inputs &amp; Drivers'!$F41,Model!V$8&gt;'Inputs &amp; Drivers'!$J41),0,IF(V$8='Inputs &amp; Drivers'!$F41,1,Model!U10+1))</f>
        <v>0</v>
      </c>
      <c r="W10" s="243">
        <f>IF(OR(Model!W$8&lt;'Inputs &amp; Drivers'!$F41,Model!W$8&gt;'Inputs &amp; Drivers'!$J41),0,IF(W$8='Inputs &amp; Drivers'!$F41,1,Model!V10+1))</f>
        <v>0</v>
      </c>
      <c r="X10" s="243">
        <f>IF(OR(Model!X$8&lt;'Inputs &amp; Drivers'!$F41,Model!X$8&gt;'Inputs &amp; Drivers'!$J41),0,IF(X$8='Inputs &amp; Drivers'!$F41,1,Model!W10+1))</f>
        <v>1</v>
      </c>
      <c r="Y10" s="243">
        <f>IF(OR(Model!Y$8&lt;'Inputs &amp; Drivers'!$F41,Model!Y$8&gt;'Inputs &amp; Drivers'!$J41),0,IF(Y$8='Inputs &amp; Drivers'!$F41,1,Model!X10+1))</f>
        <v>2</v>
      </c>
      <c r="Z10" s="243">
        <f>IF(OR(Model!Z$8&lt;'Inputs &amp; Drivers'!$F41,Model!Z$8&gt;'Inputs &amp; Drivers'!$J41),0,IF(Z$8='Inputs &amp; Drivers'!$F41,1,Model!Y10+1))</f>
        <v>3</v>
      </c>
      <c r="AA10" s="243">
        <f>IF(OR(Model!AA$8&lt;'Inputs &amp; Drivers'!$F41,Model!AA$8&gt;'Inputs &amp; Drivers'!$J41),0,IF(AA$8='Inputs &amp; Drivers'!$F41,1,Model!Z10+1))</f>
        <v>4</v>
      </c>
      <c r="AB10" s="243">
        <f>IF(OR(Model!AB$8&lt;'Inputs &amp; Drivers'!$F41,Model!AB$8&gt;'Inputs &amp; Drivers'!$J41),0,IF(AB$8='Inputs &amp; Drivers'!$F41,1,Model!AA10+1))</f>
        <v>5</v>
      </c>
      <c r="AC10" s="243">
        <f>IF(OR(Model!AC$8&lt;'Inputs &amp; Drivers'!$F41,Model!AC$8&gt;'Inputs &amp; Drivers'!$J41),0,IF(AC$8='Inputs &amp; Drivers'!$F41,1,Model!AB10+1))</f>
        <v>6</v>
      </c>
      <c r="AD10" s="243">
        <f>IF(OR(Model!AD$8&lt;'Inputs &amp; Drivers'!$F41,Model!AD$8&gt;'Inputs &amp; Drivers'!$J41),0,IF(AD$8='Inputs &amp; Drivers'!$F41,1,Model!AC10+1))</f>
        <v>7</v>
      </c>
      <c r="AE10" s="243">
        <f>IF(OR(Model!AE$8&lt;'Inputs &amp; Drivers'!$F41,Model!AE$8&gt;'Inputs &amp; Drivers'!$J41),0,IF(AE$8='Inputs &amp; Drivers'!$F41,1,Model!AD10+1))</f>
        <v>8</v>
      </c>
      <c r="AF10" s="243">
        <f>IF(OR(Model!AF$8&lt;'Inputs &amp; Drivers'!$F41,Model!AF$8&gt;'Inputs &amp; Drivers'!$J41),0,IF(AF$8='Inputs &amp; Drivers'!$F41,1,Model!AE10+1))</f>
        <v>9</v>
      </c>
      <c r="AG10" s="243">
        <f>IF(OR(Model!AG$8&lt;'Inputs &amp; Drivers'!$F41,Model!AG$8&gt;'Inputs &amp; Drivers'!$J41),0,IF(AG$8='Inputs &amp; Drivers'!$F41,1,Model!AF10+1))</f>
        <v>10</v>
      </c>
      <c r="AH10" s="243">
        <f>IF(OR(Model!AH$8&lt;'Inputs &amp; Drivers'!$F41,Model!AH$8&gt;'Inputs &amp; Drivers'!$J41),0,IF(AH$8='Inputs &amp; Drivers'!$F41,1,Model!AG10+1))</f>
        <v>0</v>
      </c>
      <c r="AI10" s="243">
        <f>IF(OR(Model!AI$8&lt;'Inputs &amp; Drivers'!$F41,Model!AI$8&gt;'Inputs &amp; Drivers'!$J41),0,IF(AI$8='Inputs &amp; Drivers'!$F41,1,Model!AH10+1))</f>
        <v>0</v>
      </c>
      <c r="AJ10" s="243">
        <f>IF(OR(Model!AJ$8&lt;'Inputs &amp; Drivers'!$F41,Model!AJ$8&gt;'Inputs &amp; Drivers'!$J41),0,IF(AJ$8='Inputs &amp; Drivers'!$F41,1,Model!AI10+1))</f>
        <v>0</v>
      </c>
      <c r="AK10" s="243">
        <f>IF(OR(Model!AK$8&lt;'Inputs &amp; Drivers'!$F41,Model!AK$8&gt;'Inputs &amp; Drivers'!$J41),0,IF(AK$8='Inputs &amp; Drivers'!$F41,1,Model!AJ10+1))</f>
        <v>0</v>
      </c>
      <c r="AL10" s="243">
        <f>IF(OR(Model!AL$8&lt;'Inputs &amp; Drivers'!$F41,Model!AL$8&gt;'Inputs &amp; Drivers'!$J41),0,IF(AL$8='Inputs &amp; Drivers'!$F41,1,Model!AK10+1))</f>
        <v>0</v>
      </c>
      <c r="AM10" s="243">
        <f>IF(OR(Model!AM$8&lt;'Inputs &amp; Drivers'!$F41,Model!AM$8&gt;'Inputs &amp; Drivers'!$J41),0,IF(AM$8='Inputs &amp; Drivers'!$F41,1,Model!AL10+1))</f>
        <v>0</v>
      </c>
      <c r="AN10" s="243">
        <f>IF(OR(Model!AN$8&lt;'Inputs &amp; Drivers'!$F41,Model!AN$8&gt;'Inputs &amp; Drivers'!$J41),0,IF(AN$8='Inputs &amp; Drivers'!$F41,1,Model!AM10+1))</f>
        <v>0</v>
      </c>
      <c r="AO10" s="243">
        <f>IF(OR(Model!AO$8&lt;'Inputs &amp; Drivers'!$F41,Model!AO$8&gt;'Inputs &amp; Drivers'!$J41),0,IF(AO$8='Inputs &amp; Drivers'!$F41,1,Model!AN10+1))</f>
        <v>0</v>
      </c>
      <c r="AP10" s="243">
        <f>IF(OR(Model!AP$8&lt;'Inputs &amp; Drivers'!$F41,Model!AP$8&gt;'Inputs &amp; Drivers'!$J41),0,IF(AP$8='Inputs &amp; Drivers'!$F41,1,Model!AO10+1))</f>
        <v>0</v>
      </c>
      <c r="AQ10" s="243">
        <f>IF(OR(Model!AQ$8&lt;'Inputs &amp; Drivers'!$F41,Model!AQ$8&gt;'Inputs &amp; Drivers'!$J41),0,IF(AQ$8='Inputs &amp; Drivers'!$F41,1,Model!AP10+1))</f>
        <v>0</v>
      </c>
      <c r="AR10" s="243">
        <f>IF(OR(Model!AR$8&lt;'Inputs &amp; Drivers'!$F41,Model!AR$8&gt;'Inputs &amp; Drivers'!$J41),0,IF(AR$8='Inputs &amp; Drivers'!$F41,1,Model!AQ10+1))</f>
        <v>0</v>
      </c>
      <c r="AS10" s="243">
        <f>IF(OR(Model!AS$8&lt;'Inputs &amp; Drivers'!$F41,Model!AS$8&gt;'Inputs &amp; Drivers'!$J41),0,IF(AS$8='Inputs &amp; Drivers'!$F41,1,Model!AR10+1))</f>
        <v>0</v>
      </c>
      <c r="AT10" s="243">
        <f>IF(OR(Model!AT$8&lt;'Inputs &amp; Drivers'!$F41,Model!AT$8&gt;'Inputs &amp; Drivers'!$J41),0,IF(AT$8='Inputs &amp; Drivers'!$F41,1,Model!AS10+1))</f>
        <v>0</v>
      </c>
      <c r="AU10" s="243">
        <f>IF(OR(Model!AU$8&lt;'Inputs &amp; Drivers'!$F41,Model!AU$8&gt;'Inputs &amp; Drivers'!$J41),0,IF(AU$8='Inputs &amp; Drivers'!$F41,1,Model!AT10+1))</f>
        <v>0</v>
      </c>
      <c r="AV10" s="243">
        <f>IF(OR(Model!AV$8&lt;'Inputs &amp; Drivers'!$F41,Model!AV$8&gt;'Inputs &amp; Drivers'!$J41),0,IF(AV$8='Inputs &amp; Drivers'!$F41,1,Model!AU10+1))</f>
        <v>0</v>
      </c>
      <c r="AW10" s="243">
        <f>IF(OR(Model!AW$8&lt;'Inputs &amp; Drivers'!$F41,Model!AW$8&gt;'Inputs &amp; Drivers'!$J41),0,IF(AW$8='Inputs &amp; Drivers'!$F41,1,Model!AV10+1))</f>
        <v>0</v>
      </c>
      <c r="AX10" s="243">
        <f>IF(OR(Model!AX$8&lt;'Inputs &amp; Drivers'!$F41,Model!AX$8&gt;'Inputs &amp; Drivers'!$J41),0,IF(AX$8='Inputs &amp; Drivers'!$F41,1,Model!AW10+1))</f>
        <v>0</v>
      </c>
      <c r="AY10" s="243">
        <f>IF(OR(Model!AY$8&lt;'Inputs &amp; Drivers'!$F41,Model!AY$8&gt;'Inputs &amp; Drivers'!$J41),0,IF(AY$8='Inputs &amp; Drivers'!$F41,1,Model!AX10+1))</f>
        <v>0</v>
      </c>
      <c r="AZ10" s="243">
        <f>IF(OR(Model!AZ$8&lt;'Inputs &amp; Drivers'!$F41,Model!AZ$8&gt;'Inputs &amp; Drivers'!$J41),0,IF(AZ$8='Inputs &amp; Drivers'!$F41,1,Model!AY10+1))</f>
        <v>0</v>
      </c>
      <c r="BA10" s="243">
        <f>IF(OR(Model!BA$8&lt;'Inputs &amp; Drivers'!$F41,Model!BA$8&gt;'Inputs &amp; Drivers'!$J41),0,IF(BA$8='Inputs &amp; Drivers'!$F41,1,Model!AZ10+1))</f>
        <v>0</v>
      </c>
      <c r="BB10" s="243">
        <f>IF(OR(Model!BB$8&lt;'Inputs &amp; Drivers'!$F41,Model!BB$8&gt;'Inputs &amp; Drivers'!$J41),0,IF(BB$8='Inputs &amp; Drivers'!$F41,1,Model!BA10+1))</f>
        <v>0</v>
      </c>
      <c r="BC10" s="243">
        <f>IF(OR(Model!BC$8&lt;'Inputs &amp; Drivers'!$F41,Model!BC$8&gt;'Inputs &amp; Drivers'!$J41),0,IF(BC$8='Inputs &amp; Drivers'!$F41,1,Model!BB10+1))</f>
        <v>0</v>
      </c>
      <c r="BD10" s="243">
        <f>IF(OR(Model!BD$8&lt;'Inputs &amp; Drivers'!$F41,Model!BD$8&gt;'Inputs &amp; Drivers'!$J41),0,IF(BD$8='Inputs &amp; Drivers'!$F41,1,Model!BC10+1))</f>
        <v>0</v>
      </c>
      <c r="BE10" s="243">
        <f>IF(OR(Model!BE$8&lt;'Inputs &amp; Drivers'!$F41,Model!BE$8&gt;'Inputs &amp; Drivers'!$J41),0,IF(BE$8='Inputs &amp; Drivers'!$F41,1,Model!BD10+1))</f>
        <v>0</v>
      </c>
      <c r="BF10" s="243">
        <f>IF(OR(Model!BF$8&lt;'Inputs &amp; Drivers'!$F41,Model!BF$8&gt;'Inputs &amp; Drivers'!$J41),0,IF(BF$8='Inputs &amp; Drivers'!$F41,1,Model!BE10+1))</f>
        <v>0</v>
      </c>
      <c r="BG10" s="243">
        <f>IF(OR(Model!BG$8&lt;'Inputs &amp; Drivers'!$F41,Model!BG$8&gt;'Inputs &amp; Drivers'!$J41),0,IF(BG$8='Inputs &amp; Drivers'!$F41,1,Model!BF10+1))</f>
        <v>0</v>
      </c>
      <c r="BH10" s="243">
        <f>IF(OR(Model!BH$8&lt;'Inputs &amp; Drivers'!$F41,Model!BH$8&gt;'Inputs &amp; Drivers'!$J41),0,IF(BH$8='Inputs &amp; Drivers'!$F41,1,Model!BG10+1))</f>
        <v>0</v>
      </c>
      <c r="BI10" s="243">
        <f>IF(OR(Model!BI$8&lt;'Inputs &amp; Drivers'!$F41,Model!BI$8&gt;'Inputs &amp; Drivers'!$J41),0,IF(BI$8='Inputs &amp; Drivers'!$F41,1,Model!BH10+1))</f>
        <v>0</v>
      </c>
      <c r="BJ10" s="243">
        <f>IF(OR(Model!BJ$8&lt;'Inputs &amp; Drivers'!$F41,Model!BJ$8&gt;'Inputs &amp; Drivers'!$J41),0,IF(BJ$8='Inputs &amp; Drivers'!$F41,1,Model!BI10+1))</f>
        <v>0</v>
      </c>
      <c r="BK10" s="243">
        <f>IF(OR(Model!BK$8&lt;'Inputs &amp; Drivers'!$F41,Model!BK$8&gt;'Inputs &amp; Drivers'!$J41),0,IF(BK$8='Inputs &amp; Drivers'!$F41,1,Model!BJ10+1))</f>
        <v>0</v>
      </c>
      <c r="BL10" s="243">
        <f>IF(OR(Model!BL$8&lt;'Inputs &amp; Drivers'!$F41,Model!BL$8&gt;'Inputs &amp; Drivers'!$J41),0,IF(BL$8='Inputs &amp; Drivers'!$F41,1,Model!BK10+1))</f>
        <v>0</v>
      </c>
      <c r="BM10" s="243">
        <f>IF(OR(Model!BM$8&lt;'Inputs &amp; Drivers'!$F41,Model!BM$8&gt;'Inputs &amp; Drivers'!$J41),0,IF(BM$8='Inputs &amp; Drivers'!$F41,1,Model!BL10+1))</f>
        <v>0</v>
      </c>
      <c r="BN10" s="243">
        <f>IF(OR(Model!BN$8&lt;'Inputs &amp; Drivers'!$F41,Model!BN$8&gt;'Inputs &amp; Drivers'!$J41),0,IF(BN$8='Inputs &amp; Drivers'!$F41,1,Model!BM10+1))</f>
        <v>0</v>
      </c>
      <c r="BO10" s="243">
        <f>IF(OR(Model!BO$8&lt;'Inputs &amp; Drivers'!$F41,Model!BO$8&gt;'Inputs &amp; Drivers'!$J41),0,IF(BO$8='Inputs &amp; Drivers'!$F41,1,Model!BN10+1))</f>
        <v>0</v>
      </c>
      <c r="BP10" s="243">
        <f>IF(OR(Model!BP$8&lt;'Inputs &amp; Drivers'!$F41,Model!BP$8&gt;'Inputs &amp; Drivers'!$J41),0,IF(BP$8='Inputs &amp; Drivers'!$F41,1,Model!BO10+1))</f>
        <v>0</v>
      </c>
      <c r="BQ10" s="243">
        <f>IF(OR(Model!BQ$8&lt;'Inputs &amp; Drivers'!$F41,Model!BQ$8&gt;'Inputs &amp; Drivers'!$J41),0,IF(BQ$8='Inputs &amp; Drivers'!$F41,1,Model!BP10+1))</f>
        <v>0</v>
      </c>
      <c r="BR10" s="243">
        <f>IF(OR(Model!BR$8&lt;'Inputs &amp; Drivers'!$F41,Model!BR$8&gt;'Inputs &amp; Drivers'!$J41),0,IF(BR$8='Inputs &amp; Drivers'!$F41,1,Model!BQ10+1))</f>
        <v>0</v>
      </c>
      <c r="BS10" s="243">
        <f>IF(OR(Model!BS$8&lt;'Inputs &amp; Drivers'!$F41,Model!BS$8&gt;'Inputs &amp; Drivers'!$J41),0,IF(BS$8='Inputs &amp; Drivers'!$F41,1,Model!BR10+1))</f>
        <v>0</v>
      </c>
      <c r="BT10" s="243">
        <f>IF(OR(Model!BT$8&lt;'Inputs &amp; Drivers'!$F41,Model!BT$8&gt;'Inputs &amp; Drivers'!$J41),0,IF(BT$8='Inputs &amp; Drivers'!$F41,1,Model!BS10+1))</f>
        <v>0</v>
      </c>
      <c r="BU10" s="243">
        <f>IF(OR(Model!BU$8&lt;'Inputs &amp; Drivers'!$F41,Model!BU$8&gt;'Inputs &amp; Drivers'!$J41),0,IF(BU$8='Inputs &amp; Drivers'!$F41,1,Model!BT10+1))</f>
        <v>0</v>
      </c>
      <c r="BV10" s="243">
        <f>IF(OR(Model!BV$8&lt;'Inputs &amp; Drivers'!$F41,Model!BV$8&gt;'Inputs &amp; Drivers'!$J41),0,IF(BV$8='Inputs &amp; Drivers'!$F41,1,Model!BU10+1))</f>
        <v>0</v>
      </c>
      <c r="BW10" s="243">
        <f>IF(OR(Model!BW$8&lt;'Inputs &amp; Drivers'!$F41,Model!BW$8&gt;'Inputs &amp; Drivers'!$J41),0,IF(BW$8='Inputs &amp; Drivers'!$F41,1,Model!BV10+1))</f>
        <v>0</v>
      </c>
      <c r="BX10" s="243">
        <f>IF(OR(Model!BX$8&lt;'Inputs &amp; Drivers'!$F41,Model!BX$8&gt;'Inputs &amp; Drivers'!$J41),0,IF(BX$8='Inputs &amp; Drivers'!$F41,1,Model!BW10+1))</f>
        <v>0</v>
      </c>
      <c r="BY10" s="243">
        <f>IF(OR(Model!BY$8&lt;'Inputs &amp; Drivers'!$F41,Model!BY$8&gt;'Inputs &amp; Drivers'!$J41),0,IF(BY$8='Inputs &amp; Drivers'!$F41,1,Model!BX10+1))</f>
        <v>0</v>
      </c>
      <c r="BZ10" s="243">
        <f>IF(OR(Model!BZ$8&lt;'Inputs &amp; Drivers'!$F41,Model!BZ$8&gt;'Inputs &amp; Drivers'!$J41),0,IF(BZ$8='Inputs &amp; Drivers'!$F41,1,Model!BY10+1))</f>
        <v>0</v>
      </c>
      <c r="CA10" s="243">
        <f>IF(OR(Model!CA$8&lt;'Inputs &amp; Drivers'!$F41,Model!CA$8&gt;'Inputs &amp; Drivers'!$J41),0,IF(CA$8='Inputs &amp; Drivers'!$F41,1,Model!BZ10+1))</f>
        <v>0</v>
      </c>
      <c r="CB10" s="243">
        <f>IF(OR(Model!CB$8&lt;'Inputs &amp; Drivers'!$F41,Model!CB$8&gt;'Inputs &amp; Drivers'!$J41),0,IF(CB$8='Inputs &amp; Drivers'!$F41,1,Model!CA10+1))</f>
        <v>0</v>
      </c>
      <c r="CC10" s="243">
        <f>IF(OR(Model!CC$8&lt;'Inputs &amp; Drivers'!$F41,Model!CC$8&gt;'Inputs &amp; Drivers'!$J41),0,IF(CC$8='Inputs &amp; Drivers'!$F41,1,Model!CB10+1))</f>
        <v>0</v>
      </c>
      <c r="CD10" s="243">
        <f>IF(OR(Model!CD$8&lt;'Inputs &amp; Drivers'!$F41,Model!CD$8&gt;'Inputs &amp; Drivers'!$J41),0,IF(CD$8='Inputs &amp; Drivers'!$F41,1,Model!CC10+1))</f>
        <v>0</v>
      </c>
      <c r="CE10" s="243">
        <f>IF(OR(Model!CE$8&lt;'Inputs &amp; Drivers'!$F41,Model!CE$8&gt;'Inputs &amp; Drivers'!$J41),0,IF(CE$8='Inputs &amp; Drivers'!$F41,1,Model!CD10+1))</f>
        <v>0</v>
      </c>
      <c r="CF10" s="243">
        <f>IF(OR(Model!CF$8&lt;'Inputs &amp; Drivers'!$F41,Model!CF$8&gt;'Inputs &amp; Drivers'!$J41),0,IF(CF$8='Inputs &amp; Drivers'!$F41,1,Model!CE10+1))</f>
        <v>0</v>
      </c>
      <c r="CG10" s="243">
        <f>IF(OR(Model!CG$8&lt;'Inputs &amp; Drivers'!$F41,Model!CG$8&gt;'Inputs &amp; Drivers'!$J41),0,IF(CG$8='Inputs &amp; Drivers'!$F41,1,Model!CF10+1))</f>
        <v>0</v>
      </c>
      <c r="CH10" s="243">
        <f>IF(OR(Model!CH$8&lt;'Inputs &amp; Drivers'!$F41,Model!CH$8&gt;'Inputs &amp; Drivers'!$J41),0,IF(CH$8='Inputs &amp; Drivers'!$F41,1,Model!CG10+1))</f>
        <v>0</v>
      </c>
      <c r="CI10" s="243">
        <f>IF(OR(Model!CI$8&lt;'Inputs &amp; Drivers'!$F41,Model!CI$8&gt;'Inputs &amp; Drivers'!$J41),0,IF(CI$8='Inputs &amp; Drivers'!$F41,1,Model!CH10+1))</f>
        <v>0</v>
      </c>
      <c r="CJ10" s="243">
        <f>IF(OR(Model!CJ$8&lt;'Inputs &amp; Drivers'!$F41,Model!CJ$8&gt;'Inputs &amp; Drivers'!$J41),0,IF(CJ$8='Inputs &amp; Drivers'!$F41,1,Model!CI10+1))</f>
        <v>0</v>
      </c>
      <c r="CK10" s="243">
        <f>IF(OR(Model!CK$8&lt;'Inputs &amp; Drivers'!$F41,Model!CK$8&gt;'Inputs &amp; Drivers'!$J41),0,IF(CK$8='Inputs &amp; Drivers'!$F41,1,Model!CJ10+1))</f>
        <v>0</v>
      </c>
      <c r="CL10" s="243">
        <f>IF(OR(Model!CL$8&lt;'Inputs &amp; Drivers'!$F41,Model!CL$8&gt;'Inputs &amp; Drivers'!$J41),0,IF(CL$8='Inputs &amp; Drivers'!$F41,1,Model!CK10+1))</f>
        <v>0</v>
      </c>
      <c r="CM10" s="243">
        <f>IF(OR(Model!CM$8&lt;'Inputs &amp; Drivers'!$F41,Model!CM$8&gt;'Inputs &amp; Drivers'!$J41),0,IF(CM$8='Inputs &amp; Drivers'!$F41,1,Model!CL10+1))</f>
        <v>0</v>
      </c>
      <c r="CN10" s="243">
        <f>IF(OR(Model!CN$8&lt;'Inputs &amp; Drivers'!$F41,Model!CN$8&gt;'Inputs &amp; Drivers'!$J41),0,IF(CN$8='Inputs &amp; Drivers'!$F41,1,Model!CM10+1))</f>
        <v>0</v>
      </c>
      <c r="CO10" s="243">
        <f>IF(OR(Model!CO$8&lt;'Inputs &amp; Drivers'!$F41,Model!CO$8&gt;'Inputs &amp; Drivers'!$J41),0,IF(CO$8='Inputs &amp; Drivers'!$F41,1,Model!CN10+1))</f>
        <v>0</v>
      </c>
      <c r="CP10" s="243">
        <f>IF(OR(Model!CP$8&lt;'Inputs &amp; Drivers'!$F41,Model!CP$8&gt;'Inputs &amp; Drivers'!$J41),0,IF(CP$8='Inputs &amp; Drivers'!$F41,1,Model!CO10+1))</f>
        <v>0</v>
      </c>
      <c r="CQ10" s="243">
        <f>IF(OR(Model!CQ$8&lt;'Inputs &amp; Drivers'!$F41,Model!CQ$8&gt;'Inputs &amp; Drivers'!$J41),0,IF(CQ$8='Inputs &amp; Drivers'!$F41,1,Model!CP10+1))</f>
        <v>0</v>
      </c>
      <c r="CR10" s="243">
        <f>IF(OR(Model!CR$8&lt;'Inputs &amp; Drivers'!$F41,Model!CR$8&gt;'Inputs &amp; Drivers'!$J41),0,IF(CR$8='Inputs &amp; Drivers'!$F41,1,Model!CQ10+1))</f>
        <v>0</v>
      </c>
      <c r="CS10" s="243">
        <f>IF(OR(Model!CS$8&lt;'Inputs &amp; Drivers'!$F41,Model!CS$8&gt;'Inputs &amp; Drivers'!$J41),0,IF(CS$8='Inputs &amp; Drivers'!$F41,1,Model!CR10+1))</f>
        <v>0</v>
      </c>
      <c r="CT10" s="243">
        <f>IF(OR(Model!CT$8&lt;'Inputs &amp; Drivers'!$F41,Model!CT$8&gt;'Inputs &amp; Drivers'!$J41),0,IF(CT$8='Inputs &amp; Drivers'!$F41,1,Model!CS10+1))</f>
        <v>0</v>
      </c>
      <c r="CU10" s="243">
        <f>IF(OR(Model!CU$8&lt;'Inputs &amp; Drivers'!$F41,Model!CU$8&gt;'Inputs &amp; Drivers'!$J41),0,IF(CU$8='Inputs &amp; Drivers'!$F41,1,Model!CT10+1))</f>
        <v>0</v>
      </c>
      <c r="CV10" s="243">
        <f>IF(OR(Model!CV$8&lt;'Inputs &amp; Drivers'!$F41,Model!CV$8&gt;'Inputs &amp; Drivers'!$J41),0,IF(CV$8='Inputs &amp; Drivers'!$F41,1,Model!CU10+1))</f>
        <v>0</v>
      </c>
      <c r="CW10" s="243">
        <f>IF(OR(Model!CW$8&lt;'Inputs &amp; Drivers'!$F41,Model!CW$8&gt;'Inputs &amp; Drivers'!$J41),0,IF(CW$8='Inputs &amp; Drivers'!$F41,1,Model!CV10+1))</f>
        <v>0</v>
      </c>
      <c r="CX10" s="243">
        <f>IF(OR(Model!CX$8&lt;'Inputs &amp; Drivers'!$F41,Model!CX$8&gt;'Inputs &amp; Drivers'!$J41),0,IF(CX$8='Inputs &amp; Drivers'!$F41,1,Model!CW10+1))</f>
        <v>0</v>
      </c>
      <c r="CY10" s="243">
        <f>IF(OR(Model!CY$8&lt;'Inputs &amp; Drivers'!$F41,Model!CY$8&gt;'Inputs &amp; Drivers'!$J41),0,IF(CY$8='Inputs &amp; Drivers'!$F41,1,Model!CX10+1))</f>
        <v>0</v>
      </c>
      <c r="CZ10" s="243">
        <f>IF(OR(Model!CZ$8&lt;'Inputs &amp; Drivers'!$F41,Model!CZ$8&gt;'Inputs &amp; Drivers'!$J41),0,IF(CZ$8='Inputs &amp; Drivers'!$F41,1,Model!CY10+1))</f>
        <v>0</v>
      </c>
      <c r="DA10" s="243">
        <f>IF(OR(Model!DA$8&lt;'Inputs &amp; Drivers'!$F41,Model!DA$8&gt;'Inputs &amp; Drivers'!$J41),0,IF(DA$8='Inputs &amp; Drivers'!$F41,1,Model!CZ10+1))</f>
        <v>0</v>
      </c>
      <c r="DB10" s="243">
        <f>IF(OR(Model!DB$8&lt;'Inputs &amp; Drivers'!$F41,Model!DB$8&gt;'Inputs &amp; Drivers'!$J41),0,IF(DB$8='Inputs &amp; Drivers'!$F41,1,Model!DA10+1))</f>
        <v>0</v>
      </c>
      <c r="DC10" s="243">
        <f>IF(OR(Model!DC$8&lt;'Inputs &amp; Drivers'!$F41,Model!DC$8&gt;'Inputs &amp; Drivers'!$J41),0,IF(DC$8='Inputs &amp; Drivers'!$F41,1,Model!DB10+1))</f>
        <v>0</v>
      </c>
      <c r="DD10" s="243">
        <f>IF(OR(Model!DD$8&lt;'Inputs &amp; Drivers'!$F41,Model!DD$8&gt;'Inputs &amp; Drivers'!$J41),0,IF(DD$8='Inputs &amp; Drivers'!$F41,1,Model!DC10+1))</f>
        <v>0</v>
      </c>
      <c r="DE10" s="243">
        <f>IF(OR(Model!DE$8&lt;'Inputs &amp; Drivers'!$F41,Model!DE$8&gt;'Inputs &amp; Drivers'!$J41),0,IF(DE$8='Inputs &amp; Drivers'!$F41,1,Model!DD10+1))</f>
        <v>0</v>
      </c>
      <c r="DF10" s="243">
        <f>IF(OR(Model!DF$8&lt;'Inputs &amp; Drivers'!$F41,Model!DF$8&gt;'Inputs &amp; Drivers'!$J41),0,IF(DF$8='Inputs &amp; Drivers'!$F41,1,Model!DE10+1))</f>
        <v>0</v>
      </c>
      <c r="DG10" s="243">
        <f>IF(OR(Model!DG$8&lt;'Inputs &amp; Drivers'!$F41,Model!DG$8&gt;'Inputs &amp; Drivers'!$J41),0,IF(DG$8='Inputs &amp; Drivers'!$F41,1,Model!DF10+1))</f>
        <v>0</v>
      </c>
      <c r="DH10" s="243">
        <f>IF(OR(Model!DH$8&lt;'Inputs &amp; Drivers'!$F41,Model!DH$8&gt;'Inputs &amp; Drivers'!$J41),0,IF(DH$8='Inputs &amp; Drivers'!$F41,1,Model!DG10+1))</f>
        <v>0</v>
      </c>
      <c r="DI10" s="243">
        <f>IF(OR(Model!DI$8&lt;'Inputs &amp; Drivers'!$F41,Model!DI$8&gt;'Inputs &amp; Drivers'!$J41),0,IF(DI$8='Inputs &amp; Drivers'!$F41,1,Model!DH10+1))</f>
        <v>0</v>
      </c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</row>
    <row r="11" spans="2:166" outlineLevel="1" x14ac:dyDescent="0.4">
      <c r="B11" s="1" t="s">
        <v>272</v>
      </c>
      <c r="H11" s="187"/>
      <c r="I11" s="243">
        <f>IF(OR(Model!I$8&lt;'Inputs &amp; Drivers'!$F42,Model!I$8&gt;'Inputs &amp; Drivers'!$J42),0,IF(I$8='Inputs &amp; Drivers'!$F42,1,Model!H11+1))</f>
        <v>0</v>
      </c>
      <c r="J11" s="243">
        <f>IF(OR(Model!J$8&lt;'Inputs &amp; Drivers'!$F42,Model!J$8&gt;'Inputs &amp; Drivers'!$J42),0,IF(J$8='Inputs &amp; Drivers'!$F42,1,Model!I11+1))</f>
        <v>0</v>
      </c>
      <c r="K11" s="243">
        <f>IF(OR(Model!K$8&lt;'Inputs &amp; Drivers'!$F42,Model!K$8&gt;'Inputs &amp; Drivers'!$J42),0,IF(K$8='Inputs &amp; Drivers'!$F42,1,Model!J11+1))</f>
        <v>0</v>
      </c>
      <c r="L11" s="243">
        <f>IF(OR(Model!L$8&lt;'Inputs &amp; Drivers'!$F42,Model!L$8&gt;'Inputs &amp; Drivers'!$J42),0,IF(L$8='Inputs &amp; Drivers'!$F42,1,Model!K11+1))</f>
        <v>0</v>
      </c>
      <c r="M11" s="243">
        <f>IF(OR(Model!M$8&lt;'Inputs &amp; Drivers'!$F42,Model!M$8&gt;'Inputs &amp; Drivers'!$J42),0,IF(M$8='Inputs &amp; Drivers'!$F42,1,Model!L11+1))</f>
        <v>0</v>
      </c>
      <c r="N11" s="243">
        <f>IF(OR(Model!N$8&lt;'Inputs &amp; Drivers'!$F42,Model!N$8&gt;'Inputs &amp; Drivers'!$J42),0,IF(N$8='Inputs &amp; Drivers'!$F42,1,Model!M11+1))</f>
        <v>0</v>
      </c>
      <c r="O11" s="243">
        <f>IF(OR(Model!O$8&lt;'Inputs &amp; Drivers'!$F42,Model!O$8&gt;'Inputs &amp; Drivers'!$J42),0,IF(O$8='Inputs &amp; Drivers'!$F42,1,Model!N11+1))</f>
        <v>0</v>
      </c>
      <c r="P11" s="243">
        <f>IF(OR(Model!P$8&lt;'Inputs &amp; Drivers'!$F42,Model!P$8&gt;'Inputs &amp; Drivers'!$J42),0,IF(P$8='Inputs &amp; Drivers'!$F42,1,Model!O11+1))</f>
        <v>0</v>
      </c>
      <c r="Q11" s="243">
        <f>IF(OR(Model!Q$8&lt;'Inputs &amp; Drivers'!$F42,Model!Q$8&gt;'Inputs &amp; Drivers'!$J42),0,IF(Q$8='Inputs &amp; Drivers'!$F42,1,Model!P11+1))</f>
        <v>0</v>
      </c>
      <c r="R11" s="243">
        <f>IF(OR(Model!R$8&lt;'Inputs &amp; Drivers'!$F42,Model!R$8&gt;'Inputs &amp; Drivers'!$J42),0,IF(R$8='Inputs &amp; Drivers'!$F42,1,Model!Q11+1))</f>
        <v>0</v>
      </c>
      <c r="S11" s="243">
        <f>IF(OR(Model!S$8&lt;'Inputs &amp; Drivers'!$F42,Model!S$8&gt;'Inputs &amp; Drivers'!$J42),0,IF(S$8='Inputs &amp; Drivers'!$F42,1,Model!R11+1))</f>
        <v>0</v>
      </c>
      <c r="T11" s="243">
        <f>IF(OR(Model!T$8&lt;'Inputs &amp; Drivers'!$F42,Model!T$8&gt;'Inputs &amp; Drivers'!$J42),0,IF(T$8='Inputs &amp; Drivers'!$F42,1,Model!S11+1))</f>
        <v>0</v>
      </c>
      <c r="U11" s="243">
        <f>IF(OR(Model!U$8&lt;'Inputs &amp; Drivers'!$F42,Model!U$8&gt;'Inputs &amp; Drivers'!$J42),0,IF(U$8='Inputs &amp; Drivers'!$F42,1,Model!T11+1))</f>
        <v>0</v>
      </c>
      <c r="V11" s="243">
        <f>IF(OR(Model!V$8&lt;'Inputs &amp; Drivers'!$F42,Model!V$8&gt;'Inputs &amp; Drivers'!$J42),0,IF(V$8='Inputs &amp; Drivers'!$F42,1,Model!U11+1))</f>
        <v>0</v>
      </c>
      <c r="W11" s="243">
        <f>IF(OR(Model!W$8&lt;'Inputs &amp; Drivers'!$F42,Model!W$8&gt;'Inputs &amp; Drivers'!$J42),0,IF(W$8='Inputs &amp; Drivers'!$F42,1,Model!V11+1))</f>
        <v>0</v>
      </c>
      <c r="X11" s="243">
        <f>IF(OR(Model!X$8&lt;'Inputs &amp; Drivers'!$F42,Model!X$8&gt;'Inputs &amp; Drivers'!$J42),0,IF(X$8='Inputs &amp; Drivers'!$F42,1,Model!W11+1))</f>
        <v>1</v>
      </c>
      <c r="Y11" s="243">
        <f>IF(OR(Model!Y$8&lt;'Inputs &amp; Drivers'!$F42,Model!Y$8&gt;'Inputs &amp; Drivers'!$J42),0,IF(Y$8='Inputs &amp; Drivers'!$F42,1,Model!X11+1))</f>
        <v>2</v>
      </c>
      <c r="Z11" s="243">
        <f>IF(OR(Model!Z$8&lt;'Inputs &amp; Drivers'!$F42,Model!Z$8&gt;'Inputs &amp; Drivers'!$J42),0,IF(Z$8='Inputs &amp; Drivers'!$F42,1,Model!Y11+1))</f>
        <v>3</v>
      </c>
      <c r="AA11" s="243">
        <f>IF(OR(Model!AA$8&lt;'Inputs &amp; Drivers'!$F42,Model!AA$8&gt;'Inputs &amp; Drivers'!$J42),0,IF(AA$8='Inputs &amp; Drivers'!$F42,1,Model!Z11+1))</f>
        <v>4</v>
      </c>
      <c r="AB11" s="243">
        <f>IF(OR(Model!AB$8&lt;'Inputs &amp; Drivers'!$F42,Model!AB$8&gt;'Inputs &amp; Drivers'!$J42),0,IF(AB$8='Inputs &amp; Drivers'!$F42,1,Model!AA11+1))</f>
        <v>5</v>
      </c>
      <c r="AC11" s="243">
        <f>IF(OR(Model!AC$8&lt;'Inputs &amp; Drivers'!$F42,Model!AC$8&gt;'Inputs &amp; Drivers'!$J42),0,IF(AC$8='Inputs &amp; Drivers'!$F42,1,Model!AB11+1))</f>
        <v>6</v>
      </c>
      <c r="AD11" s="243">
        <f>IF(OR(Model!AD$8&lt;'Inputs &amp; Drivers'!$F42,Model!AD$8&gt;'Inputs &amp; Drivers'!$J42),0,IF(AD$8='Inputs &amp; Drivers'!$F42,1,Model!AC11+1))</f>
        <v>7</v>
      </c>
      <c r="AE11" s="243">
        <f>IF(OR(Model!AE$8&lt;'Inputs &amp; Drivers'!$F42,Model!AE$8&gt;'Inputs &amp; Drivers'!$J42),0,IF(AE$8='Inputs &amp; Drivers'!$F42,1,Model!AD11+1))</f>
        <v>8</v>
      </c>
      <c r="AF11" s="243">
        <f>IF(OR(Model!AF$8&lt;'Inputs &amp; Drivers'!$F42,Model!AF$8&gt;'Inputs &amp; Drivers'!$J42),0,IF(AF$8='Inputs &amp; Drivers'!$F42,1,Model!AE11+1))</f>
        <v>9</v>
      </c>
      <c r="AG11" s="243">
        <f>IF(OR(Model!AG$8&lt;'Inputs &amp; Drivers'!$F42,Model!AG$8&gt;'Inputs &amp; Drivers'!$J42),0,IF(AG$8='Inputs &amp; Drivers'!$F42,1,Model!AF11+1))</f>
        <v>10</v>
      </c>
      <c r="AH11" s="243">
        <f>IF(OR(Model!AH$8&lt;'Inputs &amp; Drivers'!$F42,Model!AH$8&gt;'Inputs &amp; Drivers'!$J42),0,IF(AH$8='Inputs &amp; Drivers'!$F42,1,Model!AG11+1))</f>
        <v>11</v>
      </c>
      <c r="AI11" s="243">
        <f>IF(OR(Model!AI$8&lt;'Inputs &amp; Drivers'!$F42,Model!AI$8&gt;'Inputs &amp; Drivers'!$J42),0,IF(AI$8='Inputs &amp; Drivers'!$F42,1,Model!AH11+1))</f>
        <v>12</v>
      </c>
      <c r="AJ11" s="243">
        <f>IF(OR(Model!AJ$8&lt;'Inputs &amp; Drivers'!$F42,Model!AJ$8&gt;'Inputs &amp; Drivers'!$J42),0,IF(AJ$8='Inputs &amp; Drivers'!$F42,1,Model!AI11+1))</f>
        <v>13</v>
      </c>
      <c r="AK11" s="243">
        <f>IF(OR(Model!AK$8&lt;'Inputs &amp; Drivers'!$F42,Model!AK$8&gt;'Inputs &amp; Drivers'!$J42),0,IF(AK$8='Inputs &amp; Drivers'!$F42,1,Model!AJ11+1))</f>
        <v>14</v>
      </c>
      <c r="AL11" s="243">
        <f>IF(OR(Model!AL$8&lt;'Inputs &amp; Drivers'!$F42,Model!AL$8&gt;'Inputs &amp; Drivers'!$J42),0,IF(AL$8='Inputs &amp; Drivers'!$F42,1,Model!AK11+1))</f>
        <v>15</v>
      </c>
      <c r="AM11" s="243">
        <f>IF(OR(Model!AM$8&lt;'Inputs &amp; Drivers'!$F42,Model!AM$8&gt;'Inputs &amp; Drivers'!$J42),0,IF(AM$8='Inputs &amp; Drivers'!$F42,1,Model!AL11+1))</f>
        <v>16</v>
      </c>
      <c r="AN11" s="243">
        <f>IF(OR(Model!AN$8&lt;'Inputs &amp; Drivers'!$F42,Model!AN$8&gt;'Inputs &amp; Drivers'!$J42),0,IF(AN$8='Inputs &amp; Drivers'!$F42,1,Model!AM11+1))</f>
        <v>0</v>
      </c>
      <c r="AO11" s="243">
        <f>IF(OR(Model!AO$8&lt;'Inputs &amp; Drivers'!$F42,Model!AO$8&gt;'Inputs &amp; Drivers'!$J42),0,IF(AO$8='Inputs &amp; Drivers'!$F42,1,Model!AN11+1))</f>
        <v>0</v>
      </c>
      <c r="AP11" s="243">
        <f>IF(OR(Model!AP$8&lt;'Inputs &amp; Drivers'!$F42,Model!AP$8&gt;'Inputs &amp; Drivers'!$J42),0,IF(AP$8='Inputs &amp; Drivers'!$F42,1,Model!AO11+1))</f>
        <v>0</v>
      </c>
      <c r="AQ11" s="243">
        <f>IF(OR(Model!AQ$8&lt;'Inputs &amp; Drivers'!$F42,Model!AQ$8&gt;'Inputs &amp; Drivers'!$J42),0,IF(AQ$8='Inputs &amp; Drivers'!$F42,1,Model!AP11+1))</f>
        <v>0</v>
      </c>
      <c r="AR11" s="243">
        <f>IF(OR(Model!AR$8&lt;'Inputs &amp; Drivers'!$F42,Model!AR$8&gt;'Inputs &amp; Drivers'!$J42),0,IF(AR$8='Inputs &amp; Drivers'!$F42,1,Model!AQ11+1))</f>
        <v>0</v>
      </c>
      <c r="AS11" s="243">
        <f>IF(OR(Model!AS$8&lt;'Inputs &amp; Drivers'!$F42,Model!AS$8&gt;'Inputs &amp; Drivers'!$J42),0,IF(AS$8='Inputs &amp; Drivers'!$F42,1,Model!AR11+1))</f>
        <v>0</v>
      </c>
      <c r="AT11" s="243">
        <f>IF(OR(Model!AT$8&lt;'Inputs &amp; Drivers'!$F42,Model!AT$8&gt;'Inputs &amp; Drivers'!$J42),0,IF(AT$8='Inputs &amp; Drivers'!$F42,1,Model!AS11+1))</f>
        <v>0</v>
      </c>
      <c r="AU11" s="243">
        <f>IF(OR(Model!AU$8&lt;'Inputs &amp; Drivers'!$F42,Model!AU$8&gt;'Inputs &amp; Drivers'!$J42),0,IF(AU$8='Inputs &amp; Drivers'!$F42,1,Model!AT11+1))</f>
        <v>0</v>
      </c>
      <c r="AV11" s="243">
        <f>IF(OR(Model!AV$8&lt;'Inputs &amp; Drivers'!$F42,Model!AV$8&gt;'Inputs &amp; Drivers'!$J42),0,IF(AV$8='Inputs &amp; Drivers'!$F42,1,Model!AU11+1))</f>
        <v>0</v>
      </c>
      <c r="AW11" s="243">
        <f>IF(OR(Model!AW$8&lt;'Inputs &amp; Drivers'!$F42,Model!AW$8&gt;'Inputs &amp; Drivers'!$J42),0,IF(AW$8='Inputs &amp; Drivers'!$F42,1,Model!AV11+1))</f>
        <v>0</v>
      </c>
      <c r="AX11" s="243">
        <f>IF(OR(Model!AX$8&lt;'Inputs &amp; Drivers'!$F42,Model!AX$8&gt;'Inputs &amp; Drivers'!$J42),0,IF(AX$8='Inputs &amp; Drivers'!$F42,1,Model!AW11+1))</f>
        <v>0</v>
      </c>
      <c r="AY11" s="243">
        <f>IF(OR(Model!AY$8&lt;'Inputs &amp; Drivers'!$F42,Model!AY$8&gt;'Inputs &amp; Drivers'!$J42),0,IF(AY$8='Inputs &amp; Drivers'!$F42,1,Model!AX11+1))</f>
        <v>0</v>
      </c>
      <c r="AZ11" s="243">
        <f>IF(OR(Model!AZ$8&lt;'Inputs &amp; Drivers'!$F42,Model!AZ$8&gt;'Inputs &amp; Drivers'!$J42),0,IF(AZ$8='Inputs &amp; Drivers'!$F42,1,Model!AY11+1))</f>
        <v>0</v>
      </c>
      <c r="BA11" s="243">
        <f>IF(OR(Model!BA$8&lt;'Inputs &amp; Drivers'!$F42,Model!BA$8&gt;'Inputs &amp; Drivers'!$J42),0,IF(BA$8='Inputs &amp; Drivers'!$F42,1,Model!AZ11+1))</f>
        <v>0</v>
      </c>
      <c r="BB11" s="243">
        <f>IF(OR(Model!BB$8&lt;'Inputs &amp; Drivers'!$F42,Model!BB$8&gt;'Inputs &amp; Drivers'!$J42),0,IF(BB$8='Inputs &amp; Drivers'!$F42,1,Model!BA11+1))</f>
        <v>0</v>
      </c>
      <c r="BC11" s="243">
        <f>IF(OR(Model!BC$8&lt;'Inputs &amp; Drivers'!$F42,Model!BC$8&gt;'Inputs &amp; Drivers'!$J42),0,IF(BC$8='Inputs &amp; Drivers'!$F42,1,Model!BB11+1))</f>
        <v>0</v>
      </c>
      <c r="BD11" s="243">
        <f>IF(OR(Model!BD$8&lt;'Inputs &amp; Drivers'!$F42,Model!BD$8&gt;'Inputs &amp; Drivers'!$J42),0,IF(BD$8='Inputs &amp; Drivers'!$F42,1,Model!BC11+1))</f>
        <v>0</v>
      </c>
      <c r="BE11" s="243">
        <f>IF(OR(Model!BE$8&lt;'Inputs &amp; Drivers'!$F42,Model!BE$8&gt;'Inputs &amp; Drivers'!$J42),0,IF(BE$8='Inputs &amp; Drivers'!$F42,1,Model!BD11+1))</f>
        <v>0</v>
      </c>
      <c r="BF11" s="243">
        <f>IF(OR(Model!BF$8&lt;'Inputs &amp; Drivers'!$F42,Model!BF$8&gt;'Inputs &amp; Drivers'!$J42),0,IF(BF$8='Inputs &amp; Drivers'!$F42,1,Model!BE11+1))</f>
        <v>0</v>
      </c>
      <c r="BG11" s="243">
        <f>IF(OR(Model!BG$8&lt;'Inputs &amp; Drivers'!$F42,Model!BG$8&gt;'Inputs &amp; Drivers'!$J42),0,IF(BG$8='Inputs &amp; Drivers'!$F42,1,Model!BF11+1))</f>
        <v>0</v>
      </c>
      <c r="BH11" s="243">
        <f>IF(OR(Model!BH$8&lt;'Inputs &amp; Drivers'!$F42,Model!BH$8&gt;'Inputs &amp; Drivers'!$J42),0,IF(BH$8='Inputs &amp; Drivers'!$F42,1,Model!BG11+1))</f>
        <v>0</v>
      </c>
      <c r="BI11" s="243">
        <f>IF(OR(Model!BI$8&lt;'Inputs &amp; Drivers'!$F42,Model!BI$8&gt;'Inputs &amp; Drivers'!$J42),0,IF(BI$8='Inputs &amp; Drivers'!$F42,1,Model!BH11+1))</f>
        <v>0</v>
      </c>
      <c r="BJ11" s="243">
        <f>IF(OR(Model!BJ$8&lt;'Inputs &amp; Drivers'!$F42,Model!BJ$8&gt;'Inputs &amp; Drivers'!$J42),0,IF(BJ$8='Inputs &amp; Drivers'!$F42,1,Model!BI11+1))</f>
        <v>0</v>
      </c>
      <c r="BK11" s="243">
        <f>IF(OR(Model!BK$8&lt;'Inputs &amp; Drivers'!$F42,Model!BK$8&gt;'Inputs &amp; Drivers'!$J42),0,IF(BK$8='Inputs &amp; Drivers'!$F42,1,Model!BJ11+1))</f>
        <v>0</v>
      </c>
      <c r="BL11" s="243">
        <f>IF(OR(Model!BL$8&lt;'Inputs &amp; Drivers'!$F42,Model!BL$8&gt;'Inputs &amp; Drivers'!$J42),0,IF(BL$8='Inputs &amp; Drivers'!$F42,1,Model!BK11+1))</f>
        <v>0</v>
      </c>
      <c r="BM11" s="243">
        <f>IF(OR(Model!BM$8&lt;'Inputs &amp; Drivers'!$F42,Model!BM$8&gt;'Inputs &amp; Drivers'!$J42),0,IF(BM$8='Inputs &amp; Drivers'!$F42,1,Model!BL11+1))</f>
        <v>0</v>
      </c>
      <c r="BN11" s="243">
        <f>IF(OR(Model!BN$8&lt;'Inputs &amp; Drivers'!$F42,Model!BN$8&gt;'Inputs &amp; Drivers'!$J42),0,IF(BN$8='Inputs &amp; Drivers'!$F42,1,Model!BM11+1))</f>
        <v>0</v>
      </c>
      <c r="BO11" s="243">
        <f>IF(OR(Model!BO$8&lt;'Inputs &amp; Drivers'!$F42,Model!BO$8&gt;'Inputs &amp; Drivers'!$J42),0,IF(BO$8='Inputs &amp; Drivers'!$F42,1,Model!BN11+1))</f>
        <v>0</v>
      </c>
      <c r="BP11" s="243">
        <f>IF(OR(Model!BP$8&lt;'Inputs &amp; Drivers'!$F42,Model!BP$8&gt;'Inputs &amp; Drivers'!$J42),0,IF(BP$8='Inputs &amp; Drivers'!$F42,1,Model!BO11+1))</f>
        <v>0</v>
      </c>
      <c r="BQ11" s="243">
        <f>IF(OR(Model!BQ$8&lt;'Inputs &amp; Drivers'!$F42,Model!BQ$8&gt;'Inputs &amp; Drivers'!$J42),0,IF(BQ$8='Inputs &amp; Drivers'!$F42,1,Model!BP11+1))</f>
        <v>0</v>
      </c>
      <c r="BR11" s="243">
        <f>IF(OR(Model!BR$8&lt;'Inputs &amp; Drivers'!$F42,Model!BR$8&gt;'Inputs &amp; Drivers'!$J42),0,IF(BR$8='Inputs &amp; Drivers'!$F42,1,Model!BQ11+1))</f>
        <v>0</v>
      </c>
      <c r="BS11" s="243">
        <f>IF(OR(Model!BS$8&lt;'Inputs &amp; Drivers'!$F42,Model!BS$8&gt;'Inputs &amp; Drivers'!$J42),0,IF(BS$8='Inputs &amp; Drivers'!$F42,1,Model!BR11+1))</f>
        <v>0</v>
      </c>
      <c r="BT11" s="243">
        <f>IF(OR(Model!BT$8&lt;'Inputs &amp; Drivers'!$F42,Model!BT$8&gt;'Inputs &amp; Drivers'!$J42),0,IF(BT$8='Inputs &amp; Drivers'!$F42,1,Model!BS11+1))</f>
        <v>0</v>
      </c>
      <c r="BU11" s="243">
        <f>IF(OR(Model!BU$8&lt;'Inputs &amp; Drivers'!$F42,Model!BU$8&gt;'Inputs &amp; Drivers'!$J42),0,IF(BU$8='Inputs &amp; Drivers'!$F42,1,Model!BT11+1))</f>
        <v>0</v>
      </c>
      <c r="BV11" s="243">
        <f>IF(OR(Model!BV$8&lt;'Inputs &amp; Drivers'!$F42,Model!BV$8&gt;'Inputs &amp; Drivers'!$J42),0,IF(BV$8='Inputs &amp; Drivers'!$F42,1,Model!BU11+1))</f>
        <v>0</v>
      </c>
      <c r="BW11" s="243">
        <f>IF(OR(Model!BW$8&lt;'Inputs &amp; Drivers'!$F42,Model!BW$8&gt;'Inputs &amp; Drivers'!$J42),0,IF(BW$8='Inputs &amp; Drivers'!$F42,1,Model!BV11+1))</f>
        <v>0</v>
      </c>
      <c r="BX11" s="243">
        <f>IF(OR(Model!BX$8&lt;'Inputs &amp; Drivers'!$F42,Model!BX$8&gt;'Inputs &amp; Drivers'!$J42),0,IF(BX$8='Inputs &amp; Drivers'!$F42,1,Model!BW11+1))</f>
        <v>0</v>
      </c>
      <c r="BY11" s="243">
        <f>IF(OR(Model!BY$8&lt;'Inputs &amp; Drivers'!$F42,Model!BY$8&gt;'Inputs &amp; Drivers'!$J42),0,IF(BY$8='Inputs &amp; Drivers'!$F42,1,Model!BX11+1))</f>
        <v>0</v>
      </c>
      <c r="BZ11" s="243">
        <f>IF(OR(Model!BZ$8&lt;'Inputs &amp; Drivers'!$F42,Model!BZ$8&gt;'Inputs &amp; Drivers'!$J42),0,IF(BZ$8='Inputs &amp; Drivers'!$F42,1,Model!BY11+1))</f>
        <v>0</v>
      </c>
      <c r="CA11" s="243">
        <f>IF(OR(Model!CA$8&lt;'Inputs &amp; Drivers'!$F42,Model!CA$8&gt;'Inputs &amp; Drivers'!$J42),0,IF(CA$8='Inputs &amp; Drivers'!$F42,1,Model!BZ11+1))</f>
        <v>0</v>
      </c>
      <c r="CB11" s="243">
        <f>IF(OR(Model!CB$8&lt;'Inputs &amp; Drivers'!$F42,Model!CB$8&gt;'Inputs &amp; Drivers'!$J42),0,IF(CB$8='Inputs &amp; Drivers'!$F42,1,Model!CA11+1))</f>
        <v>0</v>
      </c>
      <c r="CC11" s="243">
        <f>IF(OR(Model!CC$8&lt;'Inputs &amp; Drivers'!$F42,Model!CC$8&gt;'Inputs &amp; Drivers'!$J42),0,IF(CC$8='Inputs &amp; Drivers'!$F42,1,Model!CB11+1))</f>
        <v>0</v>
      </c>
      <c r="CD11" s="243">
        <f>IF(OR(Model!CD$8&lt;'Inputs &amp; Drivers'!$F42,Model!CD$8&gt;'Inputs &amp; Drivers'!$J42),0,IF(CD$8='Inputs &amp; Drivers'!$F42,1,Model!CC11+1))</f>
        <v>0</v>
      </c>
      <c r="CE11" s="243">
        <f>IF(OR(Model!CE$8&lt;'Inputs &amp; Drivers'!$F42,Model!CE$8&gt;'Inputs &amp; Drivers'!$J42),0,IF(CE$8='Inputs &amp; Drivers'!$F42,1,Model!CD11+1))</f>
        <v>0</v>
      </c>
      <c r="CF11" s="243">
        <f>IF(OR(Model!CF$8&lt;'Inputs &amp; Drivers'!$F42,Model!CF$8&gt;'Inputs &amp; Drivers'!$J42),0,IF(CF$8='Inputs &amp; Drivers'!$F42,1,Model!CE11+1))</f>
        <v>0</v>
      </c>
      <c r="CG11" s="243">
        <f>IF(OR(Model!CG$8&lt;'Inputs &amp; Drivers'!$F42,Model!CG$8&gt;'Inputs &amp; Drivers'!$J42),0,IF(CG$8='Inputs &amp; Drivers'!$F42,1,Model!CF11+1))</f>
        <v>0</v>
      </c>
      <c r="CH11" s="243">
        <f>IF(OR(Model!CH$8&lt;'Inputs &amp; Drivers'!$F42,Model!CH$8&gt;'Inputs &amp; Drivers'!$J42),0,IF(CH$8='Inputs &amp; Drivers'!$F42,1,Model!CG11+1))</f>
        <v>0</v>
      </c>
      <c r="CI11" s="243">
        <f>IF(OR(Model!CI$8&lt;'Inputs &amp; Drivers'!$F42,Model!CI$8&gt;'Inputs &amp; Drivers'!$J42),0,IF(CI$8='Inputs &amp; Drivers'!$F42,1,Model!CH11+1))</f>
        <v>0</v>
      </c>
      <c r="CJ11" s="243">
        <f>IF(OR(Model!CJ$8&lt;'Inputs &amp; Drivers'!$F42,Model!CJ$8&gt;'Inputs &amp; Drivers'!$J42),0,IF(CJ$8='Inputs &amp; Drivers'!$F42,1,Model!CI11+1))</f>
        <v>0</v>
      </c>
      <c r="CK11" s="243">
        <f>IF(OR(Model!CK$8&lt;'Inputs &amp; Drivers'!$F42,Model!CK$8&gt;'Inputs &amp; Drivers'!$J42),0,IF(CK$8='Inputs &amp; Drivers'!$F42,1,Model!CJ11+1))</f>
        <v>0</v>
      </c>
      <c r="CL11" s="243">
        <f>IF(OR(Model!CL$8&lt;'Inputs &amp; Drivers'!$F42,Model!CL$8&gt;'Inputs &amp; Drivers'!$J42),0,IF(CL$8='Inputs &amp; Drivers'!$F42,1,Model!CK11+1))</f>
        <v>0</v>
      </c>
      <c r="CM11" s="243">
        <f>IF(OR(Model!CM$8&lt;'Inputs &amp; Drivers'!$F42,Model!CM$8&gt;'Inputs &amp; Drivers'!$J42),0,IF(CM$8='Inputs &amp; Drivers'!$F42,1,Model!CL11+1))</f>
        <v>0</v>
      </c>
      <c r="CN11" s="243">
        <f>IF(OR(Model!CN$8&lt;'Inputs &amp; Drivers'!$F42,Model!CN$8&gt;'Inputs &amp; Drivers'!$J42),0,IF(CN$8='Inputs &amp; Drivers'!$F42,1,Model!CM11+1))</f>
        <v>0</v>
      </c>
      <c r="CO11" s="243">
        <f>IF(OR(Model!CO$8&lt;'Inputs &amp; Drivers'!$F42,Model!CO$8&gt;'Inputs &amp; Drivers'!$J42),0,IF(CO$8='Inputs &amp; Drivers'!$F42,1,Model!CN11+1))</f>
        <v>0</v>
      </c>
      <c r="CP11" s="243">
        <f>IF(OR(Model!CP$8&lt;'Inputs &amp; Drivers'!$F42,Model!CP$8&gt;'Inputs &amp; Drivers'!$J42),0,IF(CP$8='Inputs &amp; Drivers'!$F42,1,Model!CO11+1))</f>
        <v>0</v>
      </c>
      <c r="CQ11" s="243">
        <f>IF(OR(Model!CQ$8&lt;'Inputs &amp; Drivers'!$F42,Model!CQ$8&gt;'Inputs &amp; Drivers'!$J42),0,IF(CQ$8='Inputs &amp; Drivers'!$F42,1,Model!CP11+1))</f>
        <v>0</v>
      </c>
      <c r="CR11" s="243">
        <f>IF(OR(Model!CR$8&lt;'Inputs &amp; Drivers'!$F42,Model!CR$8&gt;'Inputs &amp; Drivers'!$J42),0,IF(CR$8='Inputs &amp; Drivers'!$F42,1,Model!CQ11+1))</f>
        <v>0</v>
      </c>
      <c r="CS11" s="243">
        <f>IF(OR(Model!CS$8&lt;'Inputs &amp; Drivers'!$F42,Model!CS$8&gt;'Inputs &amp; Drivers'!$J42),0,IF(CS$8='Inputs &amp; Drivers'!$F42,1,Model!CR11+1))</f>
        <v>0</v>
      </c>
      <c r="CT11" s="243">
        <f>IF(OR(Model!CT$8&lt;'Inputs &amp; Drivers'!$F42,Model!CT$8&gt;'Inputs &amp; Drivers'!$J42),0,IF(CT$8='Inputs &amp; Drivers'!$F42,1,Model!CS11+1))</f>
        <v>0</v>
      </c>
      <c r="CU11" s="243">
        <f>IF(OR(Model!CU$8&lt;'Inputs &amp; Drivers'!$F42,Model!CU$8&gt;'Inputs &amp; Drivers'!$J42),0,IF(CU$8='Inputs &amp; Drivers'!$F42,1,Model!CT11+1))</f>
        <v>0</v>
      </c>
      <c r="CV11" s="243">
        <f>IF(OR(Model!CV$8&lt;'Inputs &amp; Drivers'!$F42,Model!CV$8&gt;'Inputs &amp; Drivers'!$J42),0,IF(CV$8='Inputs &amp; Drivers'!$F42,1,Model!CU11+1))</f>
        <v>0</v>
      </c>
      <c r="CW11" s="243">
        <f>IF(OR(Model!CW$8&lt;'Inputs &amp; Drivers'!$F42,Model!CW$8&gt;'Inputs &amp; Drivers'!$J42),0,IF(CW$8='Inputs &amp; Drivers'!$F42,1,Model!CV11+1))</f>
        <v>0</v>
      </c>
      <c r="CX11" s="243">
        <f>IF(OR(Model!CX$8&lt;'Inputs &amp; Drivers'!$F42,Model!CX$8&gt;'Inputs &amp; Drivers'!$J42),0,IF(CX$8='Inputs &amp; Drivers'!$F42,1,Model!CW11+1))</f>
        <v>0</v>
      </c>
      <c r="CY11" s="243">
        <f>IF(OR(Model!CY$8&lt;'Inputs &amp; Drivers'!$F42,Model!CY$8&gt;'Inputs &amp; Drivers'!$J42),0,IF(CY$8='Inputs &amp; Drivers'!$F42,1,Model!CX11+1))</f>
        <v>0</v>
      </c>
      <c r="CZ11" s="243">
        <f>IF(OR(Model!CZ$8&lt;'Inputs &amp; Drivers'!$F42,Model!CZ$8&gt;'Inputs &amp; Drivers'!$J42),0,IF(CZ$8='Inputs &amp; Drivers'!$F42,1,Model!CY11+1))</f>
        <v>0</v>
      </c>
      <c r="DA11" s="243">
        <f>IF(OR(Model!DA$8&lt;'Inputs &amp; Drivers'!$F42,Model!DA$8&gt;'Inputs &amp; Drivers'!$J42),0,IF(DA$8='Inputs &amp; Drivers'!$F42,1,Model!CZ11+1))</f>
        <v>0</v>
      </c>
      <c r="DB11" s="243">
        <f>IF(OR(Model!DB$8&lt;'Inputs &amp; Drivers'!$F42,Model!DB$8&gt;'Inputs &amp; Drivers'!$J42),0,IF(DB$8='Inputs &amp; Drivers'!$F42,1,Model!DA11+1))</f>
        <v>0</v>
      </c>
      <c r="DC11" s="243">
        <f>IF(OR(Model!DC$8&lt;'Inputs &amp; Drivers'!$F42,Model!DC$8&gt;'Inputs &amp; Drivers'!$J42),0,IF(DC$8='Inputs &amp; Drivers'!$F42,1,Model!DB11+1))</f>
        <v>0</v>
      </c>
      <c r="DD11" s="243">
        <f>IF(OR(Model!DD$8&lt;'Inputs &amp; Drivers'!$F42,Model!DD$8&gt;'Inputs &amp; Drivers'!$J42),0,IF(DD$8='Inputs &amp; Drivers'!$F42,1,Model!DC11+1))</f>
        <v>0</v>
      </c>
      <c r="DE11" s="243">
        <f>IF(OR(Model!DE$8&lt;'Inputs &amp; Drivers'!$F42,Model!DE$8&gt;'Inputs &amp; Drivers'!$J42),0,IF(DE$8='Inputs &amp; Drivers'!$F42,1,Model!DD11+1))</f>
        <v>0</v>
      </c>
      <c r="DF11" s="243">
        <f>IF(OR(Model!DF$8&lt;'Inputs &amp; Drivers'!$F42,Model!DF$8&gt;'Inputs &amp; Drivers'!$J42),0,IF(DF$8='Inputs &amp; Drivers'!$F42,1,Model!DE11+1))</f>
        <v>0</v>
      </c>
      <c r="DG11" s="243">
        <f>IF(OR(Model!DG$8&lt;'Inputs &amp; Drivers'!$F42,Model!DG$8&gt;'Inputs &amp; Drivers'!$J42),0,IF(DG$8='Inputs &amp; Drivers'!$F42,1,Model!DF11+1))</f>
        <v>0</v>
      </c>
      <c r="DH11" s="243">
        <f>IF(OR(Model!DH$8&lt;'Inputs &amp; Drivers'!$F42,Model!DH$8&gt;'Inputs &amp; Drivers'!$J42),0,IF(DH$8='Inputs &amp; Drivers'!$F42,1,Model!DG11+1))</f>
        <v>0</v>
      </c>
      <c r="DI11" s="243">
        <f>IF(OR(Model!DI$8&lt;'Inputs &amp; Drivers'!$F42,Model!DI$8&gt;'Inputs &amp; Drivers'!$J42),0,IF(DI$8='Inputs &amp; Drivers'!$F42,1,Model!DH11+1))</f>
        <v>0</v>
      </c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</row>
    <row r="12" spans="2:166" outlineLevel="1" x14ac:dyDescent="0.4"/>
    <row r="13" spans="2:166" outlineLevel="1" x14ac:dyDescent="0.4">
      <c r="B13" s="94" t="s">
        <v>265</v>
      </c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</row>
    <row r="14" spans="2:166" outlineLevel="1" x14ac:dyDescent="0.4">
      <c r="B14" s="1" t="s">
        <v>263</v>
      </c>
      <c r="F14" s="15"/>
      <c r="H14" s="15">
        <f>(1/'Inputs &amp; Drivers'!$H38)*(Model!H$8&gt;='Inputs &amp; Drivers'!$F38)*(Model!H$8&lt;='Inputs &amp; Drivers'!$J38)</f>
        <v>1</v>
      </c>
      <c r="I14" s="15">
        <f>(1/'Inputs &amp; Drivers'!$H38)*(Model!I$8&gt;='Inputs &amp; Drivers'!$F38)*(Model!I$8&lt;='Inputs &amp; Drivers'!$J38)</f>
        <v>0</v>
      </c>
      <c r="J14" s="15">
        <f>(1/'Inputs &amp; Drivers'!$H38)*(Model!J$8&gt;='Inputs &amp; Drivers'!$F38)*(Model!J$8&lt;='Inputs &amp; Drivers'!$J38)</f>
        <v>0</v>
      </c>
      <c r="K14" s="15">
        <f>(1/'Inputs &amp; Drivers'!$H38)*(Model!K$8&gt;='Inputs &amp; Drivers'!$F38)*(Model!K$8&lt;='Inputs &amp; Drivers'!$J38)</f>
        <v>0</v>
      </c>
      <c r="L14" s="15">
        <f>(1/'Inputs &amp; Drivers'!$H38)*(Model!L$8&gt;='Inputs &amp; Drivers'!$F38)*(Model!L$8&lt;='Inputs &amp; Drivers'!$J38)</f>
        <v>0</v>
      </c>
      <c r="M14" s="15">
        <f>(1/'Inputs &amp; Drivers'!$H38)*(Model!M$8&gt;='Inputs &amp; Drivers'!$F38)*(Model!M$8&lt;='Inputs &amp; Drivers'!$J38)</f>
        <v>0</v>
      </c>
      <c r="N14" s="15">
        <f>(1/'Inputs &amp; Drivers'!$H38)*(Model!N$8&gt;='Inputs &amp; Drivers'!$F38)*(Model!N$8&lt;='Inputs &amp; Drivers'!$J38)</f>
        <v>0</v>
      </c>
      <c r="O14" s="15">
        <f>(1/'Inputs &amp; Drivers'!$H38)*(Model!O$8&gt;='Inputs &amp; Drivers'!$F38)*(Model!O$8&lt;='Inputs &amp; Drivers'!$J38)</f>
        <v>0</v>
      </c>
      <c r="P14" s="15">
        <f>(1/'Inputs &amp; Drivers'!$H38)*(Model!P$8&gt;='Inputs &amp; Drivers'!$F38)*(Model!P$8&lt;='Inputs &amp; Drivers'!$J38)</f>
        <v>0</v>
      </c>
      <c r="Q14" s="15">
        <f>(1/'Inputs &amp; Drivers'!$H38)*(Model!Q$8&gt;='Inputs &amp; Drivers'!$F38)*(Model!Q$8&lt;='Inputs &amp; Drivers'!$J38)</f>
        <v>0</v>
      </c>
      <c r="R14" s="15">
        <f>(1/'Inputs &amp; Drivers'!$H38)*(Model!R$8&gt;='Inputs &amp; Drivers'!$F38)*(Model!R$8&lt;='Inputs &amp; Drivers'!$J38)</f>
        <v>0</v>
      </c>
      <c r="S14" s="15">
        <f>(1/'Inputs &amp; Drivers'!$H38)*(Model!S$8&gt;='Inputs &amp; Drivers'!$F38)*(Model!S$8&lt;='Inputs &amp; Drivers'!$J38)</f>
        <v>0</v>
      </c>
      <c r="T14" s="15">
        <f>(1/'Inputs &amp; Drivers'!$H38)*(Model!T$8&gt;='Inputs &amp; Drivers'!$F38)*(Model!T$8&lt;='Inputs &amp; Drivers'!$J38)</f>
        <v>0</v>
      </c>
      <c r="U14" s="15">
        <f>(1/'Inputs &amp; Drivers'!$H38)*(Model!U$8&gt;='Inputs &amp; Drivers'!$F38)*(Model!U$8&lt;='Inputs &amp; Drivers'!$J38)</f>
        <v>0</v>
      </c>
      <c r="V14" s="15">
        <f>(1/'Inputs &amp; Drivers'!$H38)*(Model!V$8&gt;='Inputs &amp; Drivers'!$F38)*(Model!V$8&lt;='Inputs &amp; Drivers'!$J38)</f>
        <v>0</v>
      </c>
      <c r="W14" s="15">
        <f>(1/'Inputs &amp; Drivers'!$H38)*(Model!W$8&gt;='Inputs &amp; Drivers'!$F38)*(Model!W$8&lt;='Inputs &amp; Drivers'!$J38)</f>
        <v>0</v>
      </c>
      <c r="X14" s="15">
        <f>(1/'Inputs &amp; Drivers'!$H38)*(Model!X$8&gt;='Inputs &amp; Drivers'!$F38)*(Model!X$8&lt;='Inputs &amp; Drivers'!$J38)</f>
        <v>0</v>
      </c>
      <c r="Y14" s="15">
        <f>(1/'Inputs &amp; Drivers'!$H38)*(Model!Y$8&gt;='Inputs &amp; Drivers'!$F38)*(Model!Y$8&lt;='Inputs &amp; Drivers'!$J38)</f>
        <v>0</v>
      </c>
      <c r="Z14" s="15">
        <f>(1/'Inputs &amp; Drivers'!$H38)*(Model!Z$8&gt;='Inputs &amp; Drivers'!$F38)*(Model!Z$8&lt;='Inputs &amp; Drivers'!$J38)</f>
        <v>0</v>
      </c>
      <c r="AA14" s="15">
        <f>(1/'Inputs &amp; Drivers'!$H38)*(Model!AA$8&gt;='Inputs &amp; Drivers'!$F38)*(Model!AA$8&lt;='Inputs &amp; Drivers'!$J38)</f>
        <v>0</v>
      </c>
      <c r="AB14" s="15">
        <f>(1/'Inputs &amp; Drivers'!$H38)*(Model!AB$8&gt;='Inputs &amp; Drivers'!$F38)*(Model!AB$8&lt;='Inputs &amp; Drivers'!$J38)</f>
        <v>0</v>
      </c>
      <c r="AC14" s="15">
        <f>(1/'Inputs &amp; Drivers'!$H38)*(Model!AC$8&gt;='Inputs &amp; Drivers'!$F38)*(Model!AC$8&lt;='Inputs &amp; Drivers'!$J38)</f>
        <v>0</v>
      </c>
      <c r="AD14" s="15">
        <f>(1/'Inputs &amp; Drivers'!$H38)*(Model!AD$8&gt;='Inputs &amp; Drivers'!$F38)*(Model!AD$8&lt;='Inputs &amp; Drivers'!$J38)</f>
        <v>0</v>
      </c>
      <c r="AE14" s="15">
        <f>(1/'Inputs &amp; Drivers'!$H38)*(Model!AE$8&gt;='Inputs &amp; Drivers'!$F38)*(Model!AE$8&lt;='Inputs &amp; Drivers'!$J38)</f>
        <v>0</v>
      </c>
      <c r="AF14" s="15">
        <f>(1/'Inputs &amp; Drivers'!$H38)*(Model!AF$8&gt;='Inputs &amp; Drivers'!$F38)*(Model!AF$8&lt;='Inputs &amp; Drivers'!$J38)</f>
        <v>0</v>
      </c>
      <c r="AG14" s="15">
        <f>(1/'Inputs &amp; Drivers'!$H38)*(Model!AG$8&gt;='Inputs &amp; Drivers'!$F38)*(Model!AG$8&lt;='Inputs &amp; Drivers'!$J38)</f>
        <v>0</v>
      </c>
      <c r="AH14" s="15">
        <f>(1/'Inputs &amp; Drivers'!$H38)*(Model!AH$8&gt;='Inputs &amp; Drivers'!$F38)*(Model!AH$8&lt;='Inputs &amp; Drivers'!$J38)</f>
        <v>0</v>
      </c>
      <c r="AI14" s="15">
        <f>(1/'Inputs &amp; Drivers'!$H38)*(Model!AI$8&gt;='Inputs &amp; Drivers'!$F38)*(Model!AI$8&lt;='Inputs &amp; Drivers'!$J38)</f>
        <v>0</v>
      </c>
      <c r="AJ14" s="15">
        <f>(1/'Inputs &amp; Drivers'!$H38)*(Model!AJ$8&gt;='Inputs &amp; Drivers'!$F38)*(Model!AJ$8&lt;='Inputs &amp; Drivers'!$J38)</f>
        <v>0</v>
      </c>
      <c r="AK14" s="15">
        <f>(1/'Inputs &amp; Drivers'!$H38)*(Model!AK$8&gt;='Inputs &amp; Drivers'!$F38)*(Model!AK$8&lt;='Inputs &amp; Drivers'!$J38)</f>
        <v>0</v>
      </c>
      <c r="AL14" s="15">
        <f>(1/'Inputs &amp; Drivers'!$H38)*(Model!AL$8&gt;='Inputs &amp; Drivers'!$F38)*(Model!AL$8&lt;='Inputs &amp; Drivers'!$J38)</f>
        <v>0</v>
      </c>
      <c r="AM14" s="15">
        <f>(1/'Inputs &amp; Drivers'!$H38)*(Model!AM$8&gt;='Inputs &amp; Drivers'!$F38)*(Model!AM$8&lt;='Inputs &amp; Drivers'!$J38)</f>
        <v>0</v>
      </c>
      <c r="AN14" s="15">
        <f>(1/'Inputs &amp; Drivers'!$H38)*(Model!AN$8&gt;='Inputs &amp; Drivers'!$F38)*(Model!AN$8&lt;='Inputs &amp; Drivers'!$J38)</f>
        <v>0</v>
      </c>
      <c r="AO14" s="15">
        <f>(1/'Inputs &amp; Drivers'!$H38)*(Model!AO$8&gt;='Inputs &amp; Drivers'!$F38)*(Model!AO$8&lt;='Inputs &amp; Drivers'!$J38)</f>
        <v>0</v>
      </c>
      <c r="AP14" s="15">
        <f>(1/'Inputs &amp; Drivers'!$H38)*(Model!AP$8&gt;='Inputs &amp; Drivers'!$F38)*(Model!AP$8&lt;='Inputs &amp; Drivers'!$J38)</f>
        <v>0</v>
      </c>
      <c r="AQ14" s="15">
        <f>(1/'Inputs &amp; Drivers'!$H38)*(Model!AQ$8&gt;='Inputs &amp; Drivers'!$F38)*(Model!AQ$8&lt;='Inputs &amp; Drivers'!$J38)</f>
        <v>0</v>
      </c>
      <c r="AR14" s="15">
        <f>(1/'Inputs &amp; Drivers'!$H38)*(Model!AR$8&gt;='Inputs &amp; Drivers'!$F38)*(Model!AR$8&lt;='Inputs &amp; Drivers'!$J38)</f>
        <v>0</v>
      </c>
      <c r="AS14" s="15">
        <f>(1/'Inputs &amp; Drivers'!$H38)*(Model!AS$8&gt;='Inputs &amp; Drivers'!$F38)*(Model!AS$8&lt;='Inputs &amp; Drivers'!$J38)</f>
        <v>0</v>
      </c>
      <c r="AT14" s="15">
        <f>(1/'Inputs &amp; Drivers'!$H38)*(Model!AT$8&gt;='Inputs &amp; Drivers'!$F38)*(Model!AT$8&lt;='Inputs &amp; Drivers'!$J38)</f>
        <v>0</v>
      </c>
      <c r="AU14" s="15">
        <f>(1/'Inputs &amp; Drivers'!$H38)*(Model!AU$8&gt;='Inputs &amp; Drivers'!$F38)*(Model!AU$8&lt;='Inputs &amp; Drivers'!$J38)</f>
        <v>0</v>
      </c>
      <c r="AV14" s="15">
        <f>(1/'Inputs &amp; Drivers'!$H38)*(Model!AV$8&gt;='Inputs &amp; Drivers'!$F38)*(Model!AV$8&lt;='Inputs &amp; Drivers'!$J38)</f>
        <v>0</v>
      </c>
      <c r="AW14" s="15">
        <f>(1/'Inputs &amp; Drivers'!$H38)*(Model!AW$8&gt;='Inputs &amp; Drivers'!$F38)*(Model!AW$8&lt;='Inputs &amp; Drivers'!$J38)</f>
        <v>0</v>
      </c>
      <c r="AX14" s="15">
        <f>(1/'Inputs &amp; Drivers'!$H38)*(Model!AX$8&gt;='Inputs &amp; Drivers'!$F38)*(Model!AX$8&lt;='Inputs &amp; Drivers'!$J38)</f>
        <v>0</v>
      </c>
      <c r="AY14" s="15">
        <f>(1/'Inputs &amp; Drivers'!$H38)*(Model!AY$8&gt;='Inputs &amp; Drivers'!$F38)*(Model!AY$8&lt;='Inputs &amp; Drivers'!$J38)</f>
        <v>0</v>
      </c>
      <c r="AZ14" s="15">
        <f>(1/'Inputs &amp; Drivers'!$H38)*(Model!AZ$8&gt;='Inputs &amp; Drivers'!$F38)*(Model!AZ$8&lt;='Inputs &amp; Drivers'!$J38)</f>
        <v>0</v>
      </c>
      <c r="BA14" s="15">
        <f>(1/'Inputs &amp; Drivers'!$H38)*(Model!BA$8&gt;='Inputs &amp; Drivers'!$F38)*(Model!BA$8&lt;='Inputs &amp; Drivers'!$J38)</f>
        <v>0</v>
      </c>
      <c r="BB14" s="15">
        <f>(1/'Inputs &amp; Drivers'!$H38)*(Model!BB$8&gt;='Inputs &amp; Drivers'!$F38)*(Model!BB$8&lt;='Inputs &amp; Drivers'!$J38)</f>
        <v>0</v>
      </c>
      <c r="BC14" s="15">
        <f>(1/'Inputs &amp; Drivers'!$H38)*(Model!BC$8&gt;='Inputs &amp; Drivers'!$F38)*(Model!BC$8&lt;='Inputs &amp; Drivers'!$J38)</f>
        <v>0</v>
      </c>
      <c r="BD14" s="15">
        <f>(1/'Inputs &amp; Drivers'!$H38)*(Model!BD$8&gt;='Inputs &amp; Drivers'!$F38)*(Model!BD$8&lt;='Inputs &amp; Drivers'!$J38)</f>
        <v>0</v>
      </c>
      <c r="BE14" s="15">
        <f>(1/'Inputs &amp; Drivers'!$H38)*(Model!BE$8&gt;='Inputs &amp; Drivers'!$F38)*(Model!BE$8&lt;='Inputs &amp; Drivers'!$J38)</f>
        <v>0</v>
      </c>
      <c r="BF14" s="15">
        <f>(1/'Inputs &amp; Drivers'!$H38)*(Model!BF$8&gt;='Inputs &amp; Drivers'!$F38)*(Model!BF$8&lt;='Inputs &amp; Drivers'!$J38)</f>
        <v>0</v>
      </c>
      <c r="BG14" s="15">
        <f>(1/'Inputs &amp; Drivers'!$H38)*(Model!BG$8&gt;='Inputs &amp; Drivers'!$F38)*(Model!BG$8&lt;='Inputs &amp; Drivers'!$J38)</f>
        <v>0</v>
      </c>
      <c r="BH14" s="15">
        <f>(1/'Inputs &amp; Drivers'!$H38)*(Model!BH$8&gt;='Inputs &amp; Drivers'!$F38)*(Model!BH$8&lt;='Inputs &amp; Drivers'!$J38)</f>
        <v>0</v>
      </c>
      <c r="BI14" s="15">
        <f>(1/'Inputs &amp; Drivers'!$H38)*(Model!BI$8&gt;='Inputs &amp; Drivers'!$F38)*(Model!BI$8&lt;='Inputs &amp; Drivers'!$J38)</f>
        <v>0</v>
      </c>
      <c r="BJ14" s="15">
        <f>(1/'Inputs &amp; Drivers'!$H38)*(Model!BJ$8&gt;='Inputs &amp; Drivers'!$F38)*(Model!BJ$8&lt;='Inputs &amp; Drivers'!$J38)</f>
        <v>0</v>
      </c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L14" s="15">
        <f t="shared" ref="EL14:EW17" si="19">SUMIF($H$4:$EJ$4,EL$5,$H14:$EJ14)</f>
        <v>1</v>
      </c>
      <c r="EM14" s="15">
        <f t="shared" si="19"/>
        <v>0</v>
      </c>
      <c r="EN14" s="15">
        <f t="shared" si="19"/>
        <v>0</v>
      </c>
      <c r="EO14" s="15">
        <f t="shared" si="19"/>
        <v>0</v>
      </c>
      <c r="EP14" s="15">
        <f t="shared" si="19"/>
        <v>0</v>
      </c>
      <c r="EQ14" s="15">
        <f t="shared" si="19"/>
        <v>0</v>
      </c>
      <c r="ER14" s="15">
        <f t="shared" si="19"/>
        <v>0</v>
      </c>
      <c r="ES14" s="15">
        <f t="shared" si="19"/>
        <v>0</v>
      </c>
      <c r="ET14" s="15">
        <f t="shared" si="19"/>
        <v>0</v>
      </c>
      <c r="EU14" s="15">
        <f t="shared" si="19"/>
        <v>0</v>
      </c>
      <c r="EV14" s="15">
        <f t="shared" si="19"/>
        <v>0</v>
      </c>
      <c r="EW14" s="15">
        <f t="shared" si="19"/>
        <v>0</v>
      </c>
    </row>
    <row r="15" spans="2:166" outlineLevel="1" x14ac:dyDescent="0.4">
      <c r="B15" s="1" t="s">
        <v>236</v>
      </c>
      <c r="F15" s="15"/>
      <c r="H15" s="15">
        <f>(1/'Inputs &amp; Drivers'!$H39)*(Model!H$8&gt;='Inputs &amp; Drivers'!$F39)*(Model!H$8&lt;='Inputs &amp; Drivers'!$J39)</f>
        <v>0</v>
      </c>
      <c r="I15" s="15">
        <f>(1/'Inputs &amp; Drivers'!$H39)*(Model!I$8&gt;='Inputs &amp; Drivers'!$F39)*(Model!I$8&lt;='Inputs &amp; Drivers'!$J39)</f>
        <v>0</v>
      </c>
      <c r="J15" s="15">
        <f>(1/'Inputs &amp; Drivers'!$H39)*(Model!J$8&gt;='Inputs &amp; Drivers'!$F39)*(Model!J$8&lt;='Inputs &amp; Drivers'!$J39)</f>
        <v>0</v>
      </c>
      <c r="K15" s="15">
        <f>(1/'Inputs &amp; Drivers'!$H39)*(Model!K$8&gt;='Inputs &amp; Drivers'!$F39)*(Model!K$8&lt;='Inputs &amp; Drivers'!$J39)</f>
        <v>0.05</v>
      </c>
      <c r="L15" s="15">
        <f>(1/'Inputs &amp; Drivers'!$H39)*(Model!L$8&gt;='Inputs &amp; Drivers'!$F39)*(Model!L$8&lt;='Inputs &amp; Drivers'!$J39)</f>
        <v>0.05</v>
      </c>
      <c r="M15" s="15">
        <f>(1/'Inputs &amp; Drivers'!$H39)*(Model!M$8&gt;='Inputs &amp; Drivers'!$F39)*(Model!M$8&lt;='Inputs &amp; Drivers'!$J39)</f>
        <v>0.05</v>
      </c>
      <c r="N15" s="15">
        <f>(1/'Inputs &amp; Drivers'!$H39)*(Model!N$8&gt;='Inputs &amp; Drivers'!$F39)*(Model!N$8&lt;='Inputs &amp; Drivers'!$J39)</f>
        <v>0.05</v>
      </c>
      <c r="O15" s="15">
        <f>(1/'Inputs &amp; Drivers'!$H39)*(Model!O$8&gt;='Inputs &amp; Drivers'!$F39)*(Model!O$8&lt;='Inputs &amp; Drivers'!$J39)</f>
        <v>0.05</v>
      </c>
      <c r="P15" s="15">
        <f>(1/'Inputs &amp; Drivers'!$H39)*(Model!P$8&gt;='Inputs &amp; Drivers'!$F39)*(Model!P$8&lt;='Inputs &amp; Drivers'!$J39)</f>
        <v>0.05</v>
      </c>
      <c r="Q15" s="15">
        <f>(1/'Inputs &amp; Drivers'!$H39)*(Model!Q$8&gt;='Inputs &amp; Drivers'!$F39)*(Model!Q$8&lt;='Inputs &amp; Drivers'!$J39)</f>
        <v>0.05</v>
      </c>
      <c r="R15" s="15">
        <f>(1/'Inputs &amp; Drivers'!$H39)*(Model!R$8&gt;='Inputs &amp; Drivers'!$F39)*(Model!R$8&lt;='Inputs &amp; Drivers'!$J39)</f>
        <v>0.05</v>
      </c>
      <c r="S15" s="15">
        <f>(1/'Inputs &amp; Drivers'!$H39)*(Model!S$8&gt;='Inputs &amp; Drivers'!$F39)*(Model!S$8&lt;='Inputs &amp; Drivers'!$J39)</f>
        <v>0.05</v>
      </c>
      <c r="T15" s="15">
        <f>(1/'Inputs &amp; Drivers'!$H39)*(Model!T$8&gt;='Inputs &amp; Drivers'!$F39)*(Model!T$8&lt;='Inputs &amp; Drivers'!$J39)</f>
        <v>0.05</v>
      </c>
      <c r="U15" s="15">
        <f>(1/'Inputs &amp; Drivers'!$H39)*(Model!U$8&gt;='Inputs &amp; Drivers'!$F39)*(Model!U$8&lt;='Inputs &amp; Drivers'!$J39)</f>
        <v>0.05</v>
      </c>
      <c r="V15" s="15">
        <f>(1/'Inputs &amp; Drivers'!$H39)*(Model!V$8&gt;='Inputs &amp; Drivers'!$F39)*(Model!V$8&lt;='Inputs &amp; Drivers'!$J39)</f>
        <v>0.05</v>
      </c>
      <c r="W15" s="15">
        <f>(1/'Inputs &amp; Drivers'!$H39)*(Model!W$8&gt;='Inputs &amp; Drivers'!$F39)*(Model!W$8&lt;='Inputs &amp; Drivers'!$J39)</f>
        <v>0.05</v>
      </c>
      <c r="X15" s="15">
        <f>(1/'Inputs &amp; Drivers'!$H39)*(Model!X$8&gt;='Inputs &amp; Drivers'!$F39)*(Model!X$8&lt;='Inputs &amp; Drivers'!$J39)</f>
        <v>0.05</v>
      </c>
      <c r="Y15" s="15">
        <f>(1/'Inputs &amp; Drivers'!$H39)*(Model!Y$8&gt;='Inputs &amp; Drivers'!$F39)*(Model!Y$8&lt;='Inputs &amp; Drivers'!$J39)</f>
        <v>0.05</v>
      </c>
      <c r="Z15" s="15">
        <f>(1/'Inputs &amp; Drivers'!$H39)*(Model!Z$8&gt;='Inputs &amp; Drivers'!$F39)*(Model!Z$8&lt;='Inputs &amp; Drivers'!$J39)</f>
        <v>0.05</v>
      </c>
      <c r="AA15" s="15">
        <f>(1/'Inputs &amp; Drivers'!$H39)*(Model!AA$8&gt;='Inputs &amp; Drivers'!$F39)*(Model!AA$8&lt;='Inputs &amp; Drivers'!$J39)</f>
        <v>0.05</v>
      </c>
      <c r="AB15" s="15">
        <f>(1/'Inputs &amp; Drivers'!$H39)*(Model!AB$8&gt;='Inputs &amp; Drivers'!$F39)*(Model!AB$8&lt;='Inputs &amp; Drivers'!$J39)</f>
        <v>0.05</v>
      </c>
      <c r="AC15" s="15">
        <f>(1/'Inputs &amp; Drivers'!$H39)*(Model!AC$8&gt;='Inputs &amp; Drivers'!$F39)*(Model!AC$8&lt;='Inputs &amp; Drivers'!$J39)</f>
        <v>0.05</v>
      </c>
      <c r="AD15" s="15">
        <f>(1/'Inputs &amp; Drivers'!$H39)*(Model!AD$8&gt;='Inputs &amp; Drivers'!$F39)*(Model!AD$8&lt;='Inputs &amp; Drivers'!$J39)</f>
        <v>0.05</v>
      </c>
      <c r="AE15" s="15">
        <f>(1/'Inputs &amp; Drivers'!$H39)*(Model!AE$8&gt;='Inputs &amp; Drivers'!$F39)*(Model!AE$8&lt;='Inputs &amp; Drivers'!$J39)</f>
        <v>0</v>
      </c>
      <c r="AF15" s="15">
        <f>(1/'Inputs &amp; Drivers'!$H39)*(Model!AF$8&gt;='Inputs &amp; Drivers'!$F39)*(Model!AF$8&lt;='Inputs &amp; Drivers'!$J39)</f>
        <v>0</v>
      </c>
      <c r="AG15" s="15">
        <f>(1/'Inputs &amp; Drivers'!$H39)*(Model!AG$8&gt;='Inputs &amp; Drivers'!$F39)*(Model!AG$8&lt;='Inputs &amp; Drivers'!$J39)</f>
        <v>0</v>
      </c>
      <c r="AH15" s="15">
        <f>(1/'Inputs &amp; Drivers'!$H39)*(Model!AH$8&gt;='Inputs &amp; Drivers'!$F39)*(Model!AH$8&lt;='Inputs &amp; Drivers'!$J39)</f>
        <v>0</v>
      </c>
      <c r="AI15" s="15">
        <f>(1/'Inputs &amp; Drivers'!$H39)*(Model!AI$8&gt;='Inputs &amp; Drivers'!$F39)*(Model!AI$8&lt;='Inputs &amp; Drivers'!$J39)</f>
        <v>0</v>
      </c>
      <c r="AJ15" s="15">
        <f>(1/'Inputs &amp; Drivers'!$H39)*(Model!AJ$8&gt;='Inputs &amp; Drivers'!$F39)*(Model!AJ$8&lt;='Inputs &amp; Drivers'!$J39)</f>
        <v>0</v>
      </c>
      <c r="AK15" s="15">
        <f>(1/'Inputs &amp; Drivers'!$H39)*(Model!AK$8&gt;='Inputs &amp; Drivers'!$F39)*(Model!AK$8&lt;='Inputs &amp; Drivers'!$J39)</f>
        <v>0</v>
      </c>
      <c r="AL15" s="15">
        <f>(1/'Inputs &amp; Drivers'!$H39)*(Model!AL$8&gt;='Inputs &amp; Drivers'!$F39)*(Model!AL$8&lt;='Inputs &amp; Drivers'!$J39)</f>
        <v>0</v>
      </c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L15" s="15">
        <f t="shared" si="19"/>
        <v>0</v>
      </c>
      <c r="EM15" s="15">
        <f t="shared" si="19"/>
        <v>0.49999999999999994</v>
      </c>
      <c r="EN15" s="15">
        <f t="shared" si="19"/>
        <v>0.49999999999999994</v>
      </c>
      <c r="EO15" s="15">
        <f t="shared" si="19"/>
        <v>0</v>
      </c>
      <c r="EP15" s="15">
        <f t="shared" si="19"/>
        <v>0</v>
      </c>
      <c r="EQ15" s="15">
        <f t="shared" si="19"/>
        <v>0</v>
      </c>
      <c r="ER15" s="15">
        <f t="shared" si="19"/>
        <v>0</v>
      </c>
      <c r="ES15" s="15">
        <f t="shared" si="19"/>
        <v>0</v>
      </c>
      <c r="ET15" s="15">
        <f t="shared" si="19"/>
        <v>0</v>
      </c>
      <c r="EU15" s="15">
        <f t="shared" si="19"/>
        <v>0</v>
      </c>
      <c r="EV15" s="15">
        <f t="shared" si="19"/>
        <v>0</v>
      </c>
      <c r="EW15" s="15">
        <f t="shared" si="19"/>
        <v>0</v>
      </c>
    </row>
    <row r="16" spans="2:166" outlineLevel="1" x14ac:dyDescent="0.4">
      <c r="B16" s="1" t="s">
        <v>235</v>
      </c>
      <c r="F16" s="15"/>
      <c r="H16" s="15">
        <f>(1/'Inputs &amp; Drivers'!$H40)*(Model!H$8&gt;='Inputs &amp; Drivers'!$F40)*(Model!H$8&lt;='Inputs &amp; Drivers'!$J40)</f>
        <v>0</v>
      </c>
      <c r="I16" s="15">
        <f>(1/'Inputs &amp; Drivers'!$H40)*(Model!I$8&gt;='Inputs &amp; Drivers'!$F40)*(Model!I$8&lt;='Inputs &amp; Drivers'!$J40)</f>
        <v>0</v>
      </c>
      <c r="J16" s="15">
        <f>(1/'Inputs &amp; Drivers'!$H40)*(Model!J$8&gt;='Inputs &amp; Drivers'!$F40)*(Model!J$8&lt;='Inputs &amp; Drivers'!$J40)</f>
        <v>0</v>
      </c>
      <c r="K16" s="15">
        <f>(1/'Inputs &amp; Drivers'!$H40)*(Model!K$8&gt;='Inputs &amp; Drivers'!$F40)*(Model!K$8&lt;='Inputs &amp; Drivers'!$J40)</f>
        <v>0</v>
      </c>
      <c r="L16" s="15">
        <f>(1/'Inputs &amp; Drivers'!$H40)*(Model!L$8&gt;='Inputs &amp; Drivers'!$F40)*(Model!L$8&lt;='Inputs &amp; Drivers'!$J40)</f>
        <v>0</v>
      </c>
      <c r="M16" s="15">
        <f>(1/'Inputs &amp; Drivers'!$H40)*(Model!M$8&gt;='Inputs &amp; Drivers'!$F40)*(Model!M$8&lt;='Inputs &amp; Drivers'!$J40)</f>
        <v>0</v>
      </c>
      <c r="N16" s="15">
        <f>(1/'Inputs &amp; Drivers'!$H40)*(Model!N$8&gt;='Inputs &amp; Drivers'!$F40)*(Model!N$8&lt;='Inputs &amp; Drivers'!$J40)</f>
        <v>0</v>
      </c>
      <c r="O16" s="15">
        <f>(1/'Inputs &amp; Drivers'!$H40)*(Model!O$8&gt;='Inputs &amp; Drivers'!$F40)*(Model!O$8&lt;='Inputs &amp; Drivers'!$J40)</f>
        <v>6.25E-2</v>
      </c>
      <c r="P16" s="15">
        <f>(1/'Inputs &amp; Drivers'!$H40)*(Model!P$8&gt;='Inputs &amp; Drivers'!$F40)*(Model!P$8&lt;='Inputs &amp; Drivers'!$J40)</f>
        <v>6.25E-2</v>
      </c>
      <c r="Q16" s="15">
        <f>(1/'Inputs &amp; Drivers'!$H40)*(Model!Q$8&gt;='Inputs &amp; Drivers'!$F40)*(Model!Q$8&lt;='Inputs &amp; Drivers'!$J40)</f>
        <v>6.25E-2</v>
      </c>
      <c r="R16" s="15">
        <f>(1/'Inputs &amp; Drivers'!$H40)*(Model!R$8&gt;='Inputs &amp; Drivers'!$F40)*(Model!R$8&lt;='Inputs &amp; Drivers'!$J40)</f>
        <v>6.25E-2</v>
      </c>
      <c r="S16" s="15">
        <f>(1/'Inputs &amp; Drivers'!$H40)*(Model!S$8&gt;='Inputs &amp; Drivers'!$F40)*(Model!S$8&lt;='Inputs &amp; Drivers'!$J40)</f>
        <v>6.25E-2</v>
      </c>
      <c r="T16" s="15">
        <f>(1/'Inputs &amp; Drivers'!$H40)*(Model!T$8&gt;='Inputs &amp; Drivers'!$F40)*(Model!T$8&lt;='Inputs &amp; Drivers'!$J40)</f>
        <v>6.25E-2</v>
      </c>
      <c r="U16" s="15">
        <f>(1/'Inputs &amp; Drivers'!$H40)*(Model!U$8&gt;='Inputs &amp; Drivers'!$F40)*(Model!U$8&lt;='Inputs &amp; Drivers'!$J40)</f>
        <v>6.25E-2</v>
      </c>
      <c r="V16" s="15">
        <f>(1/'Inputs &amp; Drivers'!$H40)*(Model!V$8&gt;='Inputs &amp; Drivers'!$F40)*(Model!V$8&lt;='Inputs &amp; Drivers'!$J40)</f>
        <v>6.25E-2</v>
      </c>
      <c r="W16" s="15">
        <f>(1/'Inputs &amp; Drivers'!$H40)*(Model!W$8&gt;='Inputs &amp; Drivers'!$F40)*(Model!W$8&lt;='Inputs &amp; Drivers'!$J40)</f>
        <v>6.25E-2</v>
      </c>
      <c r="X16" s="15">
        <f>(1/'Inputs &amp; Drivers'!$H40)*(Model!X$8&gt;='Inputs &amp; Drivers'!$F40)*(Model!X$8&lt;='Inputs &amp; Drivers'!$J40)</f>
        <v>6.25E-2</v>
      </c>
      <c r="Y16" s="15">
        <f>(1/'Inputs &amp; Drivers'!$H40)*(Model!Y$8&gt;='Inputs &amp; Drivers'!$F40)*(Model!Y$8&lt;='Inputs &amp; Drivers'!$J40)</f>
        <v>6.25E-2</v>
      </c>
      <c r="Z16" s="15">
        <f>(1/'Inputs &amp; Drivers'!$H40)*(Model!Z$8&gt;='Inputs &amp; Drivers'!$F40)*(Model!Z$8&lt;='Inputs &amp; Drivers'!$J40)</f>
        <v>6.25E-2</v>
      </c>
      <c r="AA16" s="15">
        <f>(1/'Inputs &amp; Drivers'!$H40)*(Model!AA$8&gt;='Inputs &amp; Drivers'!$F40)*(Model!AA$8&lt;='Inputs &amp; Drivers'!$J40)</f>
        <v>6.25E-2</v>
      </c>
      <c r="AB16" s="15">
        <f>(1/'Inputs &amp; Drivers'!$H40)*(Model!AB$8&gt;='Inputs &amp; Drivers'!$F40)*(Model!AB$8&lt;='Inputs &amp; Drivers'!$J40)</f>
        <v>6.25E-2</v>
      </c>
      <c r="AC16" s="15">
        <f>(1/'Inputs &amp; Drivers'!$H40)*(Model!AC$8&gt;='Inputs &amp; Drivers'!$F40)*(Model!AC$8&lt;='Inputs &amp; Drivers'!$J40)</f>
        <v>6.25E-2</v>
      </c>
      <c r="AD16" s="15">
        <f>(1/'Inputs &amp; Drivers'!$H40)*(Model!AD$8&gt;='Inputs &amp; Drivers'!$F40)*(Model!AD$8&lt;='Inputs &amp; Drivers'!$J40)</f>
        <v>6.25E-2</v>
      </c>
      <c r="AE16" s="15">
        <f>(1/'Inputs &amp; Drivers'!$H40)*(Model!AE$8&gt;='Inputs &amp; Drivers'!$F40)*(Model!AE$8&lt;='Inputs &amp; Drivers'!$J40)</f>
        <v>0</v>
      </c>
      <c r="AF16" s="15">
        <f>(1/'Inputs &amp; Drivers'!$H40)*(Model!AF$8&gt;='Inputs &amp; Drivers'!$F40)*(Model!AF$8&lt;='Inputs &amp; Drivers'!$J40)</f>
        <v>0</v>
      </c>
      <c r="AG16" s="15">
        <f>(1/'Inputs &amp; Drivers'!$H40)*(Model!AG$8&gt;='Inputs &amp; Drivers'!$F40)*(Model!AG$8&lt;='Inputs &amp; Drivers'!$J40)</f>
        <v>0</v>
      </c>
      <c r="AH16" s="15">
        <f>(1/'Inputs &amp; Drivers'!$H40)*(Model!AH$8&gt;='Inputs &amp; Drivers'!$F40)*(Model!AH$8&lt;='Inputs &amp; Drivers'!$J40)</f>
        <v>0</v>
      </c>
      <c r="AI16" s="15">
        <f>(1/'Inputs &amp; Drivers'!$H40)*(Model!AI$8&gt;='Inputs &amp; Drivers'!$F40)*(Model!AI$8&lt;='Inputs &amp; Drivers'!$J40)</f>
        <v>0</v>
      </c>
      <c r="AJ16" s="15">
        <f>(1/'Inputs &amp; Drivers'!$H40)*(Model!AJ$8&gt;='Inputs &amp; Drivers'!$F40)*(Model!AJ$8&lt;='Inputs &amp; Drivers'!$J40)</f>
        <v>0</v>
      </c>
      <c r="AK16" s="15">
        <f>(1/'Inputs &amp; Drivers'!$H40)*(Model!AK$8&gt;='Inputs &amp; Drivers'!$F40)*(Model!AK$8&lt;='Inputs &amp; Drivers'!$J40)</f>
        <v>0</v>
      </c>
      <c r="AL16" s="15">
        <f>(1/'Inputs &amp; Drivers'!$H40)*(Model!AL$8&gt;='Inputs &amp; Drivers'!$F40)*(Model!AL$8&lt;='Inputs &amp; Drivers'!$J40)</f>
        <v>0</v>
      </c>
      <c r="AM16" s="15">
        <f>(1/'Inputs &amp; Drivers'!$H40)*(Model!AM$8&gt;='Inputs &amp; Drivers'!$F40)*(Model!AM$8&lt;='Inputs &amp; Drivers'!$J40)</f>
        <v>0</v>
      </c>
      <c r="AN16" s="15">
        <f>(1/'Inputs &amp; Drivers'!$H40)*(Model!AN$8&gt;='Inputs &amp; Drivers'!$F40)*(Model!AN$8&lt;='Inputs &amp; Drivers'!$J40)</f>
        <v>0</v>
      </c>
      <c r="AO16" s="15">
        <f>(1/'Inputs &amp; Drivers'!$H40)*(Model!AO$8&gt;='Inputs &amp; Drivers'!$F40)*(Model!AO$8&lt;='Inputs &amp; Drivers'!$J40)</f>
        <v>0</v>
      </c>
      <c r="AP16" s="15">
        <f>(1/'Inputs &amp; Drivers'!$H40)*(Model!AP$8&gt;='Inputs &amp; Drivers'!$F40)*(Model!AP$8&lt;='Inputs &amp; Drivers'!$J40)</f>
        <v>0</v>
      </c>
      <c r="AQ16" s="15">
        <f>(1/'Inputs &amp; Drivers'!$H40)*(Model!AQ$8&gt;='Inputs &amp; Drivers'!$F40)*(Model!AQ$8&lt;='Inputs &amp; Drivers'!$J40)</f>
        <v>0</v>
      </c>
      <c r="AR16" s="15">
        <f>(1/'Inputs &amp; Drivers'!$H40)*(Model!AR$8&gt;='Inputs &amp; Drivers'!$F40)*(Model!AR$8&lt;='Inputs &amp; Drivers'!$J40)</f>
        <v>0</v>
      </c>
      <c r="AS16" s="15">
        <f>(1/'Inputs &amp; Drivers'!$H40)*(Model!AS$8&gt;='Inputs &amp; Drivers'!$F40)*(Model!AS$8&lt;='Inputs &amp; Drivers'!$J40)</f>
        <v>0</v>
      </c>
      <c r="AT16" s="15">
        <f>(1/'Inputs &amp; Drivers'!$H40)*(Model!AT$8&gt;='Inputs &amp; Drivers'!$F40)*(Model!AT$8&lt;='Inputs &amp; Drivers'!$J40)</f>
        <v>0</v>
      </c>
      <c r="AU16" s="15">
        <f>(1/'Inputs &amp; Drivers'!$H40)*(Model!AU$8&gt;='Inputs &amp; Drivers'!$F40)*(Model!AU$8&lt;='Inputs &amp; Drivers'!$J40)</f>
        <v>0</v>
      </c>
      <c r="AV16" s="15">
        <f>(1/'Inputs &amp; Drivers'!$H40)*(Model!AV$8&gt;='Inputs &amp; Drivers'!$F40)*(Model!AV$8&lt;='Inputs &amp; Drivers'!$J40)</f>
        <v>0</v>
      </c>
      <c r="AW16" s="15">
        <f>(1/'Inputs &amp; Drivers'!$H40)*(Model!AW$8&gt;='Inputs &amp; Drivers'!$F40)*(Model!AW$8&lt;='Inputs &amp; Drivers'!$J40)</f>
        <v>0</v>
      </c>
      <c r="AX16" s="15">
        <f>(1/'Inputs &amp; Drivers'!$H40)*(Model!AX$8&gt;='Inputs &amp; Drivers'!$F40)*(Model!AX$8&lt;='Inputs &amp; Drivers'!$J40)</f>
        <v>0</v>
      </c>
      <c r="AY16" s="15">
        <f>(1/'Inputs &amp; Drivers'!$H40)*(Model!AY$8&gt;='Inputs &amp; Drivers'!$F40)*(Model!AY$8&lt;='Inputs &amp; Drivers'!$J40)</f>
        <v>0</v>
      </c>
      <c r="AZ16" s="15">
        <f>(1/'Inputs &amp; Drivers'!$H40)*(Model!AZ$8&gt;='Inputs &amp; Drivers'!$F40)*(Model!AZ$8&lt;='Inputs &amp; Drivers'!$J40)</f>
        <v>0</v>
      </c>
      <c r="BA16" s="15">
        <f>(1/'Inputs &amp; Drivers'!$H40)*(Model!BA$8&gt;='Inputs &amp; Drivers'!$F40)*(Model!BA$8&lt;='Inputs &amp; Drivers'!$J40)</f>
        <v>0</v>
      </c>
      <c r="BB16" s="15">
        <f>(1/'Inputs &amp; Drivers'!$H40)*(Model!BB$8&gt;='Inputs &amp; Drivers'!$F40)*(Model!BB$8&lt;='Inputs &amp; Drivers'!$J40)</f>
        <v>0</v>
      </c>
      <c r="BC16" s="15">
        <f>(1/'Inputs &amp; Drivers'!$H40)*(Model!BC$8&gt;='Inputs &amp; Drivers'!$F40)*(Model!BC$8&lt;='Inputs &amp; Drivers'!$J40)</f>
        <v>0</v>
      </c>
      <c r="BD16" s="15">
        <f>(1/'Inputs &amp; Drivers'!$H40)*(Model!BD$8&gt;='Inputs &amp; Drivers'!$F40)*(Model!BD$8&lt;='Inputs &amp; Drivers'!$J40)</f>
        <v>0</v>
      </c>
      <c r="BE16" s="15">
        <f>(1/'Inputs &amp; Drivers'!$H40)*(Model!BE$8&gt;='Inputs &amp; Drivers'!$F40)*(Model!BE$8&lt;='Inputs &amp; Drivers'!$J40)</f>
        <v>0</v>
      </c>
      <c r="BF16" s="15">
        <f>(1/'Inputs &amp; Drivers'!$H40)*(Model!BF$8&gt;='Inputs &amp; Drivers'!$F40)*(Model!BF$8&lt;='Inputs &amp; Drivers'!$J40)</f>
        <v>0</v>
      </c>
      <c r="BG16" s="15">
        <f>(1/'Inputs &amp; Drivers'!$H40)*(Model!BG$8&gt;='Inputs &amp; Drivers'!$F40)*(Model!BG$8&lt;='Inputs &amp; Drivers'!$J40)</f>
        <v>0</v>
      </c>
      <c r="BH16" s="15">
        <f>(1/'Inputs &amp; Drivers'!$H40)*(Model!BH$8&gt;='Inputs &amp; Drivers'!$F40)*(Model!BH$8&lt;='Inputs &amp; Drivers'!$J40)</f>
        <v>0</v>
      </c>
      <c r="BI16" s="15">
        <f>(1/'Inputs &amp; Drivers'!$H40)*(Model!BI$8&gt;='Inputs &amp; Drivers'!$F40)*(Model!BI$8&lt;='Inputs &amp; Drivers'!$J40)</f>
        <v>0</v>
      </c>
      <c r="BJ16" s="15">
        <f>(1/'Inputs &amp; Drivers'!$H40)*(Model!BJ$8&gt;='Inputs &amp; Drivers'!$F40)*(Model!BJ$8&lt;='Inputs &amp; Drivers'!$J40)</f>
        <v>0</v>
      </c>
      <c r="BK16" s="15">
        <f>(1/'Inputs &amp; Drivers'!$H40)*(Model!BK$8&gt;='Inputs &amp; Drivers'!$F40)*(Model!BK$8&lt;='Inputs &amp; Drivers'!$J40)</f>
        <v>0</v>
      </c>
      <c r="BL16" s="15">
        <f>(1/'Inputs &amp; Drivers'!$H40)*(Model!BL$8&gt;='Inputs &amp; Drivers'!$F40)*(Model!BL$8&lt;='Inputs &amp; Drivers'!$J40)</f>
        <v>0</v>
      </c>
      <c r="BM16" s="15">
        <f>(1/'Inputs &amp; Drivers'!$H40)*(Model!BM$8&gt;='Inputs &amp; Drivers'!$F40)*(Model!BM$8&lt;='Inputs &amp; Drivers'!$J40)</f>
        <v>0</v>
      </c>
      <c r="BN16" s="15">
        <f>(1/'Inputs &amp; Drivers'!$H40)*(Model!BN$8&gt;='Inputs &amp; Drivers'!$F40)*(Model!BN$8&lt;='Inputs &amp; Drivers'!$J40)</f>
        <v>0</v>
      </c>
      <c r="BO16" s="15">
        <f>(1/'Inputs &amp; Drivers'!$H40)*(Model!BO$8&gt;='Inputs &amp; Drivers'!$F40)*(Model!BO$8&lt;='Inputs &amp; Drivers'!$J40)</f>
        <v>0</v>
      </c>
      <c r="BP16" s="15">
        <f>(1/'Inputs &amp; Drivers'!$H40)*(Model!BP$8&gt;='Inputs &amp; Drivers'!$F40)*(Model!BP$8&lt;='Inputs &amp; Drivers'!$J40)</f>
        <v>0</v>
      </c>
      <c r="BQ16" s="15">
        <f>(1/'Inputs &amp; Drivers'!$H40)*(Model!BQ$8&gt;='Inputs &amp; Drivers'!$F40)*(Model!BQ$8&lt;='Inputs &amp; Drivers'!$J40)</f>
        <v>0</v>
      </c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L16" s="15">
        <f t="shared" si="19"/>
        <v>0</v>
      </c>
      <c r="EM16" s="15">
        <f t="shared" si="19"/>
        <v>0.375</v>
      </c>
      <c r="EN16" s="15">
        <f t="shared" si="19"/>
        <v>0.625</v>
      </c>
      <c r="EO16" s="15">
        <f t="shared" si="19"/>
        <v>0</v>
      </c>
      <c r="EP16" s="15">
        <f t="shared" si="19"/>
        <v>0</v>
      </c>
      <c r="EQ16" s="15">
        <f t="shared" si="19"/>
        <v>0</v>
      </c>
      <c r="ER16" s="15">
        <f t="shared" si="19"/>
        <v>0</v>
      </c>
      <c r="ES16" s="15">
        <f t="shared" si="19"/>
        <v>0</v>
      </c>
      <c r="ET16" s="15">
        <f t="shared" si="19"/>
        <v>0</v>
      </c>
      <c r="EU16" s="15">
        <f t="shared" si="19"/>
        <v>0</v>
      </c>
      <c r="EV16" s="15">
        <f t="shared" si="19"/>
        <v>0</v>
      </c>
      <c r="EW16" s="15">
        <f t="shared" si="19"/>
        <v>0</v>
      </c>
    </row>
    <row r="17" spans="2:153" outlineLevel="1" x14ac:dyDescent="0.4">
      <c r="B17" s="1" t="s">
        <v>264</v>
      </c>
      <c r="F17" s="15"/>
      <c r="H17" s="247">
        <f>H15</f>
        <v>0</v>
      </c>
      <c r="I17" s="247">
        <f t="shared" ref="I17:BF17" si="20">I15</f>
        <v>0</v>
      </c>
      <c r="J17" s="247">
        <f t="shared" si="20"/>
        <v>0</v>
      </c>
      <c r="K17" s="247">
        <f t="shared" si="20"/>
        <v>0.05</v>
      </c>
      <c r="L17" s="247">
        <f t="shared" si="20"/>
        <v>0.05</v>
      </c>
      <c r="M17" s="247">
        <f t="shared" si="20"/>
        <v>0.05</v>
      </c>
      <c r="N17" s="247">
        <f t="shared" si="20"/>
        <v>0.05</v>
      </c>
      <c r="O17" s="247">
        <f t="shared" si="20"/>
        <v>0.05</v>
      </c>
      <c r="P17" s="247">
        <f t="shared" si="20"/>
        <v>0.05</v>
      </c>
      <c r="Q17" s="247">
        <f t="shared" si="20"/>
        <v>0.05</v>
      </c>
      <c r="R17" s="247">
        <f t="shared" si="20"/>
        <v>0.05</v>
      </c>
      <c r="S17" s="247">
        <f t="shared" si="20"/>
        <v>0.05</v>
      </c>
      <c r="T17" s="247">
        <f t="shared" si="20"/>
        <v>0.05</v>
      </c>
      <c r="U17" s="247">
        <f t="shared" si="20"/>
        <v>0.05</v>
      </c>
      <c r="V17" s="247">
        <f t="shared" si="20"/>
        <v>0.05</v>
      </c>
      <c r="W17" s="247">
        <f t="shared" si="20"/>
        <v>0.05</v>
      </c>
      <c r="X17" s="247">
        <f t="shared" si="20"/>
        <v>0.05</v>
      </c>
      <c r="Y17" s="247">
        <f t="shared" si="20"/>
        <v>0.05</v>
      </c>
      <c r="Z17" s="247">
        <f t="shared" si="20"/>
        <v>0.05</v>
      </c>
      <c r="AA17" s="247">
        <f t="shared" si="20"/>
        <v>0.05</v>
      </c>
      <c r="AB17" s="247">
        <f t="shared" si="20"/>
        <v>0.05</v>
      </c>
      <c r="AC17" s="247">
        <f t="shared" si="20"/>
        <v>0.05</v>
      </c>
      <c r="AD17" s="247">
        <f t="shared" si="20"/>
        <v>0.05</v>
      </c>
      <c r="AE17" s="247">
        <f t="shared" si="20"/>
        <v>0</v>
      </c>
      <c r="AF17" s="247">
        <f t="shared" si="20"/>
        <v>0</v>
      </c>
      <c r="AG17" s="247">
        <f t="shared" si="20"/>
        <v>0</v>
      </c>
      <c r="AH17" s="247">
        <f t="shared" si="20"/>
        <v>0</v>
      </c>
      <c r="AI17" s="247">
        <f t="shared" si="20"/>
        <v>0</v>
      </c>
      <c r="AJ17" s="247">
        <f t="shared" si="20"/>
        <v>0</v>
      </c>
      <c r="AK17" s="247">
        <f t="shared" si="20"/>
        <v>0</v>
      </c>
      <c r="AL17" s="247">
        <f t="shared" si="20"/>
        <v>0</v>
      </c>
      <c r="AM17" s="247">
        <f t="shared" si="20"/>
        <v>0</v>
      </c>
      <c r="AN17" s="247">
        <f t="shared" si="20"/>
        <v>0</v>
      </c>
      <c r="AO17" s="247">
        <f t="shared" si="20"/>
        <v>0</v>
      </c>
      <c r="AP17" s="247">
        <f t="shared" si="20"/>
        <v>0</v>
      </c>
      <c r="AQ17" s="247">
        <f t="shared" si="20"/>
        <v>0</v>
      </c>
      <c r="AR17" s="247">
        <f t="shared" si="20"/>
        <v>0</v>
      </c>
      <c r="AS17" s="247">
        <f t="shared" si="20"/>
        <v>0</v>
      </c>
      <c r="AT17" s="247">
        <f t="shared" si="20"/>
        <v>0</v>
      </c>
      <c r="AU17" s="247">
        <f t="shared" si="20"/>
        <v>0</v>
      </c>
      <c r="AV17" s="247">
        <f t="shared" si="20"/>
        <v>0</v>
      </c>
      <c r="AW17" s="247">
        <f t="shared" si="20"/>
        <v>0</v>
      </c>
      <c r="AX17" s="247">
        <f t="shared" si="20"/>
        <v>0</v>
      </c>
      <c r="AY17" s="247">
        <f t="shared" si="20"/>
        <v>0</v>
      </c>
      <c r="AZ17" s="247">
        <f t="shared" si="20"/>
        <v>0</v>
      </c>
      <c r="BA17" s="247">
        <f t="shared" si="20"/>
        <v>0</v>
      </c>
      <c r="BB17" s="247">
        <f t="shared" si="20"/>
        <v>0</v>
      </c>
      <c r="BC17" s="247">
        <f t="shared" si="20"/>
        <v>0</v>
      </c>
      <c r="BD17" s="247">
        <f t="shared" si="20"/>
        <v>0</v>
      </c>
      <c r="BE17" s="247">
        <f t="shared" si="20"/>
        <v>0</v>
      </c>
      <c r="BF17" s="247">
        <f t="shared" si="20"/>
        <v>0</v>
      </c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L17" s="15">
        <f t="shared" si="19"/>
        <v>0</v>
      </c>
      <c r="EM17" s="15">
        <f t="shared" si="19"/>
        <v>0.49999999999999994</v>
      </c>
      <c r="EN17" s="15">
        <f t="shared" si="19"/>
        <v>0.49999999999999994</v>
      </c>
      <c r="EO17" s="15">
        <f t="shared" si="19"/>
        <v>0</v>
      </c>
      <c r="EP17" s="15">
        <f t="shared" si="19"/>
        <v>0</v>
      </c>
      <c r="EQ17" s="15">
        <f t="shared" si="19"/>
        <v>0</v>
      </c>
      <c r="ER17" s="15">
        <f t="shared" si="19"/>
        <v>0</v>
      </c>
      <c r="ES17" s="15">
        <f t="shared" si="19"/>
        <v>0</v>
      </c>
      <c r="ET17" s="15">
        <f t="shared" si="19"/>
        <v>0</v>
      </c>
      <c r="EU17" s="15">
        <f t="shared" si="19"/>
        <v>0</v>
      </c>
      <c r="EV17" s="15">
        <f t="shared" si="19"/>
        <v>0</v>
      </c>
      <c r="EW17" s="15">
        <f t="shared" si="19"/>
        <v>0</v>
      </c>
    </row>
    <row r="18" spans="2:153" outlineLevel="1" x14ac:dyDescent="0.4"/>
    <row r="19" spans="2:153" outlineLevel="1" x14ac:dyDescent="0.4">
      <c r="B19" s="94" t="s">
        <v>270</v>
      </c>
    </row>
    <row r="20" spans="2:153" outlineLevel="1" x14ac:dyDescent="0.4">
      <c r="B20" s="1" t="s">
        <v>269</v>
      </c>
      <c r="H20" s="250">
        <f>H22</f>
        <v>0</v>
      </c>
      <c r="I20" s="249">
        <f>$C$6-I22</f>
        <v>300</v>
      </c>
      <c r="J20" s="249">
        <f t="shared" ref="J20:AU20" si="21">$C$6-J22</f>
        <v>300</v>
      </c>
      <c r="K20" s="249">
        <f t="shared" si="21"/>
        <v>300</v>
      </c>
      <c r="L20" s="249">
        <f t="shared" si="21"/>
        <v>300</v>
      </c>
      <c r="M20" s="249">
        <f t="shared" si="21"/>
        <v>300</v>
      </c>
      <c r="N20" s="249">
        <f t="shared" si="21"/>
        <v>300</v>
      </c>
      <c r="O20" s="249">
        <f t="shared" si="21"/>
        <v>300</v>
      </c>
      <c r="P20" s="249">
        <f t="shared" si="21"/>
        <v>300</v>
      </c>
      <c r="Q20" s="249">
        <f t="shared" si="21"/>
        <v>300</v>
      </c>
      <c r="R20" s="249">
        <f t="shared" si="21"/>
        <v>300</v>
      </c>
      <c r="S20" s="249">
        <f t="shared" si="21"/>
        <v>300</v>
      </c>
      <c r="T20" s="249">
        <f t="shared" si="21"/>
        <v>300</v>
      </c>
      <c r="U20" s="249">
        <f t="shared" si="21"/>
        <v>300</v>
      </c>
      <c r="V20" s="249">
        <f t="shared" si="21"/>
        <v>300</v>
      </c>
      <c r="W20" s="249">
        <f t="shared" si="21"/>
        <v>300</v>
      </c>
      <c r="X20" s="249">
        <f t="shared" si="21"/>
        <v>300</v>
      </c>
      <c r="Y20" s="249">
        <f t="shared" si="21"/>
        <v>270</v>
      </c>
      <c r="Z20" s="249">
        <f t="shared" si="21"/>
        <v>240</v>
      </c>
      <c r="AA20" s="249">
        <f t="shared" si="21"/>
        <v>210</v>
      </c>
      <c r="AB20" s="249">
        <f t="shared" si="21"/>
        <v>180</v>
      </c>
      <c r="AC20" s="249">
        <f t="shared" si="21"/>
        <v>150</v>
      </c>
      <c r="AD20" s="249">
        <f t="shared" si="21"/>
        <v>120</v>
      </c>
      <c r="AE20" s="249">
        <f t="shared" si="21"/>
        <v>90</v>
      </c>
      <c r="AF20" s="249">
        <f t="shared" si="21"/>
        <v>60</v>
      </c>
      <c r="AG20" s="249">
        <f t="shared" si="21"/>
        <v>30</v>
      </c>
      <c r="AH20" s="249">
        <f t="shared" si="21"/>
        <v>0</v>
      </c>
      <c r="AI20" s="249">
        <f t="shared" si="21"/>
        <v>0</v>
      </c>
      <c r="AJ20" s="249">
        <f t="shared" si="21"/>
        <v>0</v>
      </c>
      <c r="AK20" s="249">
        <f t="shared" si="21"/>
        <v>0</v>
      </c>
      <c r="AL20" s="249">
        <f t="shared" si="21"/>
        <v>0</v>
      </c>
      <c r="AM20" s="249">
        <f t="shared" si="21"/>
        <v>0</v>
      </c>
      <c r="AN20" s="249">
        <f t="shared" si="21"/>
        <v>0</v>
      </c>
      <c r="AO20" s="249">
        <f t="shared" si="21"/>
        <v>0</v>
      </c>
      <c r="AP20" s="249">
        <f t="shared" si="21"/>
        <v>0</v>
      </c>
      <c r="AQ20" s="249">
        <f t="shared" si="21"/>
        <v>0</v>
      </c>
      <c r="AR20" s="249">
        <f t="shared" si="21"/>
        <v>0</v>
      </c>
      <c r="AS20" s="249">
        <f t="shared" si="21"/>
        <v>0</v>
      </c>
      <c r="AT20" s="249">
        <f t="shared" si="21"/>
        <v>0</v>
      </c>
      <c r="AU20" s="249">
        <f t="shared" si="21"/>
        <v>0</v>
      </c>
      <c r="AV20" s="249">
        <f t="shared" ref="AV20:CE20" si="22">$C$6-AV22</f>
        <v>0</v>
      </c>
      <c r="AW20" s="249">
        <f t="shared" si="22"/>
        <v>0</v>
      </c>
      <c r="AX20" s="249">
        <f t="shared" si="22"/>
        <v>0</v>
      </c>
      <c r="AY20" s="249">
        <f t="shared" si="22"/>
        <v>0</v>
      </c>
      <c r="AZ20" s="249">
        <f t="shared" si="22"/>
        <v>0</v>
      </c>
      <c r="BA20" s="249">
        <f t="shared" si="22"/>
        <v>0</v>
      </c>
      <c r="BB20" s="249">
        <f t="shared" si="22"/>
        <v>0</v>
      </c>
      <c r="BC20" s="249">
        <f t="shared" si="22"/>
        <v>0</v>
      </c>
      <c r="BD20" s="249">
        <f t="shared" si="22"/>
        <v>0</v>
      </c>
      <c r="BE20" s="249">
        <f t="shared" si="22"/>
        <v>0</v>
      </c>
      <c r="BF20" s="249">
        <f t="shared" si="22"/>
        <v>0</v>
      </c>
      <c r="BG20" s="249">
        <f t="shared" si="22"/>
        <v>0</v>
      </c>
      <c r="BH20" s="249">
        <f t="shared" si="22"/>
        <v>0</v>
      </c>
      <c r="BI20" s="249">
        <f t="shared" si="22"/>
        <v>0</v>
      </c>
      <c r="BJ20" s="249">
        <f t="shared" si="22"/>
        <v>0</v>
      </c>
      <c r="BK20" s="249">
        <f t="shared" si="22"/>
        <v>0</v>
      </c>
      <c r="BL20" s="249">
        <f t="shared" si="22"/>
        <v>0</v>
      </c>
      <c r="BM20" s="249">
        <f t="shared" si="22"/>
        <v>0</v>
      </c>
      <c r="BN20" s="249">
        <f t="shared" si="22"/>
        <v>0</v>
      </c>
      <c r="BO20" s="249">
        <f t="shared" si="22"/>
        <v>0</v>
      </c>
      <c r="BP20" s="249">
        <f t="shared" si="22"/>
        <v>0</v>
      </c>
      <c r="BQ20" s="249">
        <f t="shared" si="22"/>
        <v>0</v>
      </c>
      <c r="BR20" s="249">
        <f t="shared" si="22"/>
        <v>0</v>
      </c>
      <c r="BS20" s="249">
        <f t="shared" si="22"/>
        <v>0</v>
      </c>
      <c r="BT20" s="249">
        <f t="shared" si="22"/>
        <v>0</v>
      </c>
      <c r="BU20" s="249">
        <f t="shared" si="22"/>
        <v>0</v>
      </c>
      <c r="BV20" s="249">
        <f t="shared" si="22"/>
        <v>0</v>
      </c>
      <c r="BW20" s="249">
        <f t="shared" si="22"/>
        <v>0</v>
      </c>
      <c r="BX20" s="249">
        <f t="shared" si="22"/>
        <v>0</v>
      </c>
      <c r="BY20" s="249">
        <f t="shared" si="22"/>
        <v>0</v>
      </c>
      <c r="BZ20" s="249">
        <f t="shared" si="22"/>
        <v>0</v>
      </c>
      <c r="CA20" s="249">
        <f t="shared" si="22"/>
        <v>0</v>
      </c>
      <c r="CB20" s="249">
        <f t="shared" si="22"/>
        <v>0</v>
      </c>
      <c r="CC20" s="249">
        <f t="shared" si="22"/>
        <v>0</v>
      </c>
      <c r="CD20" s="249">
        <f t="shared" si="22"/>
        <v>0</v>
      </c>
      <c r="CE20" s="249">
        <f t="shared" ref="CE20:EJ20" si="23">$C$6-CE22</f>
        <v>0</v>
      </c>
      <c r="CF20" s="249">
        <f t="shared" si="23"/>
        <v>0</v>
      </c>
      <c r="CG20" s="249">
        <f t="shared" si="23"/>
        <v>0</v>
      </c>
      <c r="CH20" s="249">
        <f t="shared" si="23"/>
        <v>0</v>
      </c>
      <c r="CI20" s="249">
        <f t="shared" si="23"/>
        <v>0</v>
      </c>
      <c r="CJ20" s="249">
        <f t="shared" si="23"/>
        <v>0</v>
      </c>
      <c r="CK20" s="249">
        <f t="shared" si="23"/>
        <v>0</v>
      </c>
      <c r="CL20" s="249">
        <f t="shared" si="23"/>
        <v>0</v>
      </c>
      <c r="CM20" s="249">
        <f t="shared" si="23"/>
        <v>0</v>
      </c>
      <c r="CN20" s="249">
        <f t="shared" si="23"/>
        <v>0</v>
      </c>
      <c r="CO20" s="249">
        <f t="shared" si="23"/>
        <v>0</v>
      </c>
      <c r="CP20" s="249">
        <f t="shared" si="23"/>
        <v>0</v>
      </c>
      <c r="CQ20" s="249">
        <f t="shared" si="23"/>
        <v>0</v>
      </c>
      <c r="CR20" s="249">
        <f t="shared" si="23"/>
        <v>0</v>
      </c>
      <c r="CS20" s="249">
        <f t="shared" si="23"/>
        <v>0</v>
      </c>
      <c r="CT20" s="249">
        <f t="shared" si="23"/>
        <v>0</v>
      </c>
      <c r="CU20" s="249">
        <f t="shared" si="23"/>
        <v>0</v>
      </c>
      <c r="CV20" s="249">
        <f t="shared" si="23"/>
        <v>0</v>
      </c>
      <c r="CW20" s="249">
        <f t="shared" si="23"/>
        <v>0</v>
      </c>
      <c r="CX20" s="249">
        <f t="shared" si="23"/>
        <v>0</v>
      </c>
      <c r="CY20" s="249">
        <f t="shared" si="23"/>
        <v>0</v>
      </c>
      <c r="CZ20" s="249">
        <f t="shared" si="23"/>
        <v>0</v>
      </c>
      <c r="DA20" s="249">
        <f t="shared" si="23"/>
        <v>0</v>
      </c>
      <c r="DB20" s="249">
        <f t="shared" si="23"/>
        <v>0</v>
      </c>
      <c r="DC20" s="249">
        <f t="shared" si="23"/>
        <v>0</v>
      </c>
      <c r="DD20" s="249">
        <f t="shared" si="23"/>
        <v>0</v>
      </c>
      <c r="DE20" s="249">
        <f t="shared" si="23"/>
        <v>0</v>
      </c>
      <c r="DF20" s="249">
        <f t="shared" si="23"/>
        <v>0</v>
      </c>
      <c r="DG20" s="249">
        <f t="shared" si="23"/>
        <v>0</v>
      </c>
      <c r="DH20" s="249">
        <f t="shared" si="23"/>
        <v>0</v>
      </c>
      <c r="DI20" s="249">
        <f t="shared" si="23"/>
        <v>0</v>
      </c>
      <c r="DJ20" s="249">
        <f t="shared" si="23"/>
        <v>0</v>
      </c>
      <c r="DK20" s="249">
        <f t="shared" si="23"/>
        <v>0</v>
      </c>
      <c r="DL20" s="249">
        <f t="shared" si="23"/>
        <v>0</v>
      </c>
      <c r="DM20" s="249">
        <f t="shared" si="23"/>
        <v>0</v>
      </c>
      <c r="DN20" s="249">
        <f t="shared" si="23"/>
        <v>0</v>
      </c>
      <c r="DO20" s="249">
        <f t="shared" si="23"/>
        <v>0</v>
      </c>
      <c r="DP20" s="249">
        <f t="shared" si="23"/>
        <v>0</v>
      </c>
      <c r="DQ20" s="249">
        <f t="shared" si="23"/>
        <v>0</v>
      </c>
      <c r="DR20" s="249">
        <f t="shared" si="23"/>
        <v>0</v>
      </c>
      <c r="DS20" s="249">
        <f t="shared" si="23"/>
        <v>0</v>
      </c>
      <c r="DT20" s="249">
        <f t="shared" si="23"/>
        <v>0</v>
      </c>
      <c r="DU20" s="249">
        <f t="shared" si="23"/>
        <v>0</v>
      </c>
      <c r="DV20" s="249">
        <f t="shared" si="23"/>
        <v>0</v>
      </c>
      <c r="DW20" s="249">
        <f t="shared" si="23"/>
        <v>0</v>
      </c>
      <c r="DX20" s="249">
        <f t="shared" si="23"/>
        <v>0</v>
      </c>
      <c r="DY20" s="249">
        <f t="shared" si="23"/>
        <v>0</v>
      </c>
      <c r="DZ20" s="249">
        <f t="shared" si="23"/>
        <v>0</v>
      </c>
      <c r="EA20" s="249">
        <f t="shared" si="23"/>
        <v>0</v>
      </c>
      <c r="EB20" s="249">
        <f t="shared" si="23"/>
        <v>0</v>
      </c>
      <c r="EC20" s="249">
        <f t="shared" si="23"/>
        <v>0</v>
      </c>
      <c r="ED20" s="249">
        <f t="shared" si="23"/>
        <v>0</v>
      </c>
      <c r="EE20" s="249">
        <f t="shared" si="23"/>
        <v>0</v>
      </c>
      <c r="EF20" s="249">
        <f t="shared" si="23"/>
        <v>0</v>
      </c>
      <c r="EG20" s="249">
        <f t="shared" si="23"/>
        <v>0</v>
      </c>
      <c r="EH20" s="249">
        <f t="shared" si="23"/>
        <v>0</v>
      </c>
      <c r="EI20" s="249">
        <f t="shared" si="23"/>
        <v>0</v>
      </c>
      <c r="EJ20" s="249">
        <f t="shared" si="23"/>
        <v>0</v>
      </c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</row>
    <row r="21" spans="2:153" outlineLevel="1" x14ac:dyDescent="0.4">
      <c r="B21" s="94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7"/>
      <c r="BJ21" s="107"/>
      <c r="BK21" s="107"/>
      <c r="BL21" s="107"/>
      <c r="BM21" s="107"/>
      <c r="BN21" s="107"/>
      <c r="BO21" s="107"/>
      <c r="BP21" s="107"/>
      <c r="BQ21" s="107"/>
      <c r="BR21" s="107"/>
      <c r="BS21" s="107"/>
      <c r="BT21" s="107"/>
      <c r="BU21" s="107"/>
      <c r="BV21" s="107"/>
      <c r="BW21" s="107"/>
      <c r="BX21" s="107"/>
      <c r="BY21" s="107"/>
      <c r="BZ21" s="107"/>
      <c r="CA21" s="107"/>
      <c r="CB21" s="107"/>
      <c r="CC21" s="107"/>
      <c r="CD21" s="107"/>
      <c r="CE21" s="107"/>
      <c r="CF21" s="107"/>
      <c r="CG21" s="107"/>
      <c r="CH21" s="107"/>
      <c r="CI21" s="107"/>
      <c r="CJ21" s="107"/>
      <c r="CK21" s="107"/>
      <c r="CL21" s="107"/>
      <c r="CM21" s="107"/>
      <c r="CN21" s="107"/>
      <c r="CO21" s="107"/>
      <c r="CP21" s="107"/>
      <c r="CQ21" s="107"/>
      <c r="CR21" s="107"/>
      <c r="CS21" s="107"/>
      <c r="CT21" s="107"/>
      <c r="CU21" s="107"/>
      <c r="CV21" s="107"/>
      <c r="CW21" s="107"/>
      <c r="CX21" s="107"/>
      <c r="CY21" s="107"/>
      <c r="CZ21" s="107"/>
      <c r="DA21" s="107"/>
      <c r="DB21" s="107"/>
      <c r="DC21" s="107"/>
      <c r="DD21" s="107"/>
      <c r="DE21" s="107"/>
      <c r="DF21" s="107"/>
      <c r="DG21" s="107"/>
      <c r="DH21" s="107"/>
      <c r="DI21" s="107"/>
      <c r="DJ21" s="107"/>
      <c r="DK21" s="107"/>
      <c r="DL21" s="107"/>
      <c r="DM21" s="107"/>
      <c r="DN21" s="107"/>
      <c r="DO21" s="107"/>
      <c r="DP21" s="107"/>
      <c r="DQ21" s="107"/>
      <c r="DR21" s="107"/>
      <c r="DS21" s="107"/>
      <c r="DT21" s="107"/>
      <c r="DU21" s="107"/>
      <c r="DV21" s="107"/>
      <c r="DW21" s="107"/>
      <c r="DX21" s="107"/>
      <c r="DY21" s="107"/>
      <c r="DZ21" s="107"/>
      <c r="EA21" s="107"/>
      <c r="EB21" s="107"/>
      <c r="EC21" s="107"/>
      <c r="ED21" s="107"/>
      <c r="EE21" s="107"/>
      <c r="EF21" s="107"/>
      <c r="EG21" s="107"/>
      <c r="EH21" s="107"/>
      <c r="EI21" s="107"/>
      <c r="EJ21" s="107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</row>
    <row r="22" spans="2:153" outlineLevel="1" x14ac:dyDescent="0.4">
      <c r="B22" s="1" t="s">
        <v>266</v>
      </c>
      <c r="H22" s="252">
        <v>0</v>
      </c>
      <c r="I22" s="249">
        <f>H24</f>
        <v>0</v>
      </c>
      <c r="J22" s="249">
        <f t="shared" ref="J22:AU22" si="24">I24</f>
        <v>0</v>
      </c>
      <c r="K22" s="249">
        <f t="shared" si="24"/>
        <v>0</v>
      </c>
      <c r="L22" s="249">
        <f t="shared" si="24"/>
        <v>0</v>
      </c>
      <c r="M22" s="249">
        <f t="shared" si="24"/>
        <v>0</v>
      </c>
      <c r="N22" s="249">
        <f t="shared" si="24"/>
        <v>0</v>
      </c>
      <c r="O22" s="249">
        <f t="shared" si="24"/>
        <v>0</v>
      </c>
      <c r="P22" s="249">
        <f t="shared" si="24"/>
        <v>0</v>
      </c>
      <c r="Q22" s="249">
        <f t="shared" si="24"/>
        <v>0</v>
      </c>
      <c r="R22" s="249">
        <f t="shared" si="24"/>
        <v>0</v>
      </c>
      <c r="S22" s="249">
        <f t="shared" si="24"/>
        <v>0</v>
      </c>
      <c r="T22" s="249">
        <f t="shared" si="24"/>
        <v>0</v>
      </c>
      <c r="U22" s="249">
        <f t="shared" si="24"/>
        <v>0</v>
      </c>
      <c r="V22" s="249">
        <f t="shared" si="24"/>
        <v>0</v>
      </c>
      <c r="W22" s="249">
        <f t="shared" si="24"/>
        <v>0</v>
      </c>
      <c r="X22" s="249">
        <f t="shared" si="24"/>
        <v>0</v>
      </c>
      <c r="Y22" s="249">
        <f t="shared" si="24"/>
        <v>30</v>
      </c>
      <c r="Z22" s="249">
        <f t="shared" si="24"/>
        <v>60</v>
      </c>
      <c r="AA22" s="249">
        <f t="shared" si="24"/>
        <v>90</v>
      </c>
      <c r="AB22" s="249">
        <f t="shared" si="24"/>
        <v>120</v>
      </c>
      <c r="AC22" s="249">
        <f t="shared" si="24"/>
        <v>150</v>
      </c>
      <c r="AD22" s="249">
        <f t="shared" si="24"/>
        <v>180</v>
      </c>
      <c r="AE22" s="249">
        <f t="shared" si="24"/>
        <v>210</v>
      </c>
      <c r="AF22" s="249">
        <f t="shared" si="24"/>
        <v>240</v>
      </c>
      <c r="AG22" s="249">
        <f t="shared" si="24"/>
        <v>270</v>
      </c>
      <c r="AH22" s="249">
        <f t="shared" si="24"/>
        <v>300</v>
      </c>
      <c r="AI22" s="249">
        <f t="shared" si="24"/>
        <v>300</v>
      </c>
      <c r="AJ22" s="249">
        <f t="shared" si="24"/>
        <v>300</v>
      </c>
      <c r="AK22" s="249">
        <f t="shared" si="24"/>
        <v>300</v>
      </c>
      <c r="AL22" s="249">
        <f t="shared" si="24"/>
        <v>300</v>
      </c>
      <c r="AM22" s="249">
        <f t="shared" si="24"/>
        <v>300</v>
      </c>
      <c r="AN22" s="249">
        <f t="shared" si="24"/>
        <v>300</v>
      </c>
      <c r="AO22" s="249">
        <f t="shared" si="24"/>
        <v>300</v>
      </c>
      <c r="AP22" s="249">
        <f t="shared" si="24"/>
        <v>300</v>
      </c>
      <c r="AQ22" s="249">
        <f t="shared" si="24"/>
        <v>300</v>
      </c>
      <c r="AR22" s="249">
        <f t="shared" si="24"/>
        <v>300</v>
      </c>
      <c r="AS22" s="249">
        <f t="shared" si="24"/>
        <v>300</v>
      </c>
      <c r="AT22" s="249">
        <f t="shared" si="24"/>
        <v>300</v>
      </c>
      <c r="AU22" s="249">
        <f t="shared" si="24"/>
        <v>300</v>
      </c>
      <c r="AV22" s="249">
        <f t="shared" ref="AV22:CE22" si="25">AU24</f>
        <v>300</v>
      </c>
      <c r="AW22" s="249">
        <f t="shared" si="25"/>
        <v>300</v>
      </c>
      <c r="AX22" s="249">
        <f t="shared" si="25"/>
        <v>300</v>
      </c>
      <c r="AY22" s="249">
        <f t="shared" si="25"/>
        <v>300</v>
      </c>
      <c r="AZ22" s="249">
        <f t="shared" si="25"/>
        <v>300</v>
      </c>
      <c r="BA22" s="249">
        <f t="shared" si="25"/>
        <v>300</v>
      </c>
      <c r="BB22" s="249">
        <f t="shared" si="25"/>
        <v>300</v>
      </c>
      <c r="BC22" s="249">
        <f t="shared" si="25"/>
        <v>300</v>
      </c>
      <c r="BD22" s="249">
        <f t="shared" si="25"/>
        <v>300</v>
      </c>
      <c r="BE22" s="249">
        <f t="shared" si="25"/>
        <v>300</v>
      </c>
      <c r="BF22" s="249">
        <f t="shared" si="25"/>
        <v>300</v>
      </c>
      <c r="BG22" s="249">
        <f t="shared" si="25"/>
        <v>300</v>
      </c>
      <c r="BH22" s="249">
        <f t="shared" si="25"/>
        <v>300</v>
      </c>
      <c r="BI22" s="249">
        <f t="shared" si="25"/>
        <v>300</v>
      </c>
      <c r="BJ22" s="249">
        <f t="shared" si="25"/>
        <v>300</v>
      </c>
      <c r="BK22" s="249">
        <f t="shared" si="25"/>
        <v>300</v>
      </c>
      <c r="BL22" s="249">
        <f t="shared" si="25"/>
        <v>300</v>
      </c>
      <c r="BM22" s="249">
        <f t="shared" si="25"/>
        <v>300</v>
      </c>
      <c r="BN22" s="249">
        <f t="shared" si="25"/>
        <v>300</v>
      </c>
      <c r="BO22" s="249">
        <f t="shared" si="25"/>
        <v>300</v>
      </c>
      <c r="BP22" s="249">
        <f t="shared" si="25"/>
        <v>300</v>
      </c>
      <c r="BQ22" s="249">
        <f t="shared" si="25"/>
        <v>300</v>
      </c>
      <c r="BR22" s="249">
        <f t="shared" si="25"/>
        <v>300</v>
      </c>
      <c r="BS22" s="249">
        <f t="shared" si="25"/>
        <v>300</v>
      </c>
      <c r="BT22" s="249">
        <f t="shared" si="25"/>
        <v>300</v>
      </c>
      <c r="BU22" s="249">
        <f t="shared" si="25"/>
        <v>300</v>
      </c>
      <c r="BV22" s="249">
        <f t="shared" si="25"/>
        <v>300</v>
      </c>
      <c r="BW22" s="249">
        <f t="shared" si="25"/>
        <v>300</v>
      </c>
      <c r="BX22" s="249">
        <f t="shared" si="25"/>
        <v>300</v>
      </c>
      <c r="BY22" s="249">
        <f t="shared" si="25"/>
        <v>300</v>
      </c>
      <c r="BZ22" s="249">
        <f t="shared" si="25"/>
        <v>300</v>
      </c>
      <c r="CA22" s="249">
        <f t="shared" si="25"/>
        <v>300</v>
      </c>
      <c r="CB22" s="249">
        <f t="shared" si="25"/>
        <v>300</v>
      </c>
      <c r="CC22" s="249">
        <f t="shared" si="25"/>
        <v>300</v>
      </c>
      <c r="CD22" s="249">
        <f t="shared" si="25"/>
        <v>300</v>
      </c>
      <c r="CE22" s="249">
        <f t="shared" ref="CE22" si="26">CD24</f>
        <v>300</v>
      </c>
      <c r="CF22" s="249">
        <f t="shared" ref="CF22" si="27">CE24</f>
        <v>300</v>
      </c>
      <c r="CG22" s="249">
        <f t="shared" ref="CG22" si="28">CF24</f>
        <v>300</v>
      </c>
      <c r="CH22" s="249">
        <f t="shared" ref="CH22" si="29">CG24</f>
        <v>300</v>
      </c>
      <c r="CI22" s="249">
        <f t="shared" ref="CI22" si="30">CH24</f>
        <v>300</v>
      </c>
      <c r="CJ22" s="249">
        <f t="shared" ref="CJ22" si="31">CI24</f>
        <v>300</v>
      </c>
      <c r="CK22" s="249">
        <f t="shared" ref="CK22" si="32">CJ24</f>
        <v>300</v>
      </c>
      <c r="CL22" s="249">
        <f t="shared" ref="CL22" si="33">CK24</f>
        <v>300</v>
      </c>
      <c r="CM22" s="249">
        <f t="shared" ref="CM22" si="34">CL24</f>
        <v>300</v>
      </c>
      <c r="CN22" s="249">
        <f t="shared" ref="CN22" si="35">CM24</f>
        <v>300</v>
      </c>
      <c r="CO22" s="249">
        <f t="shared" ref="CO22" si="36">CN24</f>
        <v>300</v>
      </c>
      <c r="CP22" s="249">
        <f t="shared" ref="CP22" si="37">CO24</f>
        <v>300</v>
      </c>
      <c r="CQ22" s="249">
        <f t="shared" ref="CQ22" si="38">CP24</f>
        <v>300</v>
      </c>
      <c r="CR22" s="249">
        <f t="shared" ref="CR22" si="39">CQ24</f>
        <v>300</v>
      </c>
      <c r="CS22" s="249">
        <f t="shared" ref="CS22" si="40">CR24</f>
        <v>300</v>
      </c>
      <c r="CT22" s="249">
        <f t="shared" ref="CT22" si="41">CS24</f>
        <v>300</v>
      </c>
      <c r="CU22" s="249">
        <f t="shared" ref="CU22" si="42">CT24</f>
        <v>300</v>
      </c>
      <c r="CV22" s="249">
        <f t="shared" ref="CV22" si="43">CU24</f>
        <v>300</v>
      </c>
      <c r="CW22" s="249">
        <f t="shared" ref="CW22" si="44">CV24</f>
        <v>300</v>
      </c>
      <c r="CX22" s="249">
        <f t="shared" ref="CX22" si="45">CW24</f>
        <v>300</v>
      </c>
      <c r="CY22" s="249">
        <f t="shared" ref="CY22" si="46">CX24</f>
        <v>300</v>
      </c>
      <c r="CZ22" s="249">
        <f t="shared" ref="CZ22" si="47">CY24</f>
        <v>300</v>
      </c>
      <c r="DA22" s="249">
        <f t="shared" ref="DA22" si="48">CZ24</f>
        <v>300</v>
      </c>
      <c r="DB22" s="249">
        <f t="shared" ref="DB22" si="49">DA24</f>
        <v>300</v>
      </c>
      <c r="DC22" s="249">
        <f t="shared" ref="DC22" si="50">DB24</f>
        <v>300</v>
      </c>
      <c r="DD22" s="249">
        <f t="shared" ref="DD22" si="51">DC24</f>
        <v>300</v>
      </c>
      <c r="DE22" s="249">
        <f t="shared" ref="DE22" si="52">DD24</f>
        <v>300</v>
      </c>
      <c r="DF22" s="249">
        <f t="shared" ref="DF22" si="53">DE24</f>
        <v>300</v>
      </c>
      <c r="DG22" s="249">
        <f t="shared" ref="DG22" si="54">DF24</f>
        <v>300</v>
      </c>
      <c r="DH22" s="249">
        <f t="shared" ref="DH22" si="55">DG24</f>
        <v>300</v>
      </c>
      <c r="DI22" s="249">
        <f t="shared" ref="DI22" si="56">DH24</f>
        <v>300</v>
      </c>
      <c r="DJ22" s="249">
        <f t="shared" ref="DJ22" si="57">DI24</f>
        <v>300</v>
      </c>
      <c r="DK22" s="249">
        <f t="shared" ref="DK22" si="58">DJ24</f>
        <v>300</v>
      </c>
      <c r="DL22" s="249">
        <f t="shared" ref="DL22" si="59">DK24</f>
        <v>300</v>
      </c>
      <c r="DM22" s="249">
        <f t="shared" ref="DM22" si="60">DL24</f>
        <v>300</v>
      </c>
      <c r="DN22" s="249">
        <f t="shared" ref="DN22" si="61">DM24</f>
        <v>300</v>
      </c>
      <c r="DO22" s="249">
        <f t="shared" ref="DO22" si="62">DN24</f>
        <v>300</v>
      </c>
      <c r="DP22" s="249">
        <f t="shared" ref="DP22" si="63">DO24</f>
        <v>300</v>
      </c>
      <c r="DQ22" s="249">
        <f t="shared" ref="DQ22" si="64">DP24</f>
        <v>300</v>
      </c>
      <c r="DR22" s="249">
        <f t="shared" ref="DR22" si="65">DQ24</f>
        <v>300</v>
      </c>
      <c r="DS22" s="249">
        <f t="shared" ref="DS22" si="66">DR24</f>
        <v>300</v>
      </c>
      <c r="DT22" s="249">
        <f t="shared" ref="DT22" si="67">DS24</f>
        <v>300</v>
      </c>
      <c r="DU22" s="249">
        <f t="shared" ref="DU22" si="68">DT24</f>
        <v>300</v>
      </c>
      <c r="DV22" s="249">
        <f t="shared" ref="DV22" si="69">DU24</f>
        <v>300</v>
      </c>
      <c r="DW22" s="249">
        <f t="shared" ref="DW22" si="70">DV24</f>
        <v>300</v>
      </c>
      <c r="DX22" s="249">
        <f t="shared" ref="DX22" si="71">DW24</f>
        <v>300</v>
      </c>
      <c r="DY22" s="249">
        <f t="shared" ref="DY22" si="72">DX24</f>
        <v>300</v>
      </c>
      <c r="DZ22" s="249">
        <f t="shared" ref="DZ22" si="73">DY24</f>
        <v>300</v>
      </c>
      <c r="EA22" s="249">
        <f t="shared" ref="EA22" si="74">DZ24</f>
        <v>300</v>
      </c>
      <c r="EB22" s="249">
        <f t="shared" ref="EB22" si="75">EA24</f>
        <v>300</v>
      </c>
      <c r="EC22" s="249">
        <f t="shared" ref="EC22" si="76">EB24</f>
        <v>300</v>
      </c>
      <c r="ED22" s="249">
        <f t="shared" ref="ED22" si="77">EC24</f>
        <v>300</v>
      </c>
      <c r="EE22" s="249">
        <f t="shared" ref="EE22" si="78">ED24</f>
        <v>300</v>
      </c>
      <c r="EF22" s="249">
        <f t="shared" ref="EF22" si="79">EE24</f>
        <v>300</v>
      </c>
      <c r="EG22" s="249">
        <f t="shared" ref="EG22" si="80">EF24</f>
        <v>300</v>
      </c>
      <c r="EH22" s="249">
        <f t="shared" ref="EH22" si="81">EG24</f>
        <v>300</v>
      </c>
      <c r="EI22" s="249">
        <f t="shared" ref="EI22" si="82">EH24</f>
        <v>300</v>
      </c>
      <c r="EJ22" s="249">
        <f t="shared" ref="EJ22" si="83">EI24</f>
        <v>300</v>
      </c>
      <c r="EL22" s="51">
        <v>0</v>
      </c>
      <c r="EM22" s="12">
        <f>EL24</f>
        <v>0</v>
      </c>
      <c r="EN22" s="12">
        <f t="shared" ref="EN22:EW22" si="84">EM24</f>
        <v>0</v>
      </c>
      <c r="EO22" s="12">
        <f t="shared" si="84"/>
        <v>270</v>
      </c>
      <c r="EP22" s="12">
        <f t="shared" si="84"/>
        <v>300</v>
      </c>
      <c r="EQ22" s="12">
        <f t="shared" si="84"/>
        <v>300</v>
      </c>
      <c r="ER22" s="12">
        <f t="shared" si="84"/>
        <v>300</v>
      </c>
      <c r="ES22" s="12">
        <f t="shared" si="84"/>
        <v>300</v>
      </c>
      <c r="ET22" s="12">
        <f t="shared" si="84"/>
        <v>300</v>
      </c>
      <c r="EU22" s="12">
        <f t="shared" si="84"/>
        <v>300</v>
      </c>
      <c r="EV22" s="12">
        <f t="shared" si="84"/>
        <v>300</v>
      </c>
      <c r="EW22" s="12">
        <f t="shared" si="84"/>
        <v>300</v>
      </c>
    </row>
    <row r="23" spans="2:153" outlineLevel="1" x14ac:dyDescent="0.4">
      <c r="B23" s="1" t="s">
        <v>267</v>
      </c>
      <c r="G23" s="251"/>
      <c r="H23" s="248">
        <f>IF(H$8&lt;'Inputs &amp; Drivers'!$F$41,0,MIN('Inputs &amp; Drivers'!$C$37,Model!H$20))</f>
        <v>0</v>
      </c>
      <c r="I23" s="248">
        <f>IF(I$8&lt;'Inputs &amp; Drivers'!$F$41,0,MIN('Inputs &amp; Drivers'!$C$37,Model!I$20))</f>
        <v>0</v>
      </c>
      <c r="J23" s="248">
        <f>IF(J$8&lt;'Inputs &amp; Drivers'!$F$41,0,MIN('Inputs &amp; Drivers'!$C$37,Model!J$20))</f>
        <v>0</v>
      </c>
      <c r="K23" s="248">
        <f>IF(K$8&lt;'Inputs &amp; Drivers'!$F$41,0,MIN('Inputs &amp; Drivers'!$C$37,Model!K$20))</f>
        <v>0</v>
      </c>
      <c r="L23" s="248">
        <f>IF(L$8&lt;'Inputs &amp; Drivers'!$F$41,0,MIN('Inputs &amp; Drivers'!$C$37,Model!L$20))</f>
        <v>0</v>
      </c>
      <c r="M23" s="248">
        <f>IF(M$8&lt;'Inputs &amp; Drivers'!$F$41,0,MIN('Inputs &amp; Drivers'!$C$37,Model!M$20))</f>
        <v>0</v>
      </c>
      <c r="N23" s="248">
        <f>IF(N$8&lt;'Inputs &amp; Drivers'!$F$41,0,MIN('Inputs &amp; Drivers'!$C$37,Model!N$20))</f>
        <v>0</v>
      </c>
      <c r="O23" s="248">
        <f>IF(O$8&lt;'Inputs &amp; Drivers'!$F$41,0,MIN('Inputs &amp; Drivers'!$C$37,Model!O$20))</f>
        <v>0</v>
      </c>
      <c r="P23" s="248">
        <f>IF(P$8&lt;'Inputs &amp; Drivers'!$F$41,0,MIN('Inputs &amp; Drivers'!$C$37,Model!P$20))</f>
        <v>0</v>
      </c>
      <c r="Q23" s="248">
        <f>IF(Q$8&lt;'Inputs &amp; Drivers'!$F$41,0,MIN('Inputs &amp; Drivers'!$C$37,Model!Q$20))</f>
        <v>0</v>
      </c>
      <c r="R23" s="248">
        <f>IF(R$8&lt;'Inputs &amp; Drivers'!$F$41,0,MIN('Inputs &amp; Drivers'!$C$37,Model!R$20))</f>
        <v>0</v>
      </c>
      <c r="S23" s="248">
        <f>IF(S$8&lt;'Inputs &amp; Drivers'!$F$41,0,MIN('Inputs &amp; Drivers'!$C$37,Model!S$20))</f>
        <v>0</v>
      </c>
      <c r="T23" s="248">
        <f>IF(T$8&lt;'Inputs &amp; Drivers'!$F$41,0,MIN('Inputs &amp; Drivers'!$C$37,Model!T$20))</f>
        <v>0</v>
      </c>
      <c r="U23" s="248">
        <f>IF(U$8&lt;'Inputs &amp; Drivers'!$F$41,0,MIN('Inputs &amp; Drivers'!$C$37,Model!U$20))</f>
        <v>0</v>
      </c>
      <c r="V23" s="248">
        <f>IF(V$8&lt;'Inputs &amp; Drivers'!$F$41,0,MIN('Inputs &amp; Drivers'!$C$37,Model!V$20))</f>
        <v>0</v>
      </c>
      <c r="W23" s="248">
        <f>IF(W$8&lt;'Inputs &amp; Drivers'!$F$41,0,MIN('Inputs &amp; Drivers'!$C$37,Model!W$20))</f>
        <v>0</v>
      </c>
      <c r="X23" s="248">
        <f>IF(X$8&lt;'Inputs &amp; Drivers'!$F$41,0,MIN('Inputs &amp; Drivers'!$C$37,Model!X$20))</f>
        <v>30</v>
      </c>
      <c r="Y23" s="248">
        <f>IF(Y$8&lt;'Inputs &amp; Drivers'!$F$41,0,MIN('Inputs &amp; Drivers'!$C$37,Model!Y$20))</f>
        <v>30</v>
      </c>
      <c r="Z23" s="248">
        <f>IF(Z$8&lt;'Inputs &amp; Drivers'!$F$41,0,MIN('Inputs &amp; Drivers'!$C$37,Model!Z$20))</f>
        <v>30</v>
      </c>
      <c r="AA23" s="248">
        <f>IF(AA$8&lt;'Inputs &amp; Drivers'!$F$41,0,MIN('Inputs &amp; Drivers'!$C$37,Model!AA$20))</f>
        <v>30</v>
      </c>
      <c r="AB23" s="248">
        <f>IF(AB$8&lt;'Inputs &amp; Drivers'!$F$41,0,MIN('Inputs &amp; Drivers'!$C$37,Model!AB$20))</f>
        <v>30</v>
      </c>
      <c r="AC23" s="248">
        <f>IF(AC$8&lt;'Inputs &amp; Drivers'!$F$41,0,MIN('Inputs &amp; Drivers'!$C$37,Model!AC$20))</f>
        <v>30</v>
      </c>
      <c r="AD23" s="248">
        <f>IF(AD$8&lt;'Inputs &amp; Drivers'!$F$41,0,MIN('Inputs &amp; Drivers'!$C$37,Model!AD$20))</f>
        <v>30</v>
      </c>
      <c r="AE23" s="248">
        <f>IF(AE$8&lt;'Inputs &amp; Drivers'!$F$41,0,MIN('Inputs &amp; Drivers'!$C$37,Model!AE$20))</f>
        <v>30</v>
      </c>
      <c r="AF23" s="248">
        <f>IF(AF$8&lt;'Inputs &amp; Drivers'!$F$41,0,MIN('Inputs &amp; Drivers'!$C$37,Model!AF$20))</f>
        <v>30</v>
      </c>
      <c r="AG23" s="248">
        <f>IF(AG$8&lt;'Inputs &amp; Drivers'!$F$41,0,MIN('Inputs &amp; Drivers'!$C$37,Model!AG$20))</f>
        <v>30</v>
      </c>
      <c r="AH23" s="248">
        <f>IF(AH$8&lt;'Inputs &amp; Drivers'!$F$41,0,MIN('Inputs &amp; Drivers'!$C$37,Model!AH$20))</f>
        <v>0</v>
      </c>
      <c r="AI23" s="248">
        <f>IF(AI$8&lt;'Inputs &amp; Drivers'!$F$41,0,MIN('Inputs &amp; Drivers'!$C$37,Model!AI$20))</f>
        <v>0</v>
      </c>
      <c r="AJ23" s="248">
        <f>IF(AJ$8&lt;'Inputs &amp; Drivers'!$F$41,0,MIN('Inputs &amp; Drivers'!$C$37,Model!AJ$20))</f>
        <v>0</v>
      </c>
      <c r="AK23" s="248">
        <f>IF(AK$8&lt;'Inputs &amp; Drivers'!$F$41,0,MIN('Inputs &amp; Drivers'!$C$37,Model!AK$20))</f>
        <v>0</v>
      </c>
      <c r="AL23" s="248">
        <f>IF(AL$8&lt;'Inputs &amp; Drivers'!$F$41,0,MIN('Inputs &amp; Drivers'!$C$37,Model!AL$20))</f>
        <v>0</v>
      </c>
      <c r="AM23" s="248">
        <f>IF(AM$8&lt;'Inputs &amp; Drivers'!$F$41,0,MIN('Inputs &amp; Drivers'!$C$37,Model!AM$20))</f>
        <v>0</v>
      </c>
      <c r="AN23" s="248">
        <f>IF(AN$8&lt;'Inputs &amp; Drivers'!$F$41,0,MIN('Inputs &amp; Drivers'!$C$37,Model!AN$20))</f>
        <v>0</v>
      </c>
      <c r="AO23" s="248">
        <f>IF(AO$8&lt;'Inputs &amp; Drivers'!$F$41,0,MIN('Inputs &amp; Drivers'!$C$37,Model!AO$20))</f>
        <v>0</v>
      </c>
      <c r="AP23" s="248">
        <f>IF(AP$8&lt;'Inputs &amp; Drivers'!$F$41,0,MIN('Inputs &amp; Drivers'!$C$37,Model!AP$20))</f>
        <v>0</v>
      </c>
      <c r="AQ23" s="248">
        <f>IF(AQ$8&lt;'Inputs &amp; Drivers'!$F$41,0,MIN('Inputs &amp; Drivers'!$C$37,Model!AQ$20))</f>
        <v>0</v>
      </c>
      <c r="AR23" s="248">
        <f>IF(AR$8&lt;'Inputs &amp; Drivers'!$F$41,0,MIN('Inputs &amp; Drivers'!$C$37,Model!AR$20))</f>
        <v>0</v>
      </c>
      <c r="AS23" s="248">
        <f>IF(AS$8&lt;'Inputs &amp; Drivers'!$F$41,0,MIN('Inputs &amp; Drivers'!$C$37,Model!AS$20))</f>
        <v>0</v>
      </c>
      <c r="AT23" s="248">
        <f>IF(AT$8&lt;'Inputs &amp; Drivers'!$F$41,0,MIN('Inputs &amp; Drivers'!$C$37,Model!AT$20))</f>
        <v>0</v>
      </c>
      <c r="AU23" s="248">
        <f>IF(AU$8&lt;'Inputs &amp; Drivers'!$F$41,0,MIN('Inputs &amp; Drivers'!$C$37,Model!AU$20))</f>
        <v>0</v>
      </c>
      <c r="AV23" s="248">
        <f>IF(AV$8&lt;'Inputs &amp; Drivers'!$F$41,0,MIN('Inputs &amp; Drivers'!$C$37,Model!AV$20))</f>
        <v>0</v>
      </c>
      <c r="AW23" s="248">
        <f>IF(AW$8&lt;'Inputs &amp; Drivers'!$F$41,0,MIN('Inputs &amp; Drivers'!$C$37,Model!AW$20))</f>
        <v>0</v>
      </c>
      <c r="AX23" s="248">
        <f>IF(AX$8&lt;'Inputs &amp; Drivers'!$F$41,0,MIN('Inputs &amp; Drivers'!$C$37,Model!AX$20))</f>
        <v>0</v>
      </c>
      <c r="AY23" s="248">
        <f>IF(AY$8&lt;'Inputs &amp; Drivers'!$F$41,0,MIN('Inputs &amp; Drivers'!$C$37,Model!AY$20))</f>
        <v>0</v>
      </c>
      <c r="AZ23" s="248">
        <f>IF(AZ$8&lt;'Inputs &amp; Drivers'!$F$41,0,MIN('Inputs &amp; Drivers'!$C$37,Model!AZ$20))</f>
        <v>0</v>
      </c>
      <c r="BA23" s="248">
        <f>IF(BA$8&lt;'Inputs &amp; Drivers'!$F$41,0,MIN('Inputs &amp; Drivers'!$C$37,Model!BA$20))</f>
        <v>0</v>
      </c>
      <c r="BB23" s="248">
        <f>IF(BB$8&lt;'Inputs &amp; Drivers'!$F$41,0,MIN('Inputs &amp; Drivers'!$C$37,Model!BB$20))</f>
        <v>0</v>
      </c>
      <c r="BC23" s="248">
        <f>IF(BC$8&lt;'Inputs &amp; Drivers'!$F$41,0,MIN('Inputs &amp; Drivers'!$C$37,Model!BC$20))</f>
        <v>0</v>
      </c>
      <c r="BD23" s="248">
        <f>IF(BD$8&lt;'Inputs &amp; Drivers'!$F$41,0,MIN('Inputs &amp; Drivers'!$C$37,Model!BD$20))</f>
        <v>0</v>
      </c>
      <c r="BE23" s="248">
        <f>IF(BE$8&lt;'Inputs &amp; Drivers'!$F$41,0,MIN('Inputs &amp; Drivers'!$C$37,Model!BE$20))</f>
        <v>0</v>
      </c>
      <c r="BF23" s="248">
        <f>IF(BF$8&lt;'Inputs &amp; Drivers'!$F$41,0,MIN('Inputs &amp; Drivers'!$C$37,Model!BF$20))</f>
        <v>0</v>
      </c>
      <c r="BG23" s="248">
        <f>IF(BG$8&lt;'Inputs &amp; Drivers'!$F$41,0,MIN('Inputs &amp; Drivers'!$C$37,Model!BG$20))</f>
        <v>0</v>
      </c>
      <c r="BH23" s="248">
        <f>IF(BH$8&lt;'Inputs &amp; Drivers'!$F$41,0,MIN('Inputs &amp; Drivers'!$C$37,Model!BH$20))</f>
        <v>0</v>
      </c>
      <c r="BI23" s="248">
        <f>IF(BI$8&lt;'Inputs &amp; Drivers'!$F$41,0,MIN('Inputs &amp; Drivers'!$C$37,Model!BI$20))</f>
        <v>0</v>
      </c>
      <c r="BJ23" s="248">
        <f>IF(BJ$8&lt;'Inputs &amp; Drivers'!$F$41,0,MIN('Inputs &amp; Drivers'!$C$37,Model!BJ$20))</f>
        <v>0</v>
      </c>
      <c r="BK23" s="248">
        <f>IF(BK$8&lt;'Inputs &amp; Drivers'!$F$41,0,MIN('Inputs &amp; Drivers'!$C$37,Model!BK$20))</f>
        <v>0</v>
      </c>
      <c r="BL23" s="248">
        <f>IF(BL$8&lt;'Inputs &amp; Drivers'!$F$41,0,MIN('Inputs &amp; Drivers'!$C$37,Model!BL$20))</f>
        <v>0</v>
      </c>
      <c r="BM23" s="248">
        <f>IF(BM$8&lt;'Inputs &amp; Drivers'!$F$41,0,MIN('Inputs &amp; Drivers'!$C$37,Model!BM$20))</f>
        <v>0</v>
      </c>
      <c r="BN23" s="248">
        <f>IF(BN$8&lt;'Inputs &amp; Drivers'!$F$41,0,MIN('Inputs &amp; Drivers'!$C$37,Model!BN$20))</f>
        <v>0</v>
      </c>
      <c r="BO23" s="248">
        <f>IF(BO$8&lt;'Inputs &amp; Drivers'!$F$41,0,MIN('Inputs &amp; Drivers'!$C$37,Model!BO$20))</f>
        <v>0</v>
      </c>
      <c r="BP23" s="248">
        <f>IF(BP$8&lt;'Inputs &amp; Drivers'!$F$41,0,MIN('Inputs &amp; Drivers'!$C$37,Model!BP$20))</f>
        <v>0</v>
      </c>
      <c r="BQ23" s="248">
        <f>IF(BQ$8&lt;'Inputs &amp; Drivers'!$F$41,0,MIN('Inputs &amp; Drivers'!$C$37,Model!BQ$20))</f>
        <v>0</v>
      </c>
      <c r="BR23" s="248">
        <f>IF(BR$8&lt;'Inputs &amp; Drivers'!$F$41,0,MIN('Inputs &amp; Drivers'!$C$37,Model!BR$20))</f>
        <v>0</v>
      </c>
      <c r="BS23" s="248">
        <f>IF(BS$8&lt;'Inputs &amp; Drivers'!$F$41,0,MIN('Inputs &amp; Drivers'!$C$37,Model!BS$20))</f>
        <v>0</v>
      </c>
      <c r="BT23" s="248">
        <f>IF(BT$8&lt;'Inputs &amp; Drivers'!$F$41,0,MIN('Inputs &amp; Drivers'!$C$37,Model!BT$20))</f>
        <v>0</v>
      </c>
      <c r="BU23" s="248">
        <f>IF(BU$8&lt;'Inputs &amp; Drivers'!$F$41,0,MIN('Inputs &amp; Drivers'!$C$37,Model!BU$20))</f>
        <v>0</v>
      </c>
      <c r="BV23" s="248">
        <f>IF(BV$8&lt;'Inputs &amp; Drivers'!$F$41,0,MIN('Inputs &amp; Drivers'!$C$37,Model!BV$20))</f>
        <v>0</v>
      </c>
      <c r="BW23" s="248">
        <f>IF(BW$8&lt;'Inputs &amp; Drivers'!$F$41,0,MIN('Inputs &amp; Drivers'!$C$37,Model!BW$20))</f>
        <v>0</v>
      </c>
      <c r="BX23" s="248">
        <f>IF(BX$8&lt;'Inputs &amp; Drivers'!$F$41,0,MIN('Inputs &amp; Drivers'!$C$37,Model!BX$20))</f>
        <v>0</v>
      </c>
      <c r="BY23" s="248">
        <f>IF(BY$8&lt;'Inputs &amp; Drivers'!$F$41,0,MIN('Inputs &amp; Drivers'!$C$37,Model!BY$20))</f>
        <v>0</v>
      </c>
      <c r="BZ23" s="248">
        <f>IF(BZ$8&lt;'Inputs &amp; Drivers'!$F$41,0,MIN('Inputs &amp; Drivers'!$C$37,Model!BZ$20))</f>
        <v>0</v>
      </c>
      <c r="CA23" s="248">
        <f>IF(CA$8&lt;'Inputs &amp; Drivers'!$F$41,0,MIN('Inputs &amp; Drivers'!$C$37,Model!CA$20))</f>
        <v>0</v>
      </c>
      <c r="CB23" s="248">
        <f>IF(CB$8&lt;'Inputs &amp; Drivers'!$F$41,0,MIN('Inputs &amp; Drivers'!$C$37,Model!CB$20))</f>
        <v>0</v>
      </c>
      <c r="CC23" s="248">
        <f>IF(CC$8&lt;'Inputs &amp; Drivers'!$F$41,0,MIN('Inputs &amp; Drivers'!$C$37,Model!CC$20))</f>
        <v>0</v>
      </c>
      <c r="CD23" s="248">
        <f>IF(CD$8&lt;'Inputs &amp; Drivers'!$F$41,0,MIN('Inputs &amp; Drivers'!$C$37,Model!CD$20))</f>
        <v>0</v>
      </c>
      <c r="CE23" s="248">
        <f>IF(CE$8&lt;'Inputs &amp; Drivers'!$F$41,0,MIN('Inputs &amp; Drivers'!$C$37,Model!CE$20))</f>
        <v>0</v>
      </c>
      <c r="CF23" s="248">
        <f>IF(CF$8&lt;'Inputs &amp; Drivers'!$F$41,0,MIN('Inputs &amp; Drivers'!$C$37,Model!CF$20))</f>
        <v>0</v>
      </c>
      <c r="CG23" s="248">
        <f>IF(CG$8&lt;'Inputs &amp; Drivers'!$F$41,0,MIN('Inputs &amp; Drivers'!$C$37,Model!CG$20))</f>
        <v>0</v>
      </c>
      <c r="CH23" s="248">
        <f>IF(CH$8&lt;'Inputs &amp; Drivers'!$F$41,0,MIN('Inputs &amp; Drivers'!$C$37,Model!CH$20))</f>
        <v>0</v>
      </c>
      <c r="CI23" s="248">
        <f>IF(CI$8&lt;'Inputs &amp; Drivers'!$F$41,0,MIN('Inputs &amp; Drivers'!$C$37,Model!CI$20))</f>
        <v>0</v>
      </c>
      <c r="CJ23" s="248">
        <f>IF(CJ$8&lt;'Inputs &amp; Drivers'!$F$41,0,MIN('Inputs &amp; Drivers'!$C$37,Model!CJ$20))</f>
        <v>0</v>
      </c>
      <c r="CK23" s="248">
        <f>IF(CK$8&lt;'Inputs &amp; Drivers'!$F$41,0,MIN('Inputs &amp; Drivers'!$C$37,Model!CK$20))</f>
        <v>0</v>
      </c>
      <c r="CL23" s="248">
        <f>IF(CL$8&lt;'Inputs &amp; Drivers'!$F$41,0,MIN('Inputs &amp; Drivers'!$C$37,Model!CL$20))</f>
        <v>0</v>
      </c>
      <c r="CM23" s="248">
        <f>IF(CM$8&lt;'Inputs &amp; Drivers'!$F$41,0,MIN('Inputs &amp; Drivers'!$C$37,Model!CM$20))</f>
        <v>0</v>
      </c>
      <c r="CN23" s="248">
        <f>IF(CN$8&lt;'Inputs &amp; Drivers'!$F$41,0,MIN('Inputs &amp; Drivers'!$C$37,Model!CN$20))</f>
        <v>0</v>
      </c>
      <c r="CO23" s="248">
        <f>IF(CO$8&lt;'Inputs &amp; Drivers'!$F$41,0,MIN('Inputs &amp; Drivers'!$C$37,Model!CO$20))</f>
        <v>0</v>
      </c>
      <c r="CP23" s="248">
        <f>IF(CP$8&lt;'Inputs &amp; Drivers'!$F$41,0,MIN('Inputs &amp; Drivers'!$C$37,Model!CP$20))</f>
        <v>0</v>
      </c>
      <c r="CQ23" s="248">
        <f>IF(CQ$8&lt;'Inputs &amp; Drivers'!$F$41,0,MIN('Inputs &amp; Drivers'!$C$37,Model!CQ$20))</f>
        <v>0</v>
      </c>
      <c r="CR23" s="248">
        <f>IF(CR$8&lt;'Inputs &amp; Drivers'!$F$41,0,MIN('Inputs &amp; Drivers'!$C$37,Model!CR$20))</f>
        <v>0</v>
      </c>
      <c r="CS23" s="248">
        <f>IF(CS$8&lt;'Inputs &amp; Drivers'!$F$41,0,MIN('Inputs &amp; Drivers'!$C$37,Model!CS$20))</f>
        <v>0</v>
      </c>
      <c r="CT23" s="248">
        <f>IF(CT$8&lt;'Inputs &amp; Drivers'!$F$41,0,MIN('Inputs &amp; Drivers'!$C$37,Model!CT$20))</f>
        <v>0</v>
      </c>
      <c r="CU23" s="248">
        <f>IF(CU$8&lt;'Inputs &amp; Drivers'!$F$41,0,MIN('Inputs &amp; Drivers'!$C$37,Model!CU$20))</f>
        <v>0</v>
      </c>
      <c r="CV23" s="248">
        <f>IF(CV$8&lt;'Inputs &amp; Drivers'!$F$41,0,MIN('Inputs &amp; Drivers'!$C$37,Model!CV$20))</f>
        <v>0</v>
      </c>
      <c r="CW23" s="248">
        <f>IF(CW$8&lt;'Inputs &amp; Drivers'!$F$41,0,MIN('Inputs &amp; Drivers'!$C$37,Model!CW$20))</f>
        <v>0</v>
      </c>
      <c r="CX23" s="248">
        <f>IF(CX$8&lt;'Inputs &amp; Drivers'!$F$41,0,MIN('Inputs &amp; Drivers'!$C$37,Model!CX$20))</f>
        <v>0</v>
      </c>
      <c r="CY23" s="248">
        <f>IF(CY$8&lt;'Inputs &amp; Drivers'!$F$41,0,MIN('Inputs &amp; Drivers'!$C$37,Model!CY$20))</f>
        <v>0</v>
      </c>
      <c r="CZ23" s="248">
        <f>IF(CZ$8&lt;'Inputs &amp; Drivers'!$F$41,0,MIN('Inputs &amp; Drivers'!$C$37,Model!CZ$20))</f>
        <v>0</v>
      </c>
      <c r="DA23" s="248">
        <f>IF(DA$8&lt;'Inputs &amp; Drivers'!$F$41,0,MIN('Inputs &amp; Drivers'!$C$37,Model!DA$20))</f>
        <v>0</v>
      </c>
      <c r="DB23" s="248">
        <f>IF(DB$8&lt;'Inputs &amp; Drivers'!$F$41,0,MIN('Inputs &amp; Drivers'!$C$37,Model!DB$20))</f>
        <v>0</v>
      </c>
      <c r="DC23" s="248">
        <f>IF(DC$8&lt;'Inputs &amp; Drivers'!$F$41,0,MIN('Inputs &amp; Drivers'!$C$37,Model!DC$20))</f>
        <v>0</v>
      </c>
      <c r="DD23" s="248">
        <f>IF(DD$8&lt;'Inputs &amp; Drivers'!$F$41,0,MIN('Inputs &amp; Drivers'!$C$37,Model!DD$20))</f>
        <v>0</v>
      </c>
      <c r="DE23" s="248">
        <f>IF(DE$8&lt;'Inputs &amp; Drivers'!$F$41,0,MIN('Inputs &amp; Drivers'!$C$37,Model!DE$20))</f>
        <v>0</v>
      </c>
      <c r="DF23" s="248">
        <f>IF(DF$8&lt;'Inputs &amp; Drivers'!$F$41,0,MIN('Inputs &amp; Drivers'!$C$37,Model!DF$20))</f>
        <v>0</v>
      </c>
      <c r="DG23" s="248">
        <f>IF(DG$8&lt;'Inputs &amp; Drivers'!$F$41,0,MIN('Inputs &amp; Drivers'!$C$37,Model!DG$20))</f>
        <v>0</v>
      </c>
      <c r="DH23" s="248">
        <f>IF(DH$8&lt;'Inputs &amp; Drivers'!$F$41,0,MIN('Inputs &amp; Drivers'!$C$37,Model!DH$20))</f>
        <v>0</v>
      </c>
      <c r="DI23" s="248">
        <f>IF(DI$8&lt;'Inputs &amp; Drivers'!$F$41,0,MIN('Inputs &amp; Drivers'!$C$37,Model!DI$20))</f>
        <v>0</v>
      </c>
      <c r="DJ23" s="248">
        <f>IF(DJ$8&lt;'Inputs &amp; Drivers'!$F$41,0,MIN('Inputs &amp; Drivers'!$C$37,Model!DJ$20))</f>
        <v>0</v>
      </c>
      <c r="DK23" s="248">
        <f>IF(DK$8&lt;'Inputs &amp; Drivers'!$F$41,0,MIN('Inputs &amp; Drivers'!$C$37,Model!DK$20))</f>
        <v>0</v>
      </c>
      <c r="DL23" s="248">
        <f>IF(DL$8&lt;'Inputs &amp; Drivers'!$F$41,0,MIN('Inputs &amp; Drivers'!$C$37,Model!DL$20))</f>
        <v>0</v>
      </c>
      <c r="DM23" s="248">
        <f>IF(DM$8&lt;'Inputs &amp; Drivers'!$F$41,0,MIN('Inputs &amp; Drivers'!$C$37,Model!DM$20))</f>
        <v>0</v>
      </c>
      <c r="DN23" s="248">
        <f>IF(DN$8&lt;'Inputs &amp; Drivers'!$F$41,0,MIN('Inputs &amp; Drivers'!$C$37,Model!DN$20))</f>
        <v>0</v>
      </c>
      <c r="DO23" s="248">
        <f>IF(DO$8&lt;'Inputs &amp; Drivers'!$F$41,0,MIN('Inputs &amp; Drivers'!$C$37,Model!DO$20))</f>
        <v>0</v>
      </c>
      <c r="DP23" s="248">
        <f>IF(DP$8&lt;'Inputs &amp; Drivers'!$F$41,0,MIN('Inputs &amp; Drivers'!$C$37,Model!DP$20))</f>
        <v>0</v>
      </c>
      <c r="DQ23" s="248">
        <f>IF(DQ$8&lt;'Inputs &amp; Drivers'!$F$41,0,MIN('Inputs &amp; Drivers'!$C$37,Model!DQ$20))</f>
        <v>0</v>
      </c>
      <c r="DR23" s="248">
        <f>IF(DR$8&lt;'Inputs &amp; Drivers'!$F$41,0,MIN('Inputs &amp; Drivers'!$C$37,Model!DR$20))</f>
        <v>0</v>
      </c>
      <c r="DS23" s="248">
        <f>IF(DS$8&lt;'Inputs &amp; Drivers'!$F$41,0,MIN('Inputs &amp; Drivers'!$C$37,Model!DS$20))</f>
        <v>0</v>
      </c>
      <c r="DT23" s="248">
        <f>IF(DT$8&lt;'Inputs &amp; Drivers'!$F$41,0,MIN('Inputs &amp; Drivers'!$C$37,Model!DT$20))</f>
        <v>0</v>
      </c>
      <c r="DU23" s="248">
        <f>IF(DU$8&lt;'Inputs &amp; Drivers'!$F$41,0,MIN('Inputs &amp; Drivers'!$C$37,Model!DU$20))</f>
        <v>0</v>
      </c>
      <c r="DV23" s="248">
        <f>IF(DV$8&lt;'Inputs &amp; Drivers'!$F$41,0,MIN('Inputs &amp; Drivers'!$C$37,Model!DV$20))</f>
        <v>0</v>
      </c>
      <c r="DW23" s="248">
        <f>IF(DW$8&lt;'Inputs &amp; Drivers'!$F$41,0,MIN('Inputs &amp; Drivers'!$C$37,Model!DW$20))</f>
        <v>0</v>
      </c>
      <c r="DX23" s="248">
        <f>IF(DX$8&lt;'Inputs &amp; Drivers'!$F$41,0,MIN('Inputs &amp; Drivers'!$C$37,Model!DX$20))</f>
        <v>0</v>
      </c>
      <c r="DY23" s="248">
        <f>IF(DY$8&lt;'Inputs &amp; Drivers'!$F$41,0,MIN('Inputs &amp; Drivers'!$C$37,Model!DY$20))</f>
        <v>0</v>
      </c>
      <c r="DZ23" s="248">
        <f>IF(DZ$8&lt;'Inputs &amp; Drivers'!$F$41,0,MIN('Inputs &amp; Drivers'!$C$37,Model!DZ$20))</f>
        <v>0</v>
      </c>
      <c r="EA23" s="248">
        <f>IF(EA$8&lt;'Inputs &amp; Drivers'!$F$41,0,MIN('Inputs &amp; Drivers'!$C$37,Model!EA$20))</f>
        <v>0</v>
      </c>
      <c r="EB23" s="248">
        <f>IF(EB$8&lt;'Inputs &amp; Drivers'!$F$41,0,MIN('Inputs &amp; Drivers'!$C$37,Model!EB$20))</f>
        <v>0</v>
      </c>
      <c r="EC23" s="248">
        <f>IF(EC$8&lt;'Inputs &amp; Drivers'!$F$41,0,MIN('Inputs &amp; Drivers'!$C$37,Model!EC$20))</f>
        <v>0</v>
      </c>
      <c r="ED23" s="248">
        <f>IF(ED$8&lt;'Inputs &amp; Drivers'!$F$41,0,MIN('Inputs &amp; Drivers'!$C$37,Model!ED$20))</f>
        <v>0</v>
      </c>
      <c r="EE23" s="248">
        <f>IF(EE$8&lt;'Inputs &amp; Drivers'!$F$41,0,MIN('Inputs &amp; Drivers'!$C$37,Model!EE$20))</f>
        <v>0</v>
      </c>
      <c r="EF23" s="248">
        <f>IF(EF$8&lt;'Inputs &amp; Drivers'!$F$41,0,MIN('Inputs &amp; Drivers'!$C$37,Model!EF$20))</f>
        <v>0</v>
      </c>
      <c r="EG23" s="248">
        <f>IF(EG$8&lt;'Inputs &amp; Drivers'!$F$41,0,MIN('Inputs &amp; Drivers'!$C$37,Model!EG$20))</f>
        <v>0</v>
      </c>
      <c r="EH23" s="248">
        <f>IF(EH$8&lt;'Inputs &amp; Drivers'!$F$41,0,MIN('Inputs &amp; Drivers'!$C$37,Model!EH$20))</f>
        <v>0</v>
      </c>
      <c r="EI23" s="248">
        <f>IF(EI$8&lt;'Inputs &amp; Drivers'!$F$41,0,MIN('Inputs &amp; Drivers'!$C$37,Model!EI$20))</f>
        <v>0</v>
      </c>
      <c r="EJ23" s="248">
        <f>IF(EJ$8&lt;'Inputs &amp; Drivers'!$F$41,0,MIN('Inputs &amp; Drivers'!$C$37,Model!EJ$20))</f>
        <v>0</v>
      </c>
      <c r="EL23" s="12">
        <f t="shared" ref="EL23:EW23" si="85">SUMIF($H$4:$EJ$4,EL$5,$H23:$EJ23)</f>
        <v>0</v>
      </c>
      <c r="EM23" s="12">
        <f t="shared" si="85"/>
        <v>0</v>
      </c>
      <c r="EN23" s="12">
        <f t="shared" si="85"/>
        <v>270</v>
      </c>
      <c r="EO23" s="12">
        <f t="shared" si="85"/>
        <v>30</v>
      </c>
      <c r="EP23" s="12">
        <f t="shared" si="85"/>
        <v>0</v>
      </c>
      <c r="EQ23" s="12">
        <f t="shared" si="85"/>
        <v>0</v>
      </c>
      <c r="ER23" s="12">
        <f t="shared" si="85"/>
        <v>0</v>
      </c>
      <c r="ES23" s="12">
        <f t="shared" si="85"/>
        <v>0</v>
      </c>
      <c r="ET23" s="12">
        <f t="shared" si="85"/>
        <v>0</v>
      </c>
      <c r="EU23" s="12">
        <f t="shared" si="85"/>
        <v>0</v>
      </c>
      <c r="EV23" s="12">
        <f t="shared" si="85"/>
        <v>0</v>
      </c>
      <c r="EW23" s="12">
        <f t="shared" si="85"/>
        <v>0</v>
      </c>
    </row>
    <row r="24" spans="2:153" outlineLevel="1" x14ac:dyDescent="0.4">
      <c r="B24" s="107" t="s">
        <v>268</v>
      </c>
      <c r="C24" s="107"/>
      <c r="D24" s="107"/>
      <c r="E24" s="107"/>
      <c r="F24" s="107"/>
      <c r="G24" s="107"/>
      <c r="H24" s="249">
        <f>H23+H22</f>
        <v>0</v>
      </c>
      <c r="I24" s="249">
        <f>I23+I22</f>
        <v>0</v>
      </c>
      <c r="J24" s="249">
        <f t="shared" ref="J24:AT24" si="86">J23+J22</f>
        <v>0</v>
      </c>
      <c r="K24" s="249">
        <f t="shared" si="86"/>
        <v>0</v>
      </c>
      <c r="L24" s="249">
        <f t="shared" si="86"/>
        <v>0</v>
      </c>
      <c r="M24" s="249">
        <f t="shared" si="86"/>
        <v>0</v>
      </c>
      <c r="N24" s="249">
        <f t="shared" si="86"/>
        <v>0</v>
      </c>
      <c r="O24" s="249">
        <f t="shared" si="86"/>
        <v>0</v>
      </c>
      <c r="P24" s="249">
        <f t="shared" si="86"/>
        <v>0</v>
      </c>
      <c r="Q24" s="249">
        <f t="shared" si="86"/>
        <v>0</v>
      </c>
      <c r="R24" s="249">
        <f t="shared" si="86"/>
        <v>0</v>
      </c>
      <c r="S24" s="249">
        <f t="shared" si="86"/>
        <v>0</v>
      </c>
      <c r="T24" s="249">
        <f t="shared" si="86"/>
        <v>0</v>
      </c>
      <c r="U24" s="249">
        <f t="shared" si="86"/>
        <v>0</v>
      </c>
      <c r="V24" s="249">
        <f t="shared" si="86"/>
        <v>0</v>
      </c>
      <c r="W24" s="249">
        <f t="shared" si="86"/>
        <v>0</v>
      </c>
      <c r="X24" s="249">
        <f t="shared" si="86"/>
        <v>30</v>
      </c>
      <c r="Y24" s="249">
        <f t="shared" si="86"/>
        <v>60</v>
      </c>
      <c r="Z24" s="249">
        <f t="shared" si="86"/>
        <v>90</v>
      </c>
      <c r="AA24" s="249">
        <f t="shared" si="86"/>
        <v>120</v>
      </c>
      <c r="AB24" s="249">
        <f t="shared" si="86"/>
        <v>150</v>
      </c>
      <c r="AC24" s="249">
        <f t="shared" si="86"/>
        <v>180</v>
      </c>
      <c r="AD24" s="249">
        <f t="shared" si="86"/>
        <v>210</v>
      </c>
      <c r="AE24" s="249">
        <f t="shared" si="86"/>
        <v>240</v>
      </c>
      <c r="AF24" s="249">
        <f t="shared" si="86"/>
        <v>270</v>
      </c>
      <c r="AG24" s="249">
        <f t="shared" si="86"/>
        <v>300</v>
      </c>
      <c r="AH24" s="249">
        <f t="shared" si="86"/>
        <v>300</v>
      </c>
      <c r="AI24" s="249">
        <f t="shared" si="86"/>
        <v>300</v>
      </c>
      <c r="AJ24" s="249">
        <f t="shared" si="86"/>
        <v>300</v>
      </c>
      <c r="AK24" s="249">
        <f t="shared" si="86"/>
        <v>300</v>
      </c>
      <c r="AL24" s="249">
        <f t="shared" si="86"/>
        <v>300</v>
      </c>
      <c r="AM24" s="249">
        <f t="shared" si="86"/>
        <v>300</v>
      </c>
      <c r="AN24" s="249">
        <f t="shared" si="86"/>
        <v>300</v>
      </c>
      <c r="AO24" s="249">
        <f t="shared" si="86"/>
        <v>300</v>
      </c>
      <c r="AP24" s="249">
        <f t="shared" si="86"/>
        <v>300</v>
      </c>
      <c r="AQ24" s="249">
        <f t="shared" si="86"/>
        <v>300</v>
      </c>
      <c r="AR24" s="249">
        <f t="shared" si="86"/>
        <v>300</v>
      </c>
      <c r="AS24" s="249">
        <f t="shared" si="86"/>
        <v>300</v>
      </c>
      <c r="AT24" s="249">
        <f t="shared" si="86"/>
        <v>300</v>
      </c>
      <c r="AU24" s="249">
        <f t="shared" ref="AU24:CD24" si="87">AU23+AU22</f>
        <v>300</v>
      </c>
      <c r="AV24" s="249">
        <f t="shared" si="87"/>
        <v>300</v>
      </c>
      <c r="AW24" s="249">
        <f t="shared" si="87"/>
        <v>300</v>
      </c>
      <c r="AX24" s="249">
        <f t="shared" si="87"/>
        <v>300</v>
      </c>
      <c r="AY24" s="249">
        <f t="shared" si="87"/>
        <v>300</v>
      </c>
      <c r="AZ24" s="249">
        <f t="shared" si="87"/>
        <v>300</v>
      </c>
      <c r="BA24" s="249">
        <f t="shared" si="87"/>
        <v>300</v>
      </c>
      <c r="BB24" s="249">
        <f t="shared" si="87"/>
        <v>300</v>
      </c>
      <c r="BC24" s="249">
        <f t="shared" si="87"/>
        <v>300</v>
      </c>
      <c r="BD24" s="249">
        <f t="shared" si="87"/>
        <v>300</v>
      </c>
      <c r="BE24" s="249">
        <f t="shared" si="87"/>
        <v>300</v>
      </c>
      <c r="BF24" s="249">
        <f t="shared" si="87"/>
        <v>300</v>
      </c>
      <c r="BG24" s="249">
        <f t="shared" si="87"/>
        <v>300</v>
      </c>
      <c r="BH24" s="249">
        <f t="shared" si="87"/>
        <v>300</v>
      </c>
      <c r="BI24" s="249">
        <f t="shared" si="87"/>
        <v>300</v>
      </c>
      <c r="BJ24" s="249">
        <f t="shared" si="87"/>
        <v>300</v>
      </c>
      <c r="BK24" s="249">
        <f t="shared" si="87"/>
        <v>300</v>
      </c>
      <c r="BL24" s="249">
        <f t="shared" si="87"/>
        <v>300</v>
      </c>
      <c r="BM24" s="249">
        <f t="shared" si="87"/>
        <v>300</v>
      </c>
      <c r="BN24" s="249">
        <f t="shared" si="87"/>
        <v>300</v>
      </c>
      <c r="BO24" s="249">
        <f t="shared" si="87"/>
        <v>300</v>
      </c>
      <c r="BP24" s="249">
        <f t="shared" si="87"/>
        <v>300</v>
      </c>
      <c r="BQ24" s="249">
        <f t="shared" si="87"/>
        <v>300</v>
      </c>
      <c r="BR24" s="249">
        <f t="shared" si="87"/>
        <v>300</v>
      </c>
      <c r="BS24" s="249">
        <f t="shared" si="87"/>
        <v>300</v>
      </c>
      <c r="BT24" s="249">
        <f t="shared" si="87"/>
        <v>300</v>
      </c>
      <c r="BU24" s="249">
        <f t="shared" si="87"/>
        <v>300</v>
      </c>
      <c r="BV24" s="249">
        <f t="shared" si="87"/>
        <v>300</v>
      </c>
      <c r="BW24" s="249">
        <f t="shared" si="87"/>
        <v>300</v>
      </c>
      <c r="BX24" s="249">
        <f t="shared" si="87"/>
        <v>300</v>
      </c>
      <c r="BY24" s="249">
        <f t="shared" si="87"/>
        <v>300</v>
      </c>
      <c r="BZ24" s="249">
        <f t="shared" si="87"/>
        <v>300</v>
      </c>
      <c r="CA24" s="249">
        <f t="shared" si="87"/>
        <v>300</v>
      </c>
      <c r="CB24" s="249">
        <f t="shared" si="87"/>
        <v>300</v>
      </c>
      <c r="CC24" s="249">
        <f t="shared" si="87"/>
        <v>300</v>
      </c>
      <c r="CD24" s="249">
        <f t="shared" si="87"/>
        <v>300</v>
      </c>
      <c r="CE24" s="249">
        <f t="shared" ref="CE24" si="88">CE23+CE22</f>
        <v>300</v>
      </c>
      <c r="CF24" s="249">
        <f t="shared" ref="CF24" si="89">CF23+CF22</f>
        <v>300</v>
      </c>
      <c r="CG24" s="249">
        <f t="shared" ref="CG24" si="90">CG23+CG22</f>
        <v>300</v>
      </c>
      <c r="CH24" s="249">
        <f t="shared" ref="CH24" si="91">CH23+CH22</f>
        <v>300</v>
      </c>
      <c r="CI24" s="249">
        <f t="shared" ref="CI24" si="92">CI23+CI22</f>
        <v>300</v>
      </c>
      <c r="CJ24" s="249">
        <f t="shared" ref="CJ24" si="93">CJ23+CJ22</f>
        <v>300</v>
      </c>
      <c r="CK24" s="249">
        <f t="shared" ref="CK24" si="94">CK23+CK22</f>
        <v>300</v>
      </c>
      <c r="CL24" s="249">
        <f t="shared" ref="CL24" si="95">CL23+CL22</f>
        <v>300</v>
      </c>
      <c r="CM24" s="249">
        <f t="shared" ref="CM24" si="96">CM23+CM22</f>
        <v>300</v>
      </c>
      <c r="CN24" s="249">
        <f t="shared" ref="CN24" si="97">CN23+CN22</f>
        <v>300</v>
      </c>
      <c r="CO24" s="249">
        <f t="shared" ref="CO24" si="98">CO23+CO22</f>
        <v>300</v>
      </c>
      <c r="CP24" s="249">
        <f t="shared" ref="CP24" si="99">CP23+CP22</f>
        <v>300</v>
      </c>
      <c r="CQ24" s="249">
        <f t="shared" ref="CQ24" si="100">CQ23+CQ22</f>
        <v>300</v>
      </c>
      <c r="CR24" s="249">
        <f t="shared" ref="CR24" si="101">CR23+CR22</f>
        <v>300</v>
      </c>
      <c r="CS24" s="249">
        <f t="shared" ref="CS24" si="102">CS23+CS22</f>
        <v>300</v>
      </c>
      <c r="CT24" s="249">
        <f t="shared" ref="CT24" si="103">CT23+CT22</f>
        <v>300</v>
      </c>
      <c r="CU24" s="249">
        <f t="shared" ref="CU24" si="104">CU23+CU22</f>
        <v>300</v>
      </c>
      <c r="CV24" s="249">
        <f t="shared" ref="CV24" si="105">CV23+CV22</f>
        <v>300</v>
      </c>
      <c r="CW24" s="249">
        <f t="shared" ref="CW24" si="106">CW23+CW22</f>
        <v>300</v>
      </c>
      <c r="CX24" s="249">
        <f t="shared" ref="CX24" si="107">CX23+CX22</f>
        <v>300</v>
      </c>
      <c r="CY24" s="249">
        <f t="shared" ref="CY24" si="108">CY23+CY22</f>
        <v>300</v>
      </c>
      <c r="CZ24" s="249">
        <f t="shared" ref="CZ24" si="109">CZ23+CZ22</f>
        <v>300</v>
      </c>
      <c r="DA24" s="249">
        <f t="shared" ref="DA24" si="110">DA23+DA22</f>
        <v>300</v>
      </c>
      <c r="DB24" s="249">
        <f t="shared" ref="DB24" si="111">DB23+DB22</f>
        <v>300</v>
      </c>
      <c r="DC24" s="249">
        <f t="shared" ref="DC24" si="112">DC23+DC22</f>
        <v>300</v>
      </c>
      <c r="DD24" s="249">
        <f t="shared" ref="DD24" si="113">DD23+DD22</f>
        <v>300</v>
      </c>
      <c r="DE24" s="249">
        <f t="shared" ref="DE24" si="114">DE23+DE22</f>
        <v>300</v>
      </c>
      <c r="DF24" s="249">
        <f t="shared" ref="DF24" si="115">DF23+DF22</f>
        <v>300</v>
      </c>
      <c r="DG24" s="249">
        <f t="shared" ref="DG24" si="116">DG23+DG22</f>
        <v>300</v>
      </c>
      <c r="DH24" s="249">
        <f t="shared" ref="DH24" si="117">DH23+DH22</f>
        <v>300</v>
      </c>
      <c r="DI24" s="249">
        <f t="shared" ref="DI24" si="118">DI23+DI22</f>
        <v>300</v>
      </c>
      <c r="DJ24" s="249">
        <f t="shared" ref="DJ24" si="119">DJ23+DJ22</f>
        <v>300</v>
      </c>
      <c r="DK24" s="249">
        <f t="shared" ref="DK24" si="120">DK23+DK22</f>
        <v>300</v>
      </c>
      <c r="DL24" s="249">
        <f t="shared" ref="DL24" si="121">DL23+DL22</f>
        <v>300</v>
      </c>
      <c r="DM24" s="249">
        <f t="shared" ref="DM24" si="122">DM23+DM22</f>
        <v>300</v>
      </c>
      <c r="DN24" s="249">
        <f t="shared" ref="DN24" si="123">DN23+DN22</f>
        <v>300</v>
      </c>
      <c r="DO24" s="249">
        <f t="shared" ref="DO24" si="124">DO23+DO22</f>
        <v>300</v>
      </c>
      <c r="DP24" s="249">
        <f t="shared" ref="DP24" si="125">DP23+DP22</f>
        <v>300</v>
      </c>
      <c r="DQ24" s="249">
        <f t="shared" ref="DQ24" si="126">DQ23+DQ22</f>
        <v>300</v>
      </c>
      <c r="DR24" s="249">
        <f t="shared" ref="DR24" si="127">DR23+DR22</f>
        <v>300</v>
      </c>
      <c r="DS24" s="249">
        <f t="shared" ref="DS24" si="128">DS23+DS22</f>
        <v>300</v>
      </c>
      <c r="DT24" s="249">
        <f t="shared" ref="DT24" si="129">DT23+DT22</f>
        <v>300</v>
      </c>
      <c r="DU24" s="249">
        <f t="shared" ref="DU24" si="130">DU23+DU22</f>
        <v>300</v>
      </c>
      <c r="DV24" s="249">
        <f t="shared" ref="DV24" si="131">DV23+DV22</f>
        <v>300</v>
      </c>
      <c r="DW24" s="249">
        <f t="shared" ref="DW24" si="132">DW23+DW22</f>
        <v>300</v>
      </c>
      <c r="DX24" s="249">
        <f t="shared" ref="DX24" si="133">DX23+DX22</f>
        <v>300</v>
      </c>
      <c r="DY24" s="249">
        <f t="shared" ref="DY24" si="134">DY23+DY22</f>
        <v>300</v>
      </c>
      <c r="DZ24" s="249">
        <f t="shared" ref="DZ24" si="135">DZ23+DZ22</f>
        <v>300</v>
      </c>
      <c r="EA24" s="249">
        <f t="shared" ref="EA24" si="136">EA23+EA22</f>
        <v>300</v>
      </c>
      <c r="EB24" s="249">
        <f t="shared" ref="EB24" si="137">EB23+EB22</f>
        <v>300</v>
      </c>
      <c r="EC24" s="249">
        <f t="shared" ref="EC24" si="138">EC23+EC22</f>
        <v>300</v>
      </c>
      <c r="ED24" s="249">
        <f t="shared" ref="ED24" si="139">ED23+ED22</f>
        <v>300</v>
      </c>
      <c r="EE24" s="249">
        <f t="shared" ref="EE24" si="140">EE23+EE22</f>
        <v>300</v>
      </c>
      <c r="EF24" s="249">
        <f t="shared" ref="EF24" si="141">EF23+EF22</f>
        <v>300</v>
      </c>
      <c r="EG24" s="249">
        <f t="shared" ref="EG24" si="142">EG23+EG22</f>
        <v>300</v>
      </c>
      <c r="EH24" s="249">
        <f t="shared" ref="EH24" si="143">EH23+EH22</f>
        <v>300</v>
      </c>
      <c r="EI24" s="249">
        <f t="shared" ref="EI24" si="144">EI23+EI22</f>
        <v>300</v>
      </c>
      <c r="EJ24" s="249">
        <f t="shared" ref="EJ24" si="145">EJ23+EJ22</f>
        <v>300</v>
      </c>
      <c r="EL24" s="97">
        <f>SUM(EL22:EL23)</f>
        <v>0</v>
      </c>
      <c r="EM24" s="97">
        <f>SUM(EM22:EM23)</f>
        <v>0</v>
      </c>
      <c r="EN24" s="97">
        <f t="shared" ref="EN24:EW24" si="146">SUM(EN22:EN23)</f>
        <v>270</v>
      </c>
      <c r="EO24" s="97">
        <f t="shared" si="146"/>
        <v>300</v>
      </c>
      <c r="EP24" s="97">
        <f t="shared" si="146"/>
        <v>300</v>
      </c>
      <c r="EQ24" s="97">
        <f t="shared" si="146"/>
        <v>300</v>
      </c>
      <c r="ER24" s="97">
        <f t="shared" si="146"/>
        <v>300</v>
      </c>
      <c r="ES24" s="97">
        <f t="shared" si="146"/>
        <v>300</v>
      </c>
      <c r="ET24" s="97">
        <f t="shared" si="146"/>
        <v>300</v>
      </c>
      <c r="EU24" s="97">
        <f t="shared" si="146"/>
        <v>300</v>
      </c>
      <c r="EV24" s="97">
        <f t="shared" si="146"/>
        <v>300</v>
      </c>
      <c r="EW24" s="97">
        <f t="shared" si="146"/>
        <v>300</v>
      </c>
    </row>
    <row r="25" spans="2:153" outlineLevel="1" x14ac:dyDescent="0.4"/>
    <row r="26" spans="2:153" outlineLevel="1" x14ac:dyDescent="0.4">
      <c r="B26" s="94" t="s">
        <v>280</v>
      </c>
    </row>
    <row r="27" spans="2:153" outlineLevel="1" x14ac:dyDescent="0.4">
      <c r="B27" s="1" t="s">
        <v>21</v>
      </c>
      <c r="H27" s="83">
        <v>30</v>
      </c>
      <c r="I27" s="341">
        <f>H27*(1+(INDEX('Inputs &amp; Drivers'!$G$68:$G$78,MATCH(Model!I$4,'Inputs &amp; Drivers'!$B$68:$B$78))/12))</f>
        <v>30</v>
      </c>
      <c r="J27" s="341">
        <f>I27*(1+(INDEX('Inputs &amp; Drivers'!$G$68:$G$78,MATCH(Model!J$4,'Inputs &amp; Drivers'!$B$68:$B$78))/12))</f>
        <v>30</v>
      </c>
      <c r="K27" s="341">
        <f>J27*(1+(INDEX('Inputs &amp; Drivers'!$G$68:$G$78,MATCH(Model!K$4,'Inputs &amp; Drivers'!$B$68:$B$78))/12))</f>
        <v>30</v>
      </c>
      <c r="L27" s="341">
        <f>K27*(1+(INDEX('Inputs &amp; Drivers'!$G$68:$G$78,MATCH(Model!L$4,'Inputs &amp; Drivers'!$B$68:$B$78))/12))</f>
        <v>30</v>
      </c>
      <c r="M27" s="341">
        <f>L27*(1+(INDEX('Inputs &amp; Drivers'!$G$68:$G$78,MATCH(Model!M$4,'Inputs &amp; Drivers'!$B$68:$B$78))/12))</f>
        <v>30</v>
      </c>
      <c r="N27" s="341">
        <f>M27*(1+(INDEX('Inputs &amp; Drivers'!$G$68:$G$78,MATCH(Model!N$4,'Inputs &amp; Drivers'!$B$68:$B$78))/12))</f>
        <v>30</v>
      </c>
      <c r="O27" s="341">
        <f>N27*(1+(INDEX('Inputs &amp; Drivers'!$G$68:$G$78,MATCH(Model!O$4,'Inputs &amp; Drivers'!$B$68:$B$78))/12))</f>
        <v>30</v>
      </c>
      <c r="P27" s="341">
        <f>O27*(1+(INDEX('Inputs &amp; Drivers'!$G$68:$G$78,MATCH(Model!P$4,'Inputs &amp; Drivers'!$B$68:$B$78))/12))</f>
        <v>30</v>
      </c>
      <c r="Q27" s="341">
        <f>P27*(1+(INDEX('Inputs &amp; Drivers'!$G$68:$G$78,MATCH(Model!Q$4,'Inputs &amp; Drivers'!$B$68:$B$78))/12))</f>
        <v>30</v>
      </c>
      <c r="R27" s="341">
        <f>Q27*(1+(INDEX('Inputs &amp; Drivers'!$G$68:$G$78,MATCH(Model!R$4,'Inputs &amp; Drivers'!$B$68:$B$78))/12))</f>
        <v>30</v>
      </c>
      <c r="S27" s="341">
        <f>R27*(1+(INDEX('Inputs &amp; Drivers'!$G$68:$G$78,MATCH(Model!S$4,'Inputs &amp; Drivers'!$B$68:$B$78))/12))</f>
        <v>30</v>
      </c>
      <c r="T27" s="341">
        <f>S27*(1+(INDEX('Inputs &amp; Drivers'!$G$68:$G$78,MATCH(Model!T$4,'Inputs &amp; Drivers'!$B$68:$B$78))/12))</f>
        <v>30</v>
      </c>
      <c r="U27" s="341">
        <f>T27*(1+(INDEX('Inputs &amp; Drivers'!$G$68:$G$78,MATCH(Model!U$4,'Inputs &amp; Drivers'!$B$68:$B$78))/12))</f>
        <v>30.05</v>
      </c>
      <c r="V27" s="341">
        <f>U27*(1+(INDEX('Inputs &amp; Drivers'!$G$68:$G$78,MATCH(Model!V$4,'Inputs &amp; Drivers'!$B$68:$B$78))/12))</f>
        <v>30.100083333333334</v>
      </c>
      <c r="W27" s="341">
        <f>V27*(1+(INDEX('Inputs &amp; Drivers'!$G$68:$G$78,MATCH(Model!W$4,'Inputs &amp; Drivers'!$B$68:$B$78))/12))</f>
        <v>30.150250138888889</v>
      </c>
      <c r="X27" s="341">
        <f>W27*(1+(INDEX('Inputs &amp; Drivers'!$G$68:$G$78,MATCH(Model!X$4,'Inputs &amp; Drivers'!$B$68:$B$78))/12))</f>
        <v>30.200500555787038</v>
      </c>
      <c r="Y27" s="341">
        <f>X27*(1+(INDEX('Inputs &amp; Drivers'!$G$68:$G$78,MATCH(Model!Y$4,'Inputs &amp; Drivers'!$B$68:$B$78))/12))</f>
        <v>30.250834723380017</v>
      </c>
      <c r="Z27" s="341">
        <f>Y27*(1+(INDEX('Inputs &amp; Drivers'!$G$68:$G$78,MATCH(Model!Z$4,'Inputs &amp; Drivers'!$B$68:$B$78))/12))</f>
        <v>30.301252781252316</v>
      </c>
      <c r="AA27" s="341">
        <f>Z27*(1+(INDEX('Inputs &amp; Drivers'!$G$68:$G$78,MATCH(Model!AA$4,'Inputs &amp; Drivers'!$B$68:$B$78))/12))</f>
        <v>30.351754869221072</v>
      </c>
      <c r="AB27" s="341">
        <f>AA27*(1+(INDEX('Inputs &amp; Drivers'!$G$68:$G$78,MATCH(Model!AB$4,'Inputs &amp; Drivers'!$B$68:$B$78))/12))</f>
        <v>30.402341127336442</v>
      </c>
      <c r="AC27" s="341">
        <f>AB27*(1+(INDEX('Inputs &amp; Drivers'!$G$68:$G$78,MATCH(Model!AC$4,'Inputs &amp; Drivers'!$B$68:$B$78))/12))</f>
        <v>30.453011695882005</v>
      </c>
      <c r="AD27" s="341">
        <f>AC27*(1+(INDEX('Inputs &amp; Drivers'!$G$68:$G$78,MATCH(Model!AD$4,'Inputs &amp; Drivers'!$B$68:$B$78))/12))</f>
        <v>30.503766715375143</v>
      </c>
      <c r="AE27" s="341">
        <f>AD27*(1+(INDEX('Inputs &amp; Drivers'!$G$68:$G$78,MATCH(Model!AE$4,'Inputs &amp; Drivers'!$B$68:$B$78))/12))</f>
        <v>30.554606326567438</v>
      </c>
      <c r="AF27" s="341">
        <f>AE27*(1+(INDEX('Inputs &amp; Drivers'!$G$68:$G$78,MATCH(Model!AF$4,'Inputs &amp; Drivers'!$B$68:$B$78))/12))</f>
        <v>30.605530670445052</v>
      </c>
      <c r="AG27" s="341">
        <f>AF27*(1+(INDEX('Inputs &amp; Drivers'!$G$68:$G$78,MATCH(Model!AG$4,'Inputs &amp; Drivers'!$B$68:$B$78))/12))</f>
        <v>30.65653988822913</v>
      </c>
      <c r="AH27" s="341">
        <f>AG27*(1+(INDEX('Inputs &amp; Drivers'!$G$68:$G$78,MATCH(Model!AH$4,'Inputs &amp; Drivers'!$B$68:$B$78))/12))</f>
        <v>30.707634121376181</v>
      </c>
      <c r="AI27" s="341">
        <f>AH27*(1+(INDEX('Inputs &amp; Drivers'!$G$68:$G$78,MATCH(Model!AI$4,'Inputs &amp; Drivers'!$B$68:$B$78))/12))</f>
        <v>30.758813511578477</v>
      </c>
      <c r="AJ27" s="341">
        <f>AI27*(1+(INDEX('Inputs &amp; Drivers'!$G$68:$G$78,MATCH(Model!AJ$4,'Inputs &amp; Drivers'!$B$68:$B$78))/12))</f>
        <v>30.810078200764444</v>
      </c>
      <c r="AK27" s="341">
        <f>AJ27*(1+(INDEX('Inputs &amp; Drivers'!$G$68:$G$78,MATCH(Model!AK$4,'Inputs &amp; Drivers'!$B$68:$B$78))/12))</f>
        <v>30.861428331099052</v>
      </c>
      <c r="AL27" s="341">
        <f>AK27*(1+(INDEX('Inputs &amp; Drivers'!$G$68:$G$78,MATCH(Model!AL$4,'Inputs &amp; Drivers'!$B$68:$B$78))/12))</f>
        <v>30.912864044984218</v>
      </c>
      <c r="AM27" s="341">
        <f>AL27*(1+(INDEX('Inputs &amp; Drivers'!$G$68:$G$78,MATCH(Model!AM$4,'Inputs &amp; Drivers'!$B$68:$B$78))/12))</f>
        <v>30.964385485059193</v>
      </c>
      <c r="AN27" s="341">
        <f>AM27*(1+(INDEX('Inputs &amp; Drivers'!$G$68:$G$78,MATCH(Model!AN$4,'Inputs &amp; Drivers'!$B$68:$B$78))/12))</f>
        <v>31.015992794200958</v>
      </c>
      <c r="AO27" s="341">
        <f>AN27*(1+(INDEX('Inputs &amp; Drivers'!$G$68:$G$78,MATCH(Model!AO$4,'Inputs &amp; Drivers'!$B$68:$B$78))/12))</f>
        <v>31.067686115524626</v>
      </c>
      <c r="AP27" s="341">
        <f>AO27*(1+(INDEX('Inputs &amp; Drivers'!$G$68:$G$78,MATCH(Model!AP$4,'Inputs &amp; Drivers'!$B$68:$B$78))/12))</f>
        <v>31.119465592383836</v>
      </c>
      <c r="AQ27" s="341">
        <f>AP27*(1+(INDEX('Inputs &amp; Drivers'!$G$68:$G$78,MATCH(Model!AQ$4,'Inputs &amp; Drivers'!$B$68:$B$78))/12))</f>
        <v>31.171331368371145</v>
      </c>
      <c r="AR27" s="341">
        <f>AQ27*(1+(INDEX('Inputs &amp; Drivers'!$G$68:$G$78,MATCH(Model!AR$4,'Inputs &amp; Drivers'!$B$68:$B$78))/12))</f>
        <v>31.223283587318431</v>
      </c>
      <c r="AS27" s="341">
        <f>AR27*(1+(INDEX('Inputs &amp; Drivers'!$G$68:$G$78,MATCH(Model!AS$4,'Inputs &amp; Drivers'!$B$68:$B$78))/12))</f>
        <v>31.275322393297294</v>
      </c>
      <c r="AT27" s="341">
        <f>AS27*(1+(INDEX('Inputs &amp; Drivers'!$G$68:$G$78,MATCH(Model!AT$4,'Inputs &amp; Drivers'!$B$68:$B$78))/12))</f>
        <v>31.327447930619456</v>
      </c>
      <c r="AU27" s="341">
        <f>AT27*(1+(INDEX('Inputs &amp; Drivers'!$G$68:$G$78,MATCH(Model!AU$4,'Inputs &amp; Drivers'!$B$68:$B$78))/12))</f>
        <v>31.379660343837156</v>
      </c>
      <c r="AV27" s="341">
        <f>AU27*(1+(INDEX('Inputs &amp; Drivers'!$G$68:$G$78,MATCH(Model!AV$4,'Inputs &amp; Drivers'!$B$68:$B$78))/12))</f>
        <v>31.43195977774355</v>
      </c>
      <c r="AW27" s="341">
        <f>AV27*(1+(INDEX('Inputs &amp; Drivers'!$G$68:$G$78,MATCH(Model!AW$4,'Inputs &amp; Drivers'!$B$68:$B$78))/12))</f>
        <v>31.484346377373125</v>
      </c>
      <c r="AX27" s="341">
        <f>AW27*(1+(INDEX('Inputs &amp; Drivers'!$G$68:$G$78,MATCH(Model!AX$4,'Inputs &amp; Drivers'!$B$68:$B$78))/12))</f>
        <v>31.536820288002083</v>
      </c>
      <c r="AY27" s="341">
        <f>AX27*(1+(INDEX('Inputs &amp; Drivers'!$G$68:$G$78,MATCH(Model!AY$4,'Inputs &amp; Drivers'!$B$68:$B$78))/12))</f>
        <v>31.589381655148756</v>
      </c>
      <c r="AZ27" s="341">
        <f>AY27*(1+(INDEX('Inputs &amp; Drivers'!$G$68:$G$78,MATCH(Model!AZ$4,'Inputs &amp; Drivers'!$B$68:$B$78))/12))</f>
        <v>31.642030624574005</v>
      </c>
      <c r="BA27" s="341">
        <f>AZ27*(1+(INDEX('Inputs &amp; Drivers'!$G$68:$G$78,MATCH(Model!BA$4,'Inputs &amp; Drivers'!$B$68:$B$78))/12))</f>
        <v>31.694767342281629</v>
      </c>
      <c r="BB27" s="341">
        <f>BA27*(1+(INDEX('Inputs &amp; Drivers'!$G$68:$G$78,MATCH(Model!BB$4,'Inputs &amp; Drivers'!$B$68:$B$78))/12))</f>
        <v>31.747591954518768</v>
      </c>
      <c r="BC27" s="341">
        <f>BB27*(1+(INDEX('Inputs &amp; Drivers'!$G$68:$G$78,MATCH(Model!BC$4,'Inputs &amp; Drivers'!$B$68:$B$78))/12))</f>
        <v>31.800504607776301</v>
      </c>
      <c r="BD27" s="341">
        <f>BC27*(1+(INDEX('Inputs &amp; Drivers'!$G$68:$G$78,MATCH(Model!BD$4,'Inputs &amp; Drivers'!$B$68:$B$78))/12))</f>
        <v>31.853505448789264</v>
      </c>
      <c r="BE27" s="341">
        <f>BD27*(1+(INDEX('Inputs &amp; Drivers'!$G$68:$G$78,MATCH(Model!BE$4,'Inputs &amp; Drivers'!$B$68:$B$78))/12))</f>
        <v>31.906594624537249</v>
      </c>
      <c r="BF27" s="341">
        <f>BE27*(1+(INDEX('Inputs &amp; Drivers'!$G$68:$G$78,MATCH(Model!BF$4,'Inputs &amp; Drivers'!$B$68:$B$78))/12))</f>
        <v>31.959772282244813</v>
      </c>
      <c r="BG27" s="341">
        <f>BF27*(1+(INDEX('Inputs &amp; Drivers'!$G$68:$G$78,MATCH(Model!BG$4,'Inputs &amp; Drivers'!$B$68:$B$78))/12))</f>
        <v>32.013038569381891</v>
      </c>
      <c r="BH27" s="341">
        <f>BG27*(1+(INDEX('Inputs &amp; Drivers'!$G$68:$G$78,MATCH(Model!BH$4,'Inputs &amp; Drivers'!$B$68:$B$78))/12))</f>
        <v>32.066393633664198</v>
      </c>
      <c r="BI27" s="341">
        <f>BH27*(1+(INDEX('Inputs &amp; Drivers'!$G$68:$G$78,MATCH(Model!BI$4,'Inputs &amp; Drivers'!$B$68:$B$78))/12))</f>
        <v>32.119837623053641</v>
      </c>
      <c r="BJ27" s="341">
        <f>BI27*(1+(INDEX('Inputs &amp; Drivers'!$G$68:$G$78,MATCH(Model!BJ$4,'Inputs &amp; Drivers'!$B$68:$B$78))/12))</f>
        <v>32.173370685758734</v>
      </c>
      <c r="BK27" s="341">
        <f>BJ27*(1+(INDEX('Inputs &amp; Drivers'!$G$68:$G$78,MATCH(Model!BK$4,'Inputs &amp; Drivers'!$B$68:$B$78))/12))</f>
        <v>32.226992970235003</v>
      </c>
      <c r="BL27" s="341">
        <f>BK27*(1+(INDEX('Inputs &amp; Drivers'!$G$68:$G$78,MATCH(Model!BL$4,'Inputs &amp; Drivers'!$B$68:$B$78))/12))</f>
        <v>32.280704625185393</v>
      </c>
      <c r="BM27" s="341">
        <f>BL27*(1+(INDEX('Inputs &amp; Drivers'!$G$68:$G$78,MATCH(Model!BM$4,'Inputs &amp; Drivers'!$B$68:$B$78))/12))</f>
        <v>32.334505799560702</v>
      </c>
      <c r="BN27" s="341">
        <f>BM27*(1+(INDEX('Inputs &amp; Drivers'!$G$68:$G$78,MATCH(Model!BN$4,'Inputs &amp; Drivers'!$B$68:$B$78))/12))</f>
        <v>32.388396642559968</v>
      </c>
      <c r="BO27" s="341">
        <f>BN27*(1+(INDEX('Inputs &amp; Drivers'!$G$68:$G$78,MATCH(Model!BO$4,'Inputs &amp; Drivers'!$B$68:$B$78))/12))</f>
        <v>32.442377303630906</v>
      </c>
      <c r="BP27" s="341">
        <f>BO27*(1+(INDEX('Inputs &amp; Drivers'!$G$68:$G$78,MATCH(Model!BP$4,'Inputs &amp; Drivers'!$B$68:$B$78))/12))</f>
        <v>32.496447932470289</v>
      </c>
      <c r="BQ27" s="341">
        <f>BP27*(1+(INDEX('Inputs &amp; Drivers'!$G$68:$G$78,MATCH(Model!BQ$4,'Inputs &amp; Drivers'!$B$68:$B$78))/12))</f>
        <v>32.550608679024407</v>
      </c>
      <c r="BR27" s="341">
        <f>BQ27*(1+(INDEX('Inputs &amp; Drivers'!$G$68:$G$78,MATCH(Model!BR$4,'Inputs &amp; Drivers'!$B$68:$B$78))/12))</f>
        <v>32.604859693489452</v>
      </c>
      <c r="BS27" s="341">
        <f>BR27*(1+(INDEX('Inputs &amp; Drivers'!$G$68:$G$78,MATCH(Model!BS$4,'Inputs &amp; Drivers'!$B$68:$B$78))/12))</f>
        <v>32.659201126311935</v>
      </c>
      <c r="BT27" s="341">
        <f>BS27*(1+(INDEX('Inputs &amp; Drivers'!$G$68:$G$78,MATCH(Model!BT$4,'Inputs &amp; Drivers'!$B$68:$B$78))/12))</f>
        <v>32.713633128189123</v>
      </c>
      <c r="BU27" s="341">
        <f>BT27*(1+(INDEX('Inputs &amp; Drivers'!$G$68:$G$78,MATCH(Model!BU$4,'Inputs &amp; Drivers'!$B$68:$B$78))/12))</f>
        <v>32.768155850069441</v>
      </c>
      <c r="BV27" s="341">
        <f>BU27*(1+(INDEX('Inputs &amp; Drivers'!$G$68:$G$78,MATCH(Model!BV$4,'Inputs &amp; Drivers'!$B$68:$B$78))/12))</f>
        <v>32.822769443152893</v>
      </c>
      <c r="BW27" s="341">
        <f>BV27*(1+(INDEX('Inputs &amp; Drivers'!$G$68:$G$78,MATCH(Model!BW$4,'Inputs &amp; Drivers'!$B$68:$B$78))/12))</f>
        <v>32.87747405889148</v>
      </c>
      <c r="BX27" s="341">
        <f>BW27*(1+(INDEX('Inputs &amp; Drivers'!$G$68:$G$78,MATCH(Model!BX$4,'Inputs &amp; Drivers'!$B$68:$B$78))/12))</f>
        <v>32.932269848989634</v>
      </c>
      <c r="BY27" s="341">
        <f>BX27*(1+(INDEX('Inputs &amp; Drivers'!$G$68:$G$78,MATCH(Model!BY$4,'Inputs &amp; Drivers'!$B$68:$B$78))/12))</f>
        <v>32.987156965404616</v>
      </c>
      <c r="BZ27" s="341">
        <f>BY27*(1+(INDEX('Inputs &amp; Drivers'!$G$68:$G$78,MATCH(Model!BZ$4,'Inputs &amp; Drivers'!$B$68:$B$78))/12))</f>
        <v>33.042135560346956</v>
      </c>
      <c r="CA27" s="341">
        <f>BZ27*(1+(INDEX('Inputs &amp; Drivers'!$G$68:$G$78,MATCH(Model!CA$4,'Inputs &amp; Drivers'!$B$68:$B$78))/12))</f>
        <v>33.097205786280867</v>
      </c>
      <c r="CB27" s="341">
        <f>CA27*(1+(INDEX('Inputs &amp; Drivers'!$G$68:$G$78,MATCH(Model!CB$4,'Inputs &amp; Drivers'!$B$68:$B$78))/12))</f>
        <v>33.152367795924668</v>
      </c>
      <c r="CC27" s="341">
        <f>CB27*(1+(INDEX('Inputs &amp; Drivers'!$G$68:$G$78,MATCH(Model!CC$4,'Inputs &amp; Drivers'!$B$68:$B$78))/12))</f>
        <v>33.207621742251213</v>
      </c>
      <c r="CD27" s="341">
        <f>CC27*(1+(INDEX('Inputs &amp; Drivers'!$G$68:$G$78,MATCH(Model!CD$4,'Inputs &amp; Drivers'!$B$68:$B$78))/12))</f>
        <v>33.262967778488303</v>
      </c>
      <c r="CE27" s="341">
        <f>CD27*(1+(INDEX('Inputs &amp; Drivers'!$G$68:$G$78,MATCH(Model!CE$4,'Inputs &amp; Drivers'!$B$68:$B$78))/12))</f>
        <v>33.318406058119116</v>
      </c>
      <c r="CF27" s="341">
        <f>CE27*(1+(INDEX('Inputs &amp; Drivers'!$G$68:$G$78,MATCH(Model!CF$4,'Inputs &amp; Drivers'!$B$68:$B$78))/12))</f>
        <v>33.373936734882648</v>
      </c>
      <c r="CG27" s="341">
        <f>CF27*(1+(INDEX('Inputs &amp; Drivers'!$G$68:$G$78,MATCH(Model!CG$4,'Inputs &amp; Drivers'!$B$68:$B$78))/12))</f>
        <v>33.429559962774121</v>
      </c>
      <c r="CH27" s="341">
        <f>CG27*(1+(INDEX('Inputs &amp; Drivers'!$G$68:$G$78,MATCH(Model!CH$4,'Inputs &amp; Drivers'!$B$68:$B$78))/12))</f>
        <v>33.485275896045415</v>
      </c>
      <c r="CI27" s="341">
        <f>CH27*(1+(INDEX('Inputs &amp; Drivers'!$G$68:$G$78,MATCH(Model!CI$4,'Inputs &amp; Drivers'!$B$68:$B$78))/12))</f>
        <v>33.541084689205491</v>
      </c>
      <c r="CJ27" s="341">
        <f>CI27*(1+(INDEX('Inputs &amp; Drivers'!$G$68:$G$78,MATCH(Model!CJ$4,'Inputs &amp; Drivers'!$B$68:$B$78))/12))</f>
        <v>33.596986497020836</v>
      </c>
      <c r="CK27" s="341">
        <f>CJ27*(1+(INDEX('Inputs &amp; Drivers'!$G$68:$G$78,MATCH(Model!CK$4,'Inputs &amp; Drivers'!$B$68:$B$78))/12))</f>
        <v>33.652981474515869</v>
      </c>
      <c r="CL27" s="341">
        <f>CK27*(1+(INDEX('Inputs &amp; Drivers'!$G$68:$G$78,MATCH(Model!CL$4,'Inputs &amp; Drivers'!$B$68:$B$78))/12))</f>
        <v>33.709069776973394</v>
      </c>
      <c r="CM27" s="341">
        <f>CL27*(1+(INDEX('Inputs &amp; Drivers'!$G$68:$G$78,MATCH(Model!CM$4,'Inputs &amp; Drivers'!$B$68:$B$78))/12))</f>
        <v>33.765251559935017</v>
      </c>
      <c r="CN27" s="341">
        <f>CM27*(1+(INDEX('Inputs &amp; Drivers'!$G$68:$G$78,MATCH(Model!CN$4,'Inputs &amp; Drivers'!$B$68:$B$78))/12))</f>
        <v>33.821526979201579</v>
      </c>
      <c r="CO27" s="341">
        <f>CN27*(1+(INDEX('Inputs &amp; Drivers'!$G$68:$G$78,MATCH(Model!CO$4,'Inputs &amp; Drivers'!$B$68:$B$78))/12))</f>
        <v>33.877896190833582</v>
      </c>
      <c r="CP27" s="341">
        <f>CO27*(1+(INDEX('Inputs &amp; Drivers'!$G$68:$G$78,MATCH(Model!CP$4,'Inputs &amp; Drivers'!$B$68:$B$78))/12))</f>
        <v>33.934359351151642</v>
      </c>
      <c r="CQ27" s="341">
        <f>CP27*(1+(INDEX('Inputs &amp; Drivers'!$G$68:$G$78,MATCH(Model!CQ$4,'Inputs &amp; Drivers'!$B$68:$B$78))/12))</f>
        <v>33.990916616736897</v>
      </c>
      <c r="CR27" s="341">
        <f>CQ27*(1+(INDEX('Inputs &amp; Drivers'!$G$68:$G$78,MATCH(Model!CR$4,'Inputs &amp; Drivers'!$B$68:$B$78))/12))</f>
        <v>34.047568144431459</v>
      </c>
      <c r="CS27" s="341">
        <f>CR27*(1+(INDEX('Inputs &amp; Drivers'!$G$68:$G$78,MATCH(Model!CS$4,'Inputs &amp; Drivers'!$B$68:$B$78))/12))</f>
        <v>34.104314091338843</v>
      </c>
      <c r="CT27" s="341">
        <f>CS27*(1+(INDEX('Inputs &amp; Drivers'!$G$68:$G$78,MATCH(Model!CT$4,'Inputs &amp; Drivers'!$B$68:$B$78))/12))</f>
        <v>34.161154614824412</v>
      </c>
      <c r="CU27" s="341">
        <f>CT27*(1+(INDEX('Inputs &amp; Drivers'!$G$68:$G$78,MATCH(Model!CU$4,'Inputs &amp; Drivers'!$B$68:$B$78))/12))</f>
        <v>34.21808987251579</v>
      </c>
      <c r="CV27" s="341">
        <f>CU27*(1+(INDEX('Inputs &amp; Drivers'!$G$68:$G$78,MATCH(Model!CV$4,'Inputs &amp; Drivers'!$B$68:$B$78))/12))</f>
        <v>34.275120022303319</v>
      </c>
      <c r="CW27" s="341">
        <f>CV27*(1+(INDEX('Inputs &amp; Drivers'!$G$68:$G$78,MATCH(Model!CW$4,'Inputs &amp; Drivers'!$B$68:$B$78))/12))</f>
        <v>34.332245222340489</v>
      </c>
      <c r="CX27" s="341">
        <f>CW27*(1+(INDEX('Inputs &amp; Drivers'!$G$68:$G$78,MATCH(Model!CX$4,'Inputs &amp; Drivers'!$B$68:$B$78))/12))</f>
        <v>34.389465631044395</v>
      </c>
      <c r="CY27" s="341">
        <f>CX27*(1+(INDEX('Inputs &amp; Drivers'!$G$68:$G$78,MATCH(Model!CY$4,'Inputs &amp; Drivers'!$B$68:$B$78))/12))</f>
        <v>34.44678140709614</v>
      </c>
      <c r="CZ27" s="341">
        <f>CY27*(1+(INDEX('Inputs &amp; Drivers'!$G$68:$G$78,MATCH(Model!CZ$4,'Inputs &amp; Drivers'!$B$68:$B$78))/12))</f>
        <v>34.504192709441298</v>
      </c>
      <c r="DA27" s="341">
        <f>CZ27*(1+(INDEX('Inputs &amp; Drivers'!$G$68:$G$78,MATCH(Model!DA$4,'Inputs &amp; Drivers'!$B$68:$B$78))/12))</f>
        <v>34.561699697290365</v>
      </c>
      <c r="DB27" s="341">
        <f>DA27*(1+(INDEX('Inputs &amp; Drivers'!$G$68:$G$78,MATCH(Model!DB$4,'Inputs &amp; Drivers'!$B$68:$B$78))/12))</f>
        <v>34.619302530119185</v>
      </c>
      <c r="DC27" s="341">
        <f>DB27*(1+(INDEX('Inputs &amp; Drivers'!$G$68:$G$78,MATCH(Model!DC$4,'Inputs &amp; Drivers'!$B$68:$B$78))/12))</f>
        <v>34.677001367669384</v>
      </c>
      <c r="DD27" s="341">
        <f>DC27*(1+(INDEX('Inputs &amp; Drivers'!$G$68:$G$78,MATCH(Model!DD$4,'Inputs &amp; Drivers'!$B$68:$B$78))/12))</f>
        <v>34.734796369948832</v>
      </c>
      <c r="DE27" s="341">
        <f>DD27*(1+(INDEX('Inputs &amp; Drivers'!$G$68:$G$78,MATCH(Model!DE$4,'Inputs &amp; Drivers'!$B$68:$B$78))/12))</f>
        <v>34.792687697232083</v>
      </c>
      <c r="DF27" s="341">
        <f>DE27*(1+(INDEX('Inputs &amp; Drivers'!$G$68:$G$78,MATCH(Model!DF$4,'Inputs &amp; Drivers'!$B$68:$B$78))/12))</f>
        <v>34.850675510060803</v>
      </c>
      <c r="DG27" s="341">
        <f>DF27*(1+(INDEX('Inputs &amp; Drivers'!$G$68:$G$78,MATCH(Model!DG$4,'Inputs &amp; Drivers'!$B$68:$B$78))/12))</f>
        <v>34.908759969244237</v>
      </c>
      <c r="DH27" s="341">
        <f>DG27*(1+(INDEX('Inputs &amp; Drivers'!$G$68:$G$78,MATCH(Model!DH$4,'Inputs &amp; Drivers'!$B$68:$B$78))/12))</f>
        <v>34.966941235859643</v>
      </c>
      <c r="DI27" s="341">
        <f>DH27*(1+(INDEX('Inputs &amp; Drivers'!$G$68:$G$78,MATCH(Model!DI$4,'Inputs &amp; Drivers'!$B$68:$B$78))/12))</f>
        <v>35.025219471252747</v>
      </c>
      <c r="DJ27" s="341">
        <f>DI27*(1+(INDEX('Inputs &amp; Drivers'!$G$68:$G$78,MATCH(Model!DJ$4,'Inputs &amp; Drivers'!$B$68:$B$78))/12))</f>
        <v>35.08359483703817</v>
      </c>
      <c r="DK27" s="341">
        <f>DJ27*(1+(INDEX('Inputs &amp; Drivers'!$G$68:$G$78,MATCH(Model!DK$4,'Inputs &amp; Drivers'!$B$68:$B$78))/12))</f>
        <v>35.142067495099901</v>
      </c>
      <c r="DL27" s="341">
        <f>DK27*(1+(INDEX('Inputs &amp; Drivers'!$G$68:$G$78,MATCH(Model!DL$4,'Inputs &amp; Drivers'!$B$68:$B$78))/12))</f>
        <v>35.200637607591737</v>
      </c>
      <c r="DM27" s="341">
        <f>DL27*(1+(INDEX('Inputs &amp; Drivers'!$G$68:$G$78,MATCH(Model!DM$4,'Inputs &amp; Drivers'!$B$68:$B$78))/12))</f>
        <v>35.259305336937722</v>
      </c>
      <c r="DN27" s="341">
        <f>DM27*(1+(INDEX('Inputs &amp; Drivers'!$G$68:$G$78,MATCH(Model!DN$4,'Inputs &amp; Drivers'!$B$68:$B$78))/12))</f>
        <v>35.318070845832622</v>
      </c>
      <c r="DO27" s="341">
        <f>DN27*(1+(INDEX('Inputs &amp; Drivers'!$G$68:$G$78,MATCH(Model!DO$4,'Inputs &amp; Drivers'!$B$68:$B$78))/12))</f>
        <v>35.376934297242343</v>
      </c>
      <c r="DP27" s="341">
        <f>DO27*(1+(INDEX('Inputs &amp; Drivers'!$G$68:$G$78,MATCH(Model!DP$4,'Inputs &amp; Drivers'!$B$68:$B$78))/12))</f>
        <v>35.435895854404414</v>
      </c>
      <c r="DQ27" s="341">
        <f>DP27*(1+(INDEX('Inputs &amp; Drivers'!$G$68:$G$78,MATCH(Model!DQ$4,'Inputs &amp; Drivers'!$B$68:$B$78))/12))</f>
        <v>35.494955680828426</v>
      </c>
      <c r="DR27" s="341">
        <f>DQ27*(1+(INDEX('Inputs &amp; Drivers'!$G$68:$G$78,MATCH(Model!DR$4,'Inputs &amp; Drivers'!$B$68:$B$78))/12))</f>
        <v>35.554113940296475</v>
      </c>
      <c r="DS27" s="341">
        <f>DR27*(1+(INDEX('Inputs &amp; Drivers'!$G$68:$G$78,MATCH(Model!DS$4,'Inputs &amp; Drivers'!$B$68:$B$78))/12))</f>
        <v>35.613370796863634</v>
      </c>
      <c r="DT27" s="341">
        <f>DS27*(1+(INDEX('Inputs &amp; Drivers'!$G$68:$G$78,MATCH(Model!DT$4,'Inputs &amp; Drivers'!$B$68:$B$78))/12))</f>
        <v>35.67272641485841</v>
      </c>
      <c r="DU27" s="341">
        <f>DT27*(1+(INDEX('Inputs &amp; Drivers'!$G$68:$G$78,MATCH(Model!DU$4,'Inputs &amp; Drivers'!$B$68:$B$78))/12))</f>
        <v>35.732180958883177</v>
      </c>
      <c r="DV27" s="341">
        <f>DU27*(1+(INDEX('Inputs &amp; Drivers'!$G$68:$G$78,MATCH(Model!DV$4,'Inputs &amp; Drivers'!$B$68:$B$78))/12))</f>
        <v>35.791734593814652</v>
      </c>
      <c r="DW27" s="341">
        <f>DV27*(1+(INDEX('Inputs &amp; Drivers'!$G$68:$G$78,MATCH(Model!DW$4,'Inputs &amp; Drivers'!$B$68:$B$78))/12))</f>
        <v>35.851387484804341</v>
      </c>
      <c r="DX27" s="341">
        <f>DW27*(1+(INDEX('Inputs &amp; Drivers'!$G$68:$G$78,MATCH(Model!DX$4,'Inputs &amp; Drivers'!$B$68:$B$78))/12))</f>
        <v>35.91113979727902</v>
      </c>
      <c r="DY27" s="341">
        <f>DX27*(1+(INDEX('Inputs &amp; Drivers'!$G$68:$G$78,MATCH(Model!DY$4,'Inputs &amp; Drivers'!$B$68:$B$78))/12))</f>
        <v>35.970991696941155</v>
      </c>
      <c r="DZ27" s="341">
        <f>DY27*(1+(INDEX('Inputs &amp; Drivers'!$G$68:$G$78,MATCH(Model!DZ$4,'Inputs &amp; Drivers'!$B$68:$B$78))/12))</f>
        <v>36.030943349769395</v>
      </c>
      <c r="EA27" s="341">
        <f>DZ27*(1+(INDEX('Inputs &amp; Drivers'!$G$68:$G$78,MATCH(Model!EA$4,'Inputs &amp; Drivers'!$B$68:$B$78))/12))</f>
        <v>36.090994922019014</v>
      </c>
      <c r="EB27" s="341">
        <f>EA27*(1+(INDEX('Inputs &amp; Drivers'!$G$68:$G$78,MATCH(Model!EB$4,'Inputs &amp; Drivers'!$B$68:$B$78))/12))</f>
        <v>36.151146580222381</v>
      </c>
      <c r="EC27" s="341">
        <f>EB27*(1+(INDEX('Inputs &amp; Drivers'!$G$68:$G$78,MATCH(Model!EC$4,'Inputs &amp; Drivers'!$B$68:$B$78))/12))</f>
        <v>36.211398491189421</v>
      </c>
      <c r="ED27" s="341">
        <f>EC27*(1+(INDEX('Inputs &amp; Drivers'!$G$68:$G$78,MATCH(Model!ED$4,'Inputs &amp; Drivers'!$B$68:$B$78))/12))</f>
        <v>36.271750822008073</v>
      </c>
      <c r="EE27" s="341">
        <f>ED27*(1+(INDEX('Inputs &amp; Drivers'!$G$68:$G$78,MATCH(Model!EE$4,'Inputs &amp; Drivers'!$B$68:$B$78))/12))</f>
        <v>36.332203740044754</v>
      </c>
      <c r="EF27" s="341">
        <f>EE27*(1+(INDEX('Inputs &amp; Drivers'!$G$68:$G$78,MATCH(Model!EF$4,'Inputs &amp; Drivers'!$B$68:$B$78))/12))</f>
        <v>36.392757412944832</v>
      </c>
      <c r="EG27" s="341">
        <f>EF27*(1+(INDEX('Inputs &amp; Drivers'!$G$68:$G$78,MATCH(Model!EG$4,'Inputs &amp; Drivers'!$B$68:$B$78))/12))</f>
        <v>36.453412008633073</v>
      </c>
      <c r="EH27" s="341">
        <f>EG27*(1+(INDEX('Inputs &amp; Drivers'!$G$68:$G$78,MATCH(Model!EH$4,'Inputs &amp; Drivers'!$B$68:$B$78))/12))</f>
        <v>36.514167695314129</v>
      </c>
      <c r="EI27" s="341">
        <f>EH27*(1+(INDEX('Inputs &amp; Drivers'!$G$68:$G$78,MATCH(Model!EI$4,'Inputs &amp; Drivers'!$B$68:$B$78))/12))</f>
        <v>36.575024641472986</v>
      </c>
      <c r="EJ27" s="341">
        <f>EI27*(1+(INDEX('Inputs &amp; Drivers'!$G$68:$G$78,MATCH(Model!EJ$4,'Inputs &amp; Drivers'!$B$68:$B$78))/12))</f>
        <v>36.635983015875439</v>
      </c>
      <c r="EL27" s="12">
        <f>SUMIF($H$6:$EJ$6,EL$6,$H27:$EJ27)</f>
        <v>30</v>
      </c>
      <c r="EM27" s="12">
        <f t="shared" ref="EM27:EW27" si="147">SUMIF($H$6:$EJ$6,EM$6,$H27:$EJ27)</f>
        <v>30</v>
      </c>
      <c r="EN27" s="12">
        <f t="shared" si="147"/>
        <v>30.605530670445052</v>
      </c>
      <c r="EO27" s="12">
        <f t="shared" si="147"/>
        <v>31.223283587318431</v>
      </c>
      <c r="EP27" s="12">
        <f t="shared" si="147"/>
        <v>31.853505448789264</v>
      </c>
      <c r="EQ27" s="12">
        <f t="shared" si="147"/>
        <v>32.496447932470289</v>
      </c>
      <c r="ER27" s="12">
        <f t="shared" si="147"/>
        <v>33.152367795924668</v>
      </c>
      <c r="ES27" s="12">
        <f t="shared" si="147"/>
        <v>33.821526979201579</v>
      </c>
      <c r="ET27" s="12">
        <f t="shared" si="147"/>
        <v>34.504192709441298</v>
      </c>
      <c r="EU27" s="12">
        <f t="shared" si="147"/>
        <v>35.200637607591737</v>
      </c>
      <c r="EV27" s="12">
        <f t="shared" si="147"/>
        <v>35.91113979727902</v>
      </c>
      <c r="EW27" s="12">
        <f t="shared" si="147"/>
        <v>36.635983015875439</v>
      </c>
    </row>
    <row r="28" spans="2:153" outlineLevel="1" x14ac:dyDescent="0.4">
      <c r="B28" s="1" t="s">
        <v>279</v>
      </c>
      <c r="H28" s="83">
        <v>100</v>
      </c>
      <c r="I28" s="341">
        <f>H28*(1+(INDEX('Inputs &amp; Drivers'!$G$68:$G$78,MATCH(Model!I$4,'Inputs &amp; Drivers'!$B$68:$B$78))/12))</f>
        <v>100</v>
      </c>
      <c r="J28" s="341">
        <f>I28*(1+(INDEX('Inputs &amp; Drivers'!$G$68:$G$78,MATCH(Model!J$4,'Inputs &amp; Drivers'!$B$68:$B$78))/12))</f>
        <v>100</v>
      </c>
      <c r="K28" s="341">
        <f>J28*(1+(INDEX('Inputs &amp; Drivers'!$G$68:$G$78,MATCH(Model!K$4,'Inputs &amp; Drivers'!$B$68:$B$78))/12))</f>
        <v>100</v>
      </c>
      <c r="L28" s="341">
        <f>K28*(1+(INDEX('Inputs &amp; Drivers'!$G$68:$G$78,MATCH(Model!L$4,'Inputs &amp; Drivers'!$B$68:$B$78))/12))</f>
        <v>100</v>
      </c>
      <c r="M28" s="341">
        <f>L28*(1+(INDEX('Inputs &amp; Drivers'!$G$68:$G$78,MATCH(Model!M$4,'Inputs &amp; Drivers'!$B$68:$B$78))/12))</f>
        <v>100</v>
      </c>
      <c r="N28" s="341">
        <f>M28*(1+(INDEX('Inputs &amp; Drivers'!$G$68:$G$78,MATCH(Model!N$4,'Inputs &amp; Drivers'!$B$68:$B$78))/12))</f>
        <v>100</v>
      </c>
      <c r="O28" s="341">
        <f>N28*(1+(INDEX('Inputs &amp; Drivers'!$G$68:$G$78,MATCH(Model!O$4,'Inputs &amp; Drivers'!$B$68:$B$78))/12))</f>
        <v>100</v>
      </c>
      <c r="P28" s="341">
        <f>O28*(1+(INDEX('Inputs &amp; Drivers'!$G$68:$G$78,MATCH(Model!P$4,'Inputs &amp; Drivers'!$B$68:$B$78))/12))</f>
        <v>100</v>
      </c>
      <c r="Q28" s="341">
        <f>P28*(1+(INDEX('Inputs &amp; Drivers'!$G$68:$G$78,MATCH(Model!Q$4,'Inputs &amp; Drivers'!$B$68:$B$78))/12))</f>
        <v>100</v>
      </c>
      <c r="R28" s="341">
        <f>Q28*(1+(INDEX('Inputs &amp; Drivers'!$G$68:$G$78,MATCH(Model!R$4,'Inputs &amp; Drivers'!$B$68:$B$78))/12))</f>
        <v>100</v>
      </c>
      <c r="S28" s="341">
        <f>R28*(1+(INDEX('Inputs &amp; Drivers'!$G$68:$G$78,MATCH(Model!S$4,'Inputs &amp; Drivers'!$B$68:$B$78))/12))</f>
        <v>100</v>
      </c>
      <c r="T28" s="341">
        <f>S28*(1+(INDEX('Inputs &amp; Drivers'!$G$68:$G$78,MATCH(Model!T$4,'Inputs &amp; Drivers'!$B$68:$B$78))/12))</f>
        <v>100</v>
      </c>
      <c r="U28" s="341">
        <f>T28*(1+(INDEX('Inputs &amp; Drivers'!$G$68:$G$78,MATCH(Model!U$4,'Inputs &amp; Drivers'!$B$68:$B$78))/12))</f>
        <v>100.16666666666667</v>
      </c>
      <c r="V28" s="341">
        <f>U28*(1+(INDEX('Inputs &amp; Drivers'!$G$68:$G$78,MATCH(Model!V$4,'Inputs &amp; Drivers'!$B$68:$B$78))/12))</f>
        <v>100.33361111111113</v>
      </c>
      <c r="W28" s="341">
        <f>V28*(1+(INDEX('Inputs &amp; Drivers'!$G$68:$G$78,MATCH(Model!W$4,'Inputs &amp; Drivers'!$B$68:$B$78))/12))</f>
        <v>100.50083379629632</v>
      </c>
      <c r="X28" s="341">
        <f>W28*(1+(INDEX('Inputs &amp; Drivers'!$G$68:$G$78,MATCH(Model!X$4,'Inputs &amp; Drivers'!$B$68:$B$78))/12))</f>
        <v>100.66833518595682</v>
      </c>
      <c r="Y28" s="341">
        <f>X28*(1+(INDEX('Inputs &amp; Drivers'!$G$68:$G$78,MATCH(Model!Y$4,'Inputs &amp; Drivers'!$B$68:$B$78))/12))</f>
        <v>100.83611574460008</v>
      </c>
      <c r="Z28" s="341">
        <f>Y28*(1+(INDEX('Inputs &amp; Drivers'!$G$68:$G$78,MATCH(Model!Z$4,'Inputs &amp; Drivers'!$B$68:$B$78))/12))</f>
        <v>101.00417593750775</v>
      </c>
      <c r="AA28" s="341">
        <f>Z28*(1+(INDEX('Inputs &amp; Drivers'!$G$68:$G$78,MATCH(Model!AA$4,'Inputs &amp; Drivers'!$B$68:$B$78))/12))</f>
        <v>101.17251623073693</v>
      </c>
      <c r="AB28" s="341">
        <f>AA28*(1+(INDEX('Inputs &amp; Drivers'!$G$68:$G$78,MATCH(Model!AB$4,'Inputs &amp; Drivers'!$B$68:$B$78))/12))</f>
        <v>101.3411370911215</v>
      </c>
      <c r="AC28" s="341">
        <f>AB28*(1+(INDEX('Inputs &amp; Drivers'!$G$68:$G$78,MATCH(Model!AC$4,'Inputs &amp; Drivers'!$B$68:$B$78))/12))</f>
        <v>101.51003898627337</v>
      </c>
      <c r="AD28" s="341">
        <f>AC28*(1+(INDEX('Inputs &amp; Drivers'!$G$68:$G$78,MATCH(Model!AD$4,'Inputs &amp; Drivers'!$B$68:$B$78))/12))</f>
        <v>101.67922238458384</v>
      </c>
      <c r="AE28" s="341">
        <f>AD28*(1+(INDEX('Inputs &amp; Drivers'!$G$68:$G$78,MATCH(Model!AE$4,'Inputs &amp; Drivers'!$B$68:$B$78))/12))</f>
        <v>101.84868775522482</v>
      </c>
      <c r="AF28" s="341">
        <f>AE28*(1+(INDEX('Inputs &amp; Drivers'!$G$68:$G$78,MATCH(Model!AF$4,'Inputs &amp; Drivers'!$B$68:$B$78))/12))</f>
        <v>102.0184355681502</v>
      </c>
      <c r="AG28" s="341">
        <f>AF28*(1+(INDEX('Inputs &amp; Drivers'!$G$68:$G$78,MATCH(Model!AG$4,'Inputs &amp; Drivers'!$B$68:$B$78))/12))</f>
        <v>102.18846629409711</v>
      </c>
      <c r="AH28" s="341">
        <f>AG28*(1+(INDEX('Inputs &amp; Drivers'!$G$68:$G$78,MATCH(Model!AH$4,'Inputs &amp; Drivers'!$B$68:$B$78))/12))</f>
        <v>102.35878040458728</v>
      </c>
      <c r="AI28" s="341">
        <f>AH28*(1+(INDEX('Inputs &amp; Drivers'!$G$68:$G$78,MATCH(Model!AI$4,'Inputs &amp; Drivers'!$B$68:$B$78))/12))</f>
        <v>102.52937837192826</v>
      </c>
      <c r="AJ28" s="341">
        <f>AI28*(1+(INDEX('Inputs &amp; Drivers'!$G$68:$G$78,MATCH(Model!AJ$4,'Inputs &amp; Drivers'!$B$68:$B$78))/12))</f>
        <v>102.70026066921481</v>
      </c>
      <c r="AK28" s="341">
        <f>AJ28*(1+(INDEX('Inputs &amp; Drivers'!$G$68:$G$78,MATCH(Model!AK$4,'Inputs &amp; Drivers'!$B$68:$B$78))/12))</f>
        <v>102.87142777033017</v>
      </c>
      <c r="AL28" s="341">
        <f>AK28*(1+(INDEX('Inputs &amp; Drivers'!$G$68:$G$78,MATCH(Model!AL$4,'Inputs &amp; Drivers'!$B$68:$B$78))/12))</f>
        <v>103.04288014994739</v>
      </c>
      <c r="AM28" s="341">
        <f>AL28*(1+(INDEX('Inputs &amp; Drivers'!$G$68:$G$78,MATCH(Model!AM$4,'Inputs &amp; Drivers'!$B$68:$B$78))/12))</f>
        <v>103.21461828353064</v>
      </c>
      <c r="AN28" s="341">
        <f>AM28*(1+(INDEX('Inputs &amp; Drivers'!$G$68:$G$78,MATCH(Model!AN$4,'Inputs &amp; Drivers'!$B$68:$B$78))/12))</f>
        <v>103.38664264733653</v>
      </c>
      <c r="AO28" s="341">
        <f>AN28*(1+(INDEX('Inputs &amp; Drivers'!$G$68:$G$78,MATCH(Model!AO$4,'Inputs &amp; Drivers'!$B$68:$B$78))/12))</f>
        <v>103.55895371841542</v>
      </c>
      <c r="AP28" s="341">
        <f>AO28*(1+(INDEX('Inputs &amp; Drivers'!$G$68:$G$78,MATCH(Model!AP$4,'Inputs &amp; Drivers'!$B$68:$B$78))/12))</f>
        <v>103.73155197461278</v>
      </c>
      <c r="AQ28" s="341">
        <f>AP28*(1+(INDEX('Inputs &amp; Drivers'!$G$68:$G$78,MATCH(Model!AQ$4,'Inputs &amp; Drivers'!$B$68:$B$78))/12))</f>
        <v>103.90443789457048</v>
      </c>
      <c r="AR28" s="341">
        <f>AQ28*(1+(INDEX('Inputs &amp; Drivers'!$G$68:$G$78,MATCH(Model!AR$4,'Inputs &amp; Drivers'!$B$68:$B$78))/12))</f>
        <v>104.0776119577281</v>
      </c>
      <c r="AS28" s="341">
        <f>AR28*(1+(INDEX('Inputs &amp; Drivers'!$G$68:$G$78,MATCH(Model!AS$4,'Inputs &amp; Drivers'!$B$68:$B$78))/12))</f>
        <v>104.25107464432432</v>
      </c>
      <c r="AT28" s="341">
        <f>AS28*(1+(INDEX('Inputs &amp; Drivers'!$G$68:$G$78,MATCH(Model!AT$4,'Inputs &amp; Drivers'!$B$68:$B$78))/12))</f>
        <v>104.4248264353982</v>
      </c>
      <c r="AU28" s="341">
        <f>AT28*(1+(INDEX('Inputs &amp; Drivers'!$G$68:$G$78,MATCH(Model!AU$4,'Inputs &amp; Drivers'!$B$68:$B$78))/12))</f>
        <v>104.59886781279053</v>
      </c>
      <c r="AV28" s="341">
        <f>AU28*(1+(INDEX('Inputs &amp; Drivers'!$G$68:$G$78,MATCH(Model!AV$4,'Inputs &amp; Drivers'!$B$68:$B$78))/12))</f>
        <v>104.77319925914519</v>
      </c>
      <c r="AW28" s="341">
        <f>AV28*(1+(INDEX('Inputs &amp; Drivers'!$G$68:$G$78,MATCH(Model!AW$4,'Inputs &amp; Drivers'!$B$68:$B$78))/12))</f>
        <v>104.94782125791043</v>
      </c>
      <c r="AX28" s="341">
        <f>AW28*(1+(INDEX('Inputs &amp; Drivers'!$G$68:$G$78,MATCH(Model!AX$4,'Inputs &amp; Drivers'!$B$68:$B$78))/12))</f>
        <v>105.12273429334029</v>
      </c>
      <c r="AY28" s="341">
        <f>AX28*(1+(INDEX('Inputs &amp; Drivers'!$G$68:$G$78,MATCH(Model!AY$4,'Inputs &amp; Drivers'!$B$68:$B$78))/12))</f>
        <v>105.29793885049585</v>
      </c>
      <c r="AZ28" s="341">
        <f>AY28*(1+(INDEX('Inputs &amp; Drivers'!$G$68:$G$78,MATCH(Model!AZ$4,'Inputs &amp; Drivers'!$B$68:$B$78))/12))</f>
        <v>105.47343541524668</v>
      </c>
      <c r="BA28" s="341">
        <f>AZ28*(1+(INDEX('Inputs &amp; Drivers'!$G$68:$G$78,MATCH(Model!BA$4,'Inputs &amp; Drivers'!$B$68:$B$78))/12))</f>
        <v>105.6492244742721</v>
      </c>
      <c r="BB28" s="341">
        <f>BA28*(1+(INDEX('Inputs &amp; Drivers'!$G$68:$G$78,MATCH(Model!BB$4,'Inputs &amp; Drivers'!$B$68:$B$78))/12))</f>
        <v>105.82530651506256</v>
      </c>
      <c r="BC28" s="341">
        <f>BB28*(1+(INDEX('Inputs &amp; Drivers'!$G$68:$G$78,MATCH(Model!BC$4,'Inputs &amp; Drivers'!$B$68:$B$78))/12))</f>
        <v>106.001682025921</v>
      </c>
      <c r="BD28" s="341">
        <f>BC28*(1+(INDEX('Inputs &amp; Drivers'!$G$68:$G$78,MATCH(Model!BD$4,'Inputs &amp; Drivers'!$B$68:$B$78))/12))</f>
        <v>106.17835149596421</v>
      </c>
      <c r="BE28" s="341">
        <f>BD28*(1+(INDEX('Inputs &amp; Drivers'!$G$68:$G$78,MATCH(Model!BE$4,'Inputs &amp; Drivers'!$B$68:$B$78))/12))</f>
        <v>106.35531541512415</v>
      </c>
      <c r="BF28" s="341">
        <f>BE28*(1+(INDEX('Inputs &amp; Drivers'!$G$68:$G$78,MATCH(Model!BF$4,'Inputs &amp; Drivers'!$B$68:$B$78))/12))</f>
        <v>106.53257427414937</v>
      </c>
      <c r="BG28" s="341">
        <f>BF28*(1+(INDEX('Inputs &amp; Drivers'!$G$68:$G$78,MATCH(Model!BG$4,'Inputs &amp; Drivers'!$B$68:$B$78))/12))</f>
        <v>106.71012856460629</v>
      </c>
      <c r="BH28" s="341">
        <f>BG28*(1+(INDEX('Inputs &amp; Drivers'!$G$68:$G$78,MATCH(Model!BH$4,'Inputs &amp; Drivers'!$B$68:$B$78))/12))</f>
        <v>106.88797877888064</v>
      </c>
      <c r="BI28" s="341">
        <f>BH28*(1+(INDEX('Inputs &amp; Drivers'!$G$68:$G$78,MATCH(Model!BI$4,'Inputs &amp; Drivers'!$B$68:$B$78))/12))</f>
        <v>107.06612541017877</v>
      </c>
      <c r="BJ28" s="341">
        <f>BI28*(1+(INDEX('Inputs &amp; Drivers'!$G$68:$G$78,MATCH(Model!BJ$4,'Inputs &amp; Drivers'!$B$68:$B$78))/12))</f>
        <v>107.24456895252908</v>
      </c>
      <c r="BK28" s="341">
        <f>BJ28*(1+(INDEX('Inputs &amp; Drivers'!$G$68:$G$78,MATCH(Model!BK$4,'Inputs &amp; Drivers'!$B$68:$B$78))/12))</f>
        <v>107.42330990078329</v>
      </c>
      <c r="BL28" s="341">
        <f>BK28*(1+(INDEX('Inputs &amp; Drivers'!$G$68:$G$78,MATCH(Model!BL$4,'Inputs &amp; Drivers'!$B$68:$B$78))/12))</f>
        <v>107.60234875061794</v>
      </c>
      <c r="BM28" s="341">
        <f>BL28*(1+(INDEX('Inputs &amp; Drivers'!$G$68:$G$78,MATCH(Model!BM$4,'Inputs &amp; Drivers'!$B$68:$B$78))/12))</f>
        <v>107.78168599853564</v>
      </c>
      <c r="BN28" s="341">
        <f>BM28*(1+(INDEX('Inputs &amp; Drivers'!$G$68:$G$78,MATCH(Model!BN$4,'Inputs &amp; Drivers'!$B$68:$B$78))/12))</f>
        <v>107.96132214186653</v>
      </c>
      <c r="BO28" s="341">
        <f>BN28*(1+(INDEX('Inputs &amp; Drivers'!$G$68:$G$78,MATCH(Model!BO$4,'Inputs &amp; Drivers'!$B$68:$B$78))/12))</f>
        <v>108.14125767876965</v>
      </c>
      <c r="BP28" s="341">
        <f>BO28*(1+(INDEX('Inputs &amp; Drivers'!$G$68:$G$78,MATCH(Model!BP$4,'Inputs &amp; Drivers'!$B$68:$B$78))/12))</f>
        <v>108.32149310823426</v>
      </c>
      <c r="BQ28" s="341">
        <f>BP28*(1+(INDEX('Inputs &amp; Drivers'!$G$68:$G$78,MATCH(Model!BQ$4,'Inputs &amp; Drivers'!$B$68:$B$78))/12))</f>
        <v>108.50202893008132</v>
      </c>
      <c r="BR28" s="341">
        <f>BQ28*(1+(INDEX('Inputs &amp; Drivers'!$G$68:$G$78,MATCH(Model!BR$4,'Inputs &amp; Drivers'!$B$68:$B$78))/12))</f>
        <v>108.68286564496479</v>
      </c>
      <c r="BS28" s="341">
        <f>BR28*(1+(INDEX('Inputs &amp; Drivers'!$G$68:$G$78,MATCH(Model!BS$4,'Inputs &amp; Drivers'!$B$68:$B$78))/12))</f>
        <v>108.86400375437307</v>
      </c>
      <c r="BT28" s="341">
        <f>BS28*(1+(INDEX('Inputs &amp; Drivers'!$G$68:$G$78,MATCH(Model!BT$4,'Inputs &amp; Drivers'!$B$68:$B$78))/12))</f>
        <v>109.04544376063036</v>
      </c>
      <c r="BU28" s="341">
        <f>BT28*(1+(INDEX('Inputs &amp; Drivers'!$G$68:$G$78,MATCH(Model!BU$4,'Inputs &amp; Drivers'!$B$68:$B$78))/12))</f>
        <v>109.22718616689808</v>
      </c>
      <c r="BV28" s="341">
        <f>BU28*(1+(INDEX('Inputs &amp; Drivers'!$G$68:$G$78,MATCH(Model!BV$4,'Inputs &amp; Drivers'!$B$68:$B$78))/12))</f>
        <v>109.40923147717625</v>
      </c>
      <c r="BW28" s="341">
        <f>BV28*(1+(INDEX('Inputs &amp; Drivers'!$G$68:$G$78,MATCH(Model!BW$4,'Inputs &amp; Drivers'!$B$68:$B$78))/12))</f>
        <v>109.59158019630488</v>
      </c>
      <c r="BX28" s="341">
        <f>BW28*(1+(INDEX('Inputs &amp; Drivers'!$G$68:$G$78,MATCH(Model!BX$4,'Inputs &amp; Drivers'!$B$68:$B$78))/12))</f>
        <v>109.77423282996538</v>
      </c>
      <c r="BY28" s="341">
        <f>BX28*(1+(INDEX('Inputs &amp; Drivers'!$G$68:$G$78,MATCH(Model!BY$4,'Inputs &amp; Drivers'!$B$68:$B$78))/12))</f>
        <v>109.95718988468199</v>
      </c>
      <c r="BZ28" s="341">
        <f>BY28*(1+(INDEX('Inputs &amp; Drivers'!$G$68:$G$78,MATCH(Model!BZ$4,'Inputs &amp; Drivers'!$B$68:$B$78))/12))</f>
        <v>110.14045186782313</v>
      </c>
      <c r="CA28" s="341">
        <f>BZ28*(1+(INDEX('Inputs &amp; Drivers'!$G$68:$G$78,MATCH(Model!CA$4,'Inputs &amp; Drivers'!$B$68:$B$78))/12))</f>
        <v>110.32401928760284</v>
      </c>
      <c r="CB28" s="341">
        <f>CA28*(1+(INDEX('Inputs &amp; Drivers'!$G$68:$G$78,MATCH(Model!CB$4,'Inputs &amp; Drivers'!$B$68:$B$78))/12))</f>
        <v>110.50789265308218</v>
      </c>
      <c r="CC28" s="341">
        <f>CB28*(1+(INDEX('Inputs &amp; Drivers'!$G$68:$G$78,MATCH(Model!CC$4,'Inputs &amp; Drivers'!$B$68:$B$78))/12))</f>
        <v>110.69207247417066</v>
      </c>
      <c r="CD28" s="341">
        <f>CC28*(1+(INDEX('Inputs &amp; Drivers'!$G$68:$G$78,MATCH(Model!CD$4,'Inputs &amp; Drivers'!$B$68:$B$78))/12))</f>
        <v>110.87655926162762</v>
      </c>
      <c r="CE28" s="341">
        <f>CD28*(1+(INDEX('Inputs &amp; Drivers'!$G$68:$G$78,MATCH(Model!CE$4,'Inputs &amp; Drivers'!$B$68:$B$78))/12))</f>
        <v>111.06135352706367</v>
      </c>
      <c r="CF28" s="341">
        <f>CE28*(1+(INDEX('Inputs &amp; Drivers'!$G$68:$G$78,MATCH(Model!CF$4,'Inputs &amp; Drivers'!$B$68:$B$78))/12))</f>
        <v>111.24645578294212</v>
      </c>
      <c r="CG28" s="341">
        <f>CF28*(1+(INDEX('Inputs &amp; Drivers'!$G$68:$G$78,MATCH(Model!CG$4,'Inputs &amp; Drivers'!$B$68:$B$78))/12))</f>
        <v>111.43186654258037</v>
      </c>
      <c r="CH28" s="341">
        <f>CG28*(1+(INDEX('Inputs &amp; Drivers'!$G$68:$G$78,MATCH(Model!CH$4,'Inputs &amp; Drivers'!$B$68:$B$78))/12))</f>
        <v>111.61758632015133</v>
      </c>
      <c r="CI28" s="341">
        <f>CH28*(1+(INDEX('Inputs &amp; Drivers'!$G$68:$G$78,MATCH(Model!CI$4,'Inputs &amp; Drivers'!$B$68:$B$78))/12))</f>
        <v>111.80361563068492</v>
      </c>
      <c r="CJ28" s="341">
        <f>CI28*(1+(INDEX('Inputs &amp; Drivers'!$G$68:$G$78,MATCH(Model!CJ$4,'Inputs &amp; Drivers'!$B$68:$B$78))/12))</f>
        <v>111.98995499006939</v>
      </c>
      <c r="CK28" s="341">
        <f>CJ28*(1+(INDEX('Inputs &amp; Drivers'!$G$68:$G$78,MATCH(Model!CK$4,'Inputs &amp; Drivers'!$B$68:$B$78))/12))</f>
        <v>112.17660491505285</v>
      </c>
      <c r="CL28" s="341">
        <f>CK28*(1+(INDEX('Inputs &amp; Drivers'!$G$68:$G$78,MATCH(Model!CL$4,'Inputs &amp; Drivers'!$B$68:$B$78))/12))</f>
        <v>112.36356592324461</v>
      </c>
      <c r="CM28" s="341">
        <f>CL28*(1+(INDEX('Inputs &amp; Drivers'!$G$68:$G$78,MATCH(Model!CM$4,'Inputs &amp; Drivers'!$B$68:$B$78))/12))</f>
        <v>112.55083853311669</v>
      </c>
      <c r="CN28" s="341">
        <f>CM28*(1+(INDEX('Inputs &amp; Drivers'!$G$68:$G$78,MATCH(Model!CN$4,'Inputs &amp; Drivers'!$B$68:$B$78))/12))</f>
        <v>112.73842326400522</v>
      </c>
      <c r="CO28" s="341">
        <f>CN28*(1+(INDEX('Inputs &amp; Drivers'!$G$68:$G$78,MATCH(Model!CO$4,'Inputs &amp; Drivers'!$B$68:$B$78))/12))</f>
        <v>112.9263206361119</v>
      </c>
      <c r="CP28" s="341">
        <f>CO28*(1+(INDEX('Inputs &amp; Drivers'!$G$68:$G$78,MATCH(Model!CP$4,'Inputs &amp; Drivers'!$B$68:$B$78))/12))</f>
        <v>113.11453117050542</v>
      </c>
      <c r="CQ28" s="341">
        <f>CP28*(1+(INDEX('Inputs &amp; Drivers'!$G$68:$G$78,MATCH(Model!CQ$4,'Inputs &amp; Drivers'!$B$68:$B$78))/12))</f>
        <v>113.30305538912293</v>
      </c>
      <c r="CR28" s="341">
        <f>CQ28*(1+(INDEX('Inputs &amp; Drivers'!$G$68:$G$78,MATCH(Model!CR$4,'Inputs &amp; Drivers'!$B$68:$B$78))/12))</f>
        <v>113.49189381477147</v>
      </c>
      <c r="CS28" s="341">
        <f>CR28*(1+(INDEX('Inputs &amp; Drivers'!$G$68:$G$78,MATCH(Model!CS$4,'Inputs &amp; Drivers'!$B$68:$B$78))/12))</f>
        <v>113.68104697112943</v>
      </c>
      <c r="CT28" s="341">
        <f>CS28*(1+(INDEX('Inputs &amp; Drivers'!$G$68:$G$78,MATCH(Model!CT$4,'Inputs &amp; Drivers'!$B$68:$B$78))/12))</f>
        <v>113.87051538274798</v>
      </c>
      <c r="CU28" s="341">
        <f>CT28*(1+(INDEX('Inputs &amp; Drivers'!$G$68:$G$78,MATCH(Model!CU$4,'Inputs &amp; Drivers'!$B$68:$B$78))/12))</f>
        <v>114.06029957505257</v>
      </c>
      <c r="CV28" s="341">
        <f>CU28*(1+(INDEX('Inputs &amp; Drivers'!$G$68:$G$78,MATCH(Model!CV$4,'Inputs &amp; Drivers'!$B$68:$B$78))/12))</f>
        <v>114.25040007434433</v>
      </c>
      <c r="CW28" s="341">
        <f>CV28*(1+(INDEX('Inputs &amp; Drivers'!$G$68:$G$78,MATCH(Model!CW$4,'Inputs &amp; Drivers'!$B$68:$B$78))/12))</f>
        <v>114.44081740780157</v>
      </c>
      <c r="CX28" s="341">
        <f>CW28*(1+(INDEX('Inputs &amp; Drivers'!$G$68:$G$78,MATCH(Model!CX$4,'Inputs &amp; Drivers'!$B$68:$B$78))/12))</f>
        <v>114.63155210348125</v>
      </c>
      <c r="CY28" s="341">
        <f>CX28*(1+(INDEX('Inputs &amp; Drivers'!$G$68:$G$78,MATCH(Model!CY$4,'Inputs &amp; Drivers'!$B$68:$B$78))/12))</f>
        <v>114.82260469032039</v>
      </c>
      <c r="CZ28" s="341">
        <f>CY28*(1+(INDEX('Inputs &amp; Drivers'!$G$68:$G$78,MATCH(Model!CZ$4,'Inputs &amp; Drivers'!$B$68:$B$78))/12))</f>
        <v>115.0139756981376</v>
      </c>
      <c r="DA28" s="341">
        <f>CZ28*(1+(INDEX('Inputs &amp; Drivers'!$G$68:$G$78,MATCH(Model!DA$4,'Inputs &amp; Drivers'!$B$68:$B$78))/12))</f>
        <v>115.2056656576345</v>
      </c>
      <c r="DB28" s="341">
        <f>DA28*(1+(INDEX('Inputs &amp; Drivers'!$G$68:$G$78,MATCH(Model!DB$4,'Inputs &amp; Drivers'!$B$68:$B$78))/12))</f>
        <v>115.39767510039722</v>
      </c>
      <c r="DC28" s="341">
        <f>DB28*(1+(INDEX('Inputs &amp; Drivers'!$G$68:$G$78,MATCH(Model!DC$4,'Inputs &amp; Drivers'!$B$68:$B$78))/12))</f>
        <v>115.59000455889789</v>
      </c>
      <c r="DD28" s="341">
        <f>DC28*(1+(INDEX('Inputs &amp; Drivers'!$G$68:$G$78,MATCH(Model!DD$4,'Inputs &amp; Drivers'!$B$68:$B$78))/12))</f>
        <v>115.78265456649605</v>
      </c>
      <c r="DE28" s="341">
        <f>DD28*(1+(INDEX('Inputs &amp; Drivers'!$G$68:$G$78,MATCH(Model!DE$4,'Inputs &amp; Drivers'!$B$68:$B$78))/12))</f>
        <v>115.97562565744022</v>
      </c>
      <c r="DF28" s="341">
        <f>DE28*(1+(INDEX('Inputs &amp; Drivers'!$G$68:$G$78,MATCH(Model!DF$4,'Inputs &amp; Drivers'!$B$68:$B$78))/12))</f>
        <v>116.16891836686929</v>
      </c>
      <c r="DG28" s="341">
        <f>DF28*(1+(INDEX('Inputs &amp; Drivers'!$G$68:$G$78,MATCH(Model!DG$4,'Inputs &amp; Drivers'!$B$68:$B$78))/12))</f>
        <v>116.36253323081408</v>
      </c>
      <c r="DH28" s="341">
        <f>DG28*(1+(INDEX('Inputs &amp; Drivers'!$G$68:$G$78,MATCH(Model!DH$4,'Inputs &amp; Drivers'!$B$68:$B$78))/12))</f>
        <v>116.55647078619877</v>
      </c>
      <c r="DI28" s="341">
        <f>DH28*(1+(INDEX('Inputs &amp; Drivers'!$G$68:$G$78,MATCH(Model!DI$4,'Inputs &amp; Drivers'!$B$68:$B$78))/12))</f>
        <v>116.75073157084245</v>
      </c>
      <c r="DJ28" s="341">
        <f>DI28*(1+(INDEX('Inputs &amp; Drivers'!$G$68:$G$78,MATCH(Model!DJ$4,'Inputs &amp; Drivers'!$B$68:$B$78))/12))</f>
        <v>116.94531612346053</v>
      </c>
      <c r="DK28" s="341">
        <f>DJ28*(1+(INDEX('Inputs &amp; Drivers'!$G$68:$G$78,MATCH(Model!DK$4,'Inputs &amp; Drivers'!$B$68:$B$78))/12))</f>
        <v>117.1402249836663</v>
      </c>
      <c r="DL28" s="341">
        <f>DK28*(1+(INDEX('Inputs &amp; Drivers'!$G$68:$G$78,MATCH(Model!DL$4,'Inputs &amp; Drivers'!$B$68:$B$78))/12))</f>
        <v>117.33545869197242</v>
      </c>
      <c r="DM28" s="341">
        <f>DL28*(1+(INDEX('Inputs &amp; Drivers'!$G$68:$G$78,MATCH(Model!DM$4,'Inputs &amp; Drivers'!$B$68:$B$78))/12))</f>
        <v>117.53101778979237</v>
      </c>
      <c r="DN28" s="341">
        <f>DM28*(1+(INDEX('Inputs &amp; Drivers'!$G$68:$G$78,MATCH(Model!DN$4,'Inputs &amp; Drivers'!$B$68:$B$78))/12))</f>
        <v>117.72690281944203</v>
      </c>
      <c r="DO28" s="341">
        <f>DN28*(1+(INDEX('Inputs &amp; Drivers'!$G$68:$G$78,MATCH(Model!DO$4,'Inputs &amp; Drivers'!$B$68:$B$78))/12))</f>
        <v>117.92311432414111</v>
      </c>
      <c r="DP28" s="341">
        <f>DO28*(1+(INDEX('Inputs &amp; Drivers'!$G$68:$G$78,MATCH(Model!DP$4,'Inputs &amp; Drivers'!$B$68:$B$78))/12))</f>
        <v>118.11965284801468</v>
      </c>
      <c r="DQ28" s="341">
        <f>DP28*(1+(INDEX('Inputs &amp; Drivers'!$G$68:$G$78,MATCH(Model!DQ$4,'Inputs &amp; Drivers'!$B$68:$B$78))/12))</f>
        <v>118.31651893609471</v>
      </c>
      <c r="DR28" s="341">
        <f>DQ28*(1+(INDEX('Inputs &amp; Drivers'!$G$68:$G$78,MATCH(Model!DR$4,'Inputs &amp; Drivers'!$B$68:$B$78))/12))</f>
        <v>118.51371313432153</v>
      </c>
      <c r="DS28" s="341">
        <f>DR28*(1+(INDEX('Inputs &amp; Drivers'!$G$68:$G$78,MATCH(Model!DS$4,'Inputs &amp; Drivers'!$B$68:$B$78))/12))</f>
        <v>118.71123598954541</v>
      </c>
      <c r="DT28" s="341">
        <f>DS28*(1+(INDEX('Inputs &amp; Drivers'!$G$68:$G$78,MATCH(Model!DT$4,'Inputs &amp; Drivers'!$B$68:$B$78))/12))</f>
        <v>118.90908804952799</v>
      </c>
      <c r="DU28" s="341">
        <f>DT28*(1+(INDEX('Inputs &amp; Drivers'!$G$68:$G$78,MATCH(Model!DU$4,'Inputs &amp; Drivers'!$B$68:$B$78))/12))</f>
        <v>119.10726986294388</v>
      </c>
      <c r="DV28" s="341">
        <f>DU28*(1+(INDEX('Inputs &amp; Drivers'!$G$68:$G$78,MATCH(Model!DV$4,'Inputs &amp; Drivers'!$B$68:$B$78))/12))</f>
        <v>119.30578197938212</v>
      </c>
      <c r="DW28" s="341">
        <f>DV28*(1+(INDEX('Inputs &amp; Drivers'!$G$68:$G$78,MATCH(Model!DW$4,'Inputs &amp; Drivers'!$B$68:$B$78))/12))</f>
        <v>119.50462494934776</v>
      </c>
      <c r="DX28" s="341">
        <f>DW28*(1+(INDEX('Inputs &amp; Drivers'!$G$68:$G$78,MATCH(Model!DX$4,'Inputs &amp; Drivers'!$B$68:$B$78))/12))</f>
        <v>119.70379932426334</v>
      </c>
      <c r="DY28" s="341">
        <f>DX28*(1+(INDEX('Inputs &amp; Drivers'!$G$68:$G$78,MATCH(Model!DY$4,'Inputs &amp; Drivers'!$B$68:$B$78))/12))</f>
        <v>119.90330565647045</v>
      </c>
      <c r="DZ28" s="341">
        <f>DY28*(1+(INDEX('Inputs &amp; Drivers'!$G$68:$G$78,MATCH(Model!DZ$4,'Inputs &amp; Drivers'!$B$68:$B$78))/12))</f>
        <v>120.10314449923123</v>
      </c>
      <c r="EA28" s="341">
        <f>DZ28*(1+(INDEX('Inputs &amp; Drivers'!$G$68:$G$78,MATCH(Model!EA$4,'Inputs &amp; Drivers'!$B$68:$B$78))/12))</f>
        <v>120.30331640672996</v>
      </c>
      <c r="EB28" s="341">
        <f>EA28*(1+(INDEX('Inputs &amp; Drivers'!$G$68:$G$78,MATCH(Model!EB$4,'Inputs &amp; Drivers'!$B$68:$B$78))/12))</f>
        <v>120.50382193407452</v>
      </c>
      <c r="EC28" s="341">
        <f>EB28*(1+(INDEX('Inputs &amp; Drivers'!$G$68:$G$78,MATCH(Model!EC$4,'Inputs &amp; Drivers'!$B$68:$B$78))/12))</f>
        <v>120.70466163729799</v>
      </c>
      <c r="ED28" s="341">
        <f>EC28*(1+(INDEX('Inputs &amp; Drivers'!$G$68:$G$78,MATCH(Model!ED$4,'Inputs &amp; Drivers'!$B$68:$B$78))/12))</f>
        <v>120.90583607336016</v>
      </c>
      <c r="EE28" s="341">
        <f>ED28*(1+(INDEX('Inputs &amp; Drivers'!$G$68:$G$78,MATCH(Model!EE$4,'Inputs &amp; Drivers'!$B$68:$B$78))/12))</f>
        <v>121.1073458001491</v>
      </c>
      <c r="EF28" s="341">
        <f>EE28*(1+(INDEX('Inputs &amp; Drivers'!$G$68:$G$78,MATCH(Model!EF$4,'Inputs &amp; Drivers'!$B$68:$B$78))/12))</f>
        <v>121.30919137648269</v>
      </c>
      <c r="EG28" s="341">
        <f>EF28*(1+(INDEX('Inputs &amp; Drivers'!$G$68:$G$78,MATCH(Model!EG$4,'Inputs &amp; Drivers'!$B$68:$B$78))/12))</f>
        <v>121.51137336211016</v>
      </c>
      <c r="EH28" s="341">
        <f>EG28*(1+(INDEX('Inputs &amp; Drivers'!$G$68:$G$78,MATCH(Model!EH$4,'Inputs &amp; Drivers'!$B$68:$B$78))/12))</f>
        <v>121.71389231771369</v>
      </c>
      <c r="EI28" s="341">
        <f>EH28*(1+(INDEX('Inputs &amp; Drivers'!$G$68:$G$78,MATCH(Model!EI$4,'Inputs &amp; Drivers'!$B$68:$B$78))/12))</f>
        <v>121.91674880490989</v>
      </c>
      <c r="EJ28" s="341">
        <f>EI28*(1+(INDEX('Inputs &amp; Drivers'!$G$68:$G$78,MATCH(Model!EJ$4,'Inputs &amp; Drivers'!$B$68:$B$78))/12))</f>
        <v>122.11994338625141</v>
      </c>
      <c r="EL28" s="12">
        <f t="shared" ref="EL28:EW29" si="148">SUMIF($H$6:$EJ$6,EL$6,$H28:$EJ28)</f>
        <v>100</v>
      </c>
      <c r="EM28" s="12">
        <f t="shared" si="148"/>
        <v>100</v>
      </c>
      <c r="EN28" s="12">
        <f t="shared" si="148"/>
        <v>102.0184355681502</v>
      </c>
      <c r="EO28" s="12">
        <f t="shared" si="148"/>
        <v>104.0776119577281</v>
      </c>
      <c r="EP28" s="12">
        <f t="shared" si="148"/>
        <v>106.17835149596421</v>
      </c>
      <c r="EQ28" s="12">
        <f t="shared" si="148"/>
        <v>108.32149310823426</v>
      </c>
      <c r="ER28" s="12">
        <f t="shared" si="148"/>
        <v>110.50789265308218</v>
      </c>
      <c r="ES28" s="12">
        <f t="shared" si="148"/>
        <v>112.73842326400522</v>
      </c>
      <c r="ET28" s="12">
        <f t="shared" si="148"/>
        <v>115.0139756981376</v>
      </c>
      <c r="EU28" s="12">
        <f t="shared" si="148"/>
        <v>117.33545869197242</v>
      </c>
      <c r="EV28" s="12">
        <f t="shared" si="148"/>
        <v>119.70379932426334</v>
      </c>
      <c r="EW28" s="12">
        <f t="shared" si="148"/>
        <v>122.11994338625141</v>
      </c>
    </row>
    <row r="29" spans="2:153" outlineLevel="1" x14ac:dyDescent="0.4">
      <c r="B29" s="1" t="s">
        <v>30</v>
      </c>
      <c r="H29" s="83">
        <v>25</v>
      </c>
      <c r="I29" s="341">
        <f>H29*(1+(INDEX('Inputs &amp; Drivers'!$G$68:$G$78,MATCH(Model!I$4,'Inputs &amp; Drivers'!$B$68:$B$78))/12))</f>
        <v>25</v>
      </c>
      <c r="J29" s="341">
        <f>I29*(1+(INDEX('Inputs &amp; Drivers'!$G$68:$G$78,MATCH(Model!J$4,'Inputs &amp; Drivers'!$B$68:$B$78))/12))</f>
        <v>25</v>
      </c>
      <c r="K29" s="341">
        <f>J29*(1+(INDEX('Inputs &amp; Drivers'!$G$68:$G$78,MATCH(Model!K$4,'Inputs &amp; Drivers'!$B$68:$B$78))/12))</f>
        <v>25</v>
      </c>
      <c r="L29" s="341">
        <f>K29*(1+(INDEX('Inputs &amp; Drivers'!$G$68:$G$78,MATCH(Model!L$4,'Inputs &amp; Drivers'!$B$68:$B$78))/12))</f>
        <v>25</v>
      </c>
      <c r="M29" s="341">
        <f>L29*(1+(INDEX('Inputs &amp; Drivers'!$G$68:$G$78,MATCH(Model!M$4,'Inputs &amp; Drivers'!$B$68:$B$78))/12))</f>
        <v>25</v>
      </c>
      <c r="N29" s="341">
        <f>M29*(1+(INDEX('Inputs &amp; Drivers'!$G$68:$G$78,MATCH(Model!N$4,'Inputs &amp; Drivers'!$B$68:$B$78))/12))</f>
        <v>25</v>
      </c>
      <c r="O29" s="341">
        <f>N29*(1+(INDEX('Inputs &amp; Drivers'!$G$68:$G$78,MATCH(Model!O$4,'Inputs &amp; Drivers'!$B$68:$B$78))/12))</f>
        <v>25</v>
      </c>
      <c r="P29" s="341">
        <f>O29*(1+(INDEX('Inputs &amp; Drivers'!$G$68:$G$78,MATCH(Model!P$4,'Inputs &amp; Drivers'!$B$68:$B$78))/12))</f>
        <v>25</v>
      </c>
      <c r="Q29" s="341">
        <f>P29*(1+(INDEX('Inputs &amp; Drivers'!$G$68:$G$78,MATCH(Model!Q$4,'Inputs &amp; Drivers'!$B$68:$B$78))/12))</f>
        <v>25</v>
      </c>
      <c r="R29" s="341">
        <f>Q29*(1+(INDEX('Inputs &amp; Drivers'!$G$68:$G$78,MATCH(Model!R$4,'Inputs &amp; Drivers'!$B$68:$B$78))/12))</f>
        <v>25</v>
      </c>
      <c r="S29" s="341">
        <f>R29*(1+(INDEX('Inputs &amp; Drivers'!$G$68:$G$78,MATCH(Model!S$4,'Inputs &amp; Drivers'!$B$68:$B$78))/12))</f>
        <v>25</v>
      </c>
      <c r="T29" s="341">
        <f>S29*(1+(INDEX('Inputs &amp; Drivers'!$G$68:$G$78,MATCH(Model!T$4,'Inputs &amp; Drivers'!$B$68:$B$78))/12))</f>
        <v>25</v>
      </c>
      <c r="U29" s="341">
        <f>T29*(1+(INDEX('Inputs &amp; Drivers'!$G$68:$G$78,MATCH(Model!U$4,'Inputs &amp; Drivers'!$B$68:$B$78))/12))</f>
        <v>25.041666666666668</v>
      </c>
      <c r="V29" s="341">
        <f>U29*(1+(INDEX('Inputs &amp; Drivers'!$G$68:$G$78,MATCH(Model!V$4,'Inputs &amp; Drivers'!$B$68:$B$78))/12))</f>
        <v>25.083402777777781</v>
      </c>
      <c r="W29" s="341">
        <f>V29*(1+(INDEX('Inputs &amp; Drivers'!$G$68:$G$78,MATCH(Model!W$4,'Inputs &amp; Drivers'!$B$68:$B$78))/12))</f>
        <v>25.12520844907408</v>
      </c>
      <c r="X29" s="341">
        <f>W29*(1+(INDEX('Inputs &amp; Drivers'!$G$68:$G$78,MATCH(Model!X$4,'Inputs &amp; Drivers'!$B$68:$B$78))/12))</f>
        <v>25.167083796489205</v>
      </c>
      <c r="Y29" s="341">
        <f>X29*(1+(INDEX('Inputs &amp; Drivers'!$G$68:$G$78,MATCH(Model!Y$4,'Inputs &amp; Drivers'!$B$68:$B$78))/12))</f>
        <v>25.20902893615002</v>
      </c>
      <c r="Z29" s="341">
        <f>Y29*(1+(INDEX('Inputs &amp; Drivers'!$G$68:$G$78,MATCH(Model!Z$4,'Inputs &amp; Drivers'!$B$68:$B$78))/12))</f>
        <v>25.251043984376938</v>
      </c>
      <c r="AA29" s="341">
        <f>Z29*(1+(INDEX('Inputs &amp; Drivers'!$G$68:$G$78,MATCH(Model!AA$4,'Inputs &amp; Drivers'!$B$68:$B$78))/12))</f>
        <v>25.293129057684233</v>
      </c>
      <c r="AB29" s="341">
        <f>AA29*(1+(INDEX('Inputs &amp; Drivers'!$G$68:$G$78,MATCH(Model!AB$4,'Inputs &amp; Drivers'!$B$68:$B$78))/12))</f>
        <v>25.335284272780374</v>
      </c>
      <c r="AC29" s="341">
        <f>AB29*(1+(INDEX('Inputs &amp; Drivers'!$G$68:$G$78,MATCH(Model!AC$4,'Inputs &amp; Drivers'!$B$68:$B$78))/12))</f>
        <v>25.377509746568343</v>
      </c>
      <c r="AD29" s="341">
        <f>AC29*(1+(INDEX('Inputs &amp; Drivers'!$G$68:$G$78,MATCH(Model!AD$4,'Inputs &amp; Drivers'!$B$68:$B$78))/12))</f>
        <v>25.419805596145959</v>
      </c>
      <c r="AE29" s="341">
        <f>AD29*(1+(INDEX('Inputs &amp; Drivers'!$G$68:$G$78,MATCH(Model!AE$4,'Inputs &amp; Drivers'!$B$68:$B$78))/12))</f>
        <v>25.462171938806204</v>
      </c>
      <c r="AF29" s="341">
        <f>AE29*(1+(INDEX('Inputs &amp; Drivers'!$G$68:$G$78,MATCH(Model!AF$4,'Inputs &amp; Drivers'!$B$68:$B$78))/12))</f>
        <v>25.504608892037549</v>
      </c>
      <c r="AG29" s="341">
        <f>AF29*(1+(INDEX('Inputs &amp; Drivers'!$G$68:$G$78,MATCH(Model!AG$4,'Inputs &amp; Drivers'!$B$68:$B$78))/12))</f>
        <v>25.547116573524278</v>
      </c>
      <c r="AH29" s="341">
        <f>AG29*(1+(INDEX('Inputs &amp; Drivers'!$G$68:$G$78,MATCH(Model!AH$4,'Inputs &amp; Drivers'!$B$68:$B$78))/12))</f>
        <v>25.58969510114682</v>
      </c>
      <c r="AI29" s="341">
        <f>AH29*(1+(INDEX('Inputs &amp; Drivers'!$G$68:$G$78,MATCH(Model!AI$4,'Inputs &amp; Drivers'!$B$68:$B$78))/12))</f>
        <v>25.632344592982065</v>
      </c>
      <c r="AJ29" s="341">
        <f>AI29*(1+(INDEX('Inputs &amp; Drivers'!$G$68:$G$78,MATCH(Model!AJ$4,'Inputs &amp; Drivers'!$B$68:$B$78))/12))</f>
        <v>25.675065167303703</v>
      </c>
      <c r="AK29" s="341">
        <f>AJ29*(1+(INDEX('Inputs &amp; Drivers'!$G$68:$G$78,MATCH(Model!AK$4,'Inputs &amp; Drivers'!$B$68:$B$78))/12))</f>
        <v>25.717856942582543</v>
      </c>
      <c r="AL29" s="341">
        <f>AK29*(1+(INDEX('Inputs &amp; Drivers'!$G$68:$G$78,MATCH(Model!AL$4,'Inputs &amp; Drivers'!$B$68:$B$78))/12))</f>
        <v>25.760720037486848</v>
      </c>
      <c r="AM29" s="341">
        <f>AL29*(1+(INDEX('Inputs &amp; Drivers'!$G$68:$G$78,MATCH(Model!AM$4,'Inputs &amp; Drivers'!$B$68:$B$78))/12))</f>
        <v>25.80365457088266</v>
      </c>
      <c r="AN29" s="341">
        <f>AM29*(1+(INDEX('Inputs &amp; Drivers'!$G$68:$G$78,MATCH(Model!AN$4,'Inputs &amp; Drivers'!$B$68:$B$78))/12))</f>
        <v>25.846660661834132</v>
      </c>
      <c r="AO29" s="341">
        <f>AN29*(1+(INDEX('Inputs &amp; Drivers'!$G$68:$G$78,MATCH(Model!AO$4,'Inputs &amp; Drivers'!$B$68:$B$78))/12))</f>
        <v>25.889738429603856</v>
      </c>
      <c r="AP29" s="341">
        <f>AO29*(1+(INDEX('Inputs &amp; Drivers'!$G$68:$G$78,MATCH(Model!AP$4,'Inputs &amp; Drivers'!$B$68:$B$78))/12))</f>
        <v>25.932887993653196</v>
      </c>
      <c r="AQ29" s="341">
        <f>AP29*(1+(INDEX('Inputs &amp; Drivers'!$G$68:$G$78,MATCH(Model!AQ$4,'Inputs &amp; Drivers'!$B$68:$B$78))/12))</f>
        <v>25.976109473642619</v>
      </c>
      <c r="AR29" s="341">
        <f>AQ29*(1+(INDEX('Inputs &amp; Drivers'!$G$68:$G$78,MATCH(Model!AR$4,'Inputs &amp; Drivers'!$B$68:$B$78))/12))</f>
        <v>26.019402989432024</v>
      </c>
      <c r="AS29" s="341">
        <f>AR29*(1+(INDEX('Inputs &amp; Drivers'!$G$68:$G$78,MATCH(Model!AS$4,'Inputs &amp; Drivers'!$B$68:$B$78))/12))</f>
        <v>26.06276866108108</v>
      </c>
      <c r="AT29" s="341">
        <f>AS29*(1+(INDEX('Inputs &amp; Drivers'!$G$68:$G$78,MATCH(Model!AT$4,'Inputs &amp; Drivers'!$B$68:$B$78))/12))</f>
        <v>26.106206608849551</v>
      </c>
      <c r="AU29" s="341">
        <f>AT29*(1+(INDEX('Inputs &amp; Drivers'!$G$68:$G$78,MATCH(Model!AU$4,'Inputs &amp; Drivers'!$B$68:$B$78))/12))</f>
        <v>26.149716953197633</v>
      </c>
      <c r="AV29" s="341">
        <f>AU29*(1+(INDEX('Inputs &amp; Drivers'!$G$68:$G$78,MATCH(Model!AV$4,'Inputs &amp; Drivers'!$B$68:$B$78))/12))</f>
        <v>26.193299814786297</v>
      </c>
      <c r="AW29" s="341">
        <f>AV29*(1+(INDEX('Inputs &amp; Drivers'!$G$68:$G$78,MATCH(Model!AW$4,'Inputs &amp; Drivers'!$B$68:$B$78))/12))</f>
        <v>26.236955314477608</v>
      </c>
      <c r="AX29" s="341">
        <f>AW29*(1+(INDEX('Inputs &amp; Drivers'!$G$68:$G$78,MATCH(Model!AX$4,'Inputs &amp; Drivers'!$B$68:$B$78))/12))</f>
        <v>26.280683573335072</v>
      </c>
      <c r="AY29" s="341">
        <f>AX29*(1+(INDEX('Inputs &amp; Drivers'!$G$68:$G$78,MATCH(Model!AY$4,'Inputs &amp; Drivers'!$B$68:$B$78))/12))</f>
        <v>26.324484712623963</v>
      </c>
      <c r="AZ29" s="341">
        <f>AY29*(1+(INDEX('Inputs &amp; Drivers'!$G$68:$G$78,MATCH(Model!AZ$4,'Inputs &amp; Drivers'!$B$68:$B$78))/12))</f>
        <v>26.368358853811671</v>
      </c>
      <c r="BA29" s="341">
        <f>AZ29*(1+(INDEX('Inputs &amp; Drivers'!$G$68:$G$78,MATCH(Model!BA$4,'Inputs &amp; Drivers'!$B$68:$B$78))/12))</f>
        <v>26.412306118568026</v>
      </c>
      <c r="BB29" s="341">
        <f>BA29*(1+(INDEX('Inputs &amp; Drivers'!$G$68:$G$78,MATCH(Model!BB$4,'Inputs &amp; Drivers'!$B$68:$B$78))/12))</f>
        <v>26.456326628765641</v>
      </c>
      <c r="BC29" s="341">
        <f>BB29*(1+(INDEX('Inputs &amp; Drivers'!$G$68:$G$78,MATCH(Model!BC$4,'Inputs &amp; Drivers'!$B$68:$B$78))/12))</f>
        <v>26.50042050648025</v>
      </c>
      <c r="BD29" s="341">
        <f>BC29*(1+(INDEX('Inputs &amp; Drivers'!$G$68:$G$78,MATCH(Model!BD$4,'Inputs &amp; Drivers'!$B$68:$B$78))/12))</f>
        <v>26.544587873991052</v>
      </c>
      <c r="BE29" s="341">
        <f>BD29*(1+(INDEX('Inputs &amp; Drivers'!$G$68:$G$78,MATCH(Model!BE$4,'Inputs &amp; Drivers'!$B$68:$B$78))/12))</f>
        <v>26.588828853781038</v>
      </c>
      <c r="BF29" s="341">
        <f>BE29*(1+(INDEX('Inputs &amp; Drivers'!$G$68:$G$78,MATCH(Model!BF$4,'Inputs &amp; Drivers'!$B$68:$B$78))/12))</f>
        <v>26.633143568537342</v>
      </c>
      <c r="BG29" s="341">
        <f>BF29*(1+(INDEX('Inputs &amp; Drivers'!$G$68:$G$78,MATCH(Model!BG$4,'Inputs &amp; Drivers'!$B$68:$B$78))/12))</f>
        <v>26.677532141151573</v>
      </c>
      <c r="BH29" s="341">
        <f>BG29*(1+(INDEX('Inputs &amp; Drivers'!$G$68:$G$78,MATCH(Model!BH$4,'Inputs &amp; Drivers'!$B$68:$B$78))/12))</f>
        <v>26.721994694720159</v>
      </c>
      <c r="BI29" s="341">
        <f>BH29*(1+(INDEX('Inputs &amp; Drivers'!$G$68:$G$78,MATCH(Model!BI$4,'Inputs &amp; Drivers'!$B$68:$B$78))/12))</f>
        <v>26.766531352544693</v>
      </c>
      <c r="BJ29" s="341">
        <f>BI29*(1+(INDEX('Inputs &amp; Drivers'!$G$68:$G$78,MATCH(Model!BJ$4,'Inputs &amp; Drivers'!$B$68:$B$78))/12))</f>
        <v>26.81114223813227</v>
      </c>
      <c r="BK29" s="341">
        <f>BJ29*(1+(INDEX('Inputs &amp; Drivers'!$G$68:$G$78,MATCH(Model!BK$4,'Inputs &amp; Drivers'!$B$68:$B$78))/12))</f>
        <v>26.855827475195824</v>
      </c>
      <c r="BL29" s="341">
        <f>BK29*(1+(INDEX('Inputs &amp; Drivers'!$G$68:$G$78,MATCH(Model!BL$4,'Inputs &amp; Drivers'!$B$68:$B$78))/12))</f>
        <v>26.900587187654484</v>
      </c>
      <c r="BM29" s="341">
        <f>BL29*(1+(INDEX('Inputs &amp; Drivers'!$G$68:$G$78,MATCH(Model!BM$4,'Inputs &amp; Drivers'!$B$68:$B$78))/12))</f>
        <v>26.945421499633909</v>
      </c>
      <c r="BN29" s="341">
        <f>BM29*(1+(INDEX('Inputs &amp; Drivers'!$G$68:$G$78,MATCH(Model!BN$4,'Inputs &amp; Drivers'!$B$68:$B$78))/12))</f>
        <v>26.990330535466633</v>
      </c>
      <c r="BO29" s="341">
        <f>BN29*(1+(INDEX('Inputs &amp; Drivers'!$G$68:$G$78,MATCH(Model!BO$4,'Inputs &amp; Drivers'!$B$68:$B$78))/12))</f>
        <v>27.035314419692412</v>
      </c>
      <c r="BP29" s="341">
        <f>BO29*(1+(INDEX('Inputs &amp; Drivers'!$G$68:$G$78,MATCH(Model!BP$4,'Inputs &amp; Drivers'!$B$68:$B$78))/12))</f>
        <v>27.080373277058566</v>
      </c>
      <c r="BQ29" s="341">
        <f>BP29*(1+(INDEX('Inputs &amp; Drivers'!$G$68:$G$78,MATCH(Model!BQ$4,'Inputs &amp; Drivers'!$B$68:$B$78))/12))</f>
        <v>27.125507232520331</v>
      </c>
      <c r="BR29" s="341">
        <f>BQ29*(1+(INDEX('Inputs &amp; Drivers'!$G$68:$G$78,MATCH(Model!BR$4,'Inputs &amp; Drivers'!$B$68:$B$78))/12))</f>
        <v>27.170716411241198</v>
      </c>
      <c r="BS29" s="341">
        <f>BR29*(1+(INDEX('Inputs &amp; Drivers'!$G$68:$G$78,MATCH(Model!BS$4,'Inputs &amp; Drivers'!$B$68:$B$78))/12))</f>
        <v>27.216000938593268</v>
      </c>
      <c r="BT29" s="341">
        <f>BS29*(1+(INDEX('Inputs &amp; Drivers'!$G$68:$G$78,MATCH(Model!BT$4,'Inputs &amp; Drivers'!$B$68:$B$78))/12))</f>
        <v>27.261360940157591</v>
      </c>
      <c r="BU29" s="341">
        <f>BT29*(1+(INDEX('Inputs &amp; Drivers'!$G$68:$G$78,MATCH(Model!BU$4,'Inputs &amp; Drivers'!$B$68:$B$78))/12))</f>
        <v>27.30679654172452</v>
      </c>
      <c r="BV29" s="341">
        <f>BU29*(1+(INDEX('Inputs &amp; Drivers'!$G$68:$G$78,MATCH(Model!BV$4,'Inputs &amp; Drivers'!$B$68:$B$78))/12))</f>
        <v>27.352307869294062</v>
      </c>
      <c r="BW29" s="341">
        <f>BV29*(1+(INDEX('Inputs &amp; Drivers'!$G$68:$G$78,MATCH(Model!BW$4,'Inputs &amp; Drivers'!$B$68:$B$78))/12))</f>
        <v>27.397895049076219</v>
      </c>
      <c r="BX29" s="341">
        <f>BW29*(1+(INDEX('Inputs &amp; Drivers'!$G$68:$G$78,MATCH(Model!BX$4,'Inputs &amp; Drivers'!$B$68:$B$78))/12))</f>
        <v>27.443558207491346</v>
      </c>
      <c r="BY29" s="341">
        <f>BX29*(1+(INDEX('Inputs &amp; Drivers'!$G$68:$G$78,MATCH(Model!BY$4,'Inputs &amp; Drivers'!$B$68:$B$78))/12))</f>
        <v>27.489297471170499</v>
      </c>
      <c r="BZ29" s="341">
        <f>BY29*(1+(INDEX('Inputs &amp; Drivers'!$G$68:$G$78,MATCH(Model!BZ$4,'Inputs &amp; Drivers'!$B$68:$B$78))/12))</f>
        <v>27.535112966955783</v>
      </c>
      <c r="CA29" s="341">
        <f>BZ29*(1+(INDEX('Inputs &amp; Drivers'!$G$68:$G$78,MATCH(Model!CA$4,'Inputs &amp; Drivers'!$B$68:$B$78))/12))</f>
        <v>27.581004821900709</v>
      </c>
      <c r="CB29" s="341">
        <f>CA29*(1+(INDEX('Inputs &amp; Drivers'!$G$68:$G$78,MATCH(Model!CB$4,'Inputs &amp; Drivers'!$B$68:$B$78))/12))</f>
        <v>27.626973163270545</v>
      </c>
      <c r="CC29" s="341">
        <f>CB29*(1+(INDEX('Inputs &amp; Drivers'!$G$68:$G$78,MATCH(Model!CC$4,'Inputs &amp; Drivers'!$B$68:$B$78))/12))</f>
        <v>27.673018118542664</v>
      </c>
      <c r="CD29" s="341">
        <f>CC29*(1+(INDEX('Inputs &amp; Drivers'!$G$68:$G$78,MATCH(Model!CD$4,'Inputs &amp; Drivers'!$B$68:$B$78))/12))</f>
        <v>27.719139815406905</v>
      </c>
      <c r="CE29" s="341">
        <f>CD29*(1+(INDEX('Inputs &amp; Drivers'!$G$68:$G$78,MATCH(Model!CE$4,'Inputs &amp; Drivers'!$B$68:$B$78))/12))</f>
        <v>27.765338381765918</v>
      </c>
      <c r="CF29" s="341">
        <f>CE29*(1+(INDEX('Inputs &amp; Drivers'!$G$68:$G$78,MATCH(Model!CF$4,'Inputs &amp; Drivers'!$B$68:$B$78))/12))</f>
        <v>27.81161394573553</v>
      </c>
      <c r="CG29" s="341">
        <f>CF29*(1+(INDEX('Inputs &amp; Drivers'!$G$68:$G$78,MATCH(Model!CG$4,'Inputs &amp; Drivers'!$B$68:$B$78))/12))</f>
        <v>27.857966635645091</v>
      </c>
      <c r="CH29" s="341">
        <f>CG29*(1+(INDEX('Inputs &amp; Drivers'!$G$68:$G$78,MATCH(Model!CH$4,'Inputs &amp; Drivers'!$B$68:$B$78))/12))</f>
        <v>27.904396580037833</v>
      </c>
      <c r="CI29" s="341">
        <f>CH29*(1+(INDEX('Inputs &amp; Drivers'!$G$68:$G$78,MATCH(Model!CI$4,'Inputs &amp; Drivers'!$B$68:$B$78))/12))</f>
        <v>27.950903907671229</v>
      </c>
      <c r="CJ29" s="341">
        <f>CI29*(1+(INDEX('Inputs &amp; Drivers'!$G$68:$G$78,MATCH(Model!CJ$4,'Inputs &amp; Drivers'!$B$68:$B$78))/12))</f>
        <v>27.997488747517348</v>
      </c>
      <c r="CK29" s="341">
        <f>CJ29*(1+(INDEX('Inputs &amp; Drivers'!$G$68:$G$78,MATCH(Model!CK$4,'Inputs &amp; Drivers'!$B$68:$B$78))/12))</f>
        <v>28.044151228763212</v>
      </c>
      <c r="CL29" s="341">
        <f>CK29*(1+(INDEX('Inputs &amp; Drivers'!$G$68:$G$78,MATCH(Model!CL$4,'Inputs &amp; Drivers'!$B$68:$B$78))/12))</f>
        <v>28.090891480811152</v>
      </c>
      <c r="CM29" s="341">
        <f>CL29*(1+(INDEX('Inputs &amp; Drivers'!$G$68:$G$78,MATCH(Model!CM$4,'Inputs &amp; Drivers'!$B$68:$B$78))/12))</f>
        <v>28.137709633279172</v>
      </c>
      <c r="CN29" s="341">
        <f>CM29*(1+(INDEX('Inputs &amp; Drivers'!$G$68:$G$78,MATCH(Model!CN$4,'Inputs &amp; Drivers'!$B$68:$B$78))/12))</f>
        <v>28.184605816001305</v>
      </c>
      <c r="CO29" s="341">
        <f>CN29*(1+(INDEX('Inputs &amp; Drivers'!$G$68:$G$78,MATCH(Model!CO$4,'Inputs &amp; Drivers'!$B$68:$B$78))/12))</f>
        <v>28.231580159027974</v>
      </c>
      <c r="CP29" s="341">
        <f>CO29*(1+(INDEX('Inputs &amp; Drivers'!$G$68:$G$78,MATCH(Model!CP$4,'Inputs &amp; Drivers'!$B$68:$B$78))/12))</f>
        <v>28.278632792626354</v>
      </c>
      <c r="CQ29" s="341">
        <f>CP29*(1+(INDEX('Inputs &amp; Drivers'!$G$68:$G$78,MATCH(Model!CQ$4,'Inputs &amp; Drivers'!$B$68:$B$78))/12))</f>
        <v>28.325763847280733</v>
      </c>
      <c r="CR29" s="341">
        <f>CQ29*(1+(INDEX('Inputs &amp; Drivers'!$G$68:$G$78,MATCH(Model!CR$4,'Inputs &amp; Drivers'!$B$68:$B$78))/12))</f>
        <v>28.372973453692868</v>
      </c>
      <c r="CS29" s="341">
        <f>CR29*(1+(INDEX('Inputs &amp; Drivers'!$G$68:$G$78,MATCH(Model!CS$4,'Inputs &amp; Drivers'!$B$68:$B$78))/12))</f>
        <v>28.420261742782358</v>
      </c>
      <c r="CT29" s="341">
        <f>CS29*(1+(INDEX('Inputs &amp; Drivers'!$G$68:$G$78,MATCH(Model!CT$4,'Inputs &amp; Drivers'!$B$68:$B$78))/12))</f>
        <v>28.467628845686995</v>
      </c>
      <c r="CU29" s="341">
        <f>CT29*(1+(INDEX('Inputs &amp; Drivers'!$G$68:$G$78,MATCH(Model!CU$4,'Inputs &amp; Drivers'!$B$68:$B$78))/12))</f>
        <v>28.515074893763142</v>
      </c>
      <c r="CV29" s="341">
        <f>CU29*(1+(INDEX('Inputs &amp; Drivers'!$G$68:$G$78,MATCH(Model!CV$4,'Inputs &amp; Drivers'!$B$68:$B$78))/12))</f>
        <v>28.562600018586082</v>
      </c>
      <c r="CW29" s="341">
        <f>CV29*(1+(INDEX('Inputs &amp; Drivers'!$G$68:$G$78,MATCH(Model!CW$4,'Inputs &amp; Drivers'!$B$68:$B$78))/12))</f>
        <v>28.610204351950394</v>
      </c>
      <c r="CX29" s="341">
        <f>CW29*(1+(INDEX('Inputs &amp; Drivers'!$G$68:$G$78,MATCH(Model!CX$4,'Inputs &amp; Drivers'!$B$68:$B$78))/12))</f>
        <v>28.657888025870314</v>
      </c>
      <c r="CY29" s="341">
        <f>CX29*(1+(INDEX('Inputs &amp; Drivers'!$G$68:$G$78,MATCH(Model!CY$4,'Inputs &amp; Drivers'!$B$68:$B$78))/12))</f>
        <v>28.705651172580097</v>
      </c>
      <c r="CZ29" s="341">
        <f>CY29*(1+(INDEX('Inputs &amp; Drivers'!$G$68:$G$78,MATCH(Model!CZ$4,'Inputs &amp; Drivers'!$B$68:$B$78))/12))</f>
        <v>28.7534939245344</v>
      </c>
      <c r="DA29" s="341">
        <f>CZ29*(1+(INDEX('Inputs &amp; Drivers'!$G$68:$G$78,MATCH(Model!DA$4,'Inputs &amp; Drivers'!$B$68:$B$78))/12))</f>
        <v>28.801416414408624</v>
      </c>
      <c r="DB29" s="341">
        <f>DA29*(1+(INDEX('Inputs &amp; Drivers'!$G$68:$G$78,MATCH(Model!DB$4,'Inputs &amp; Drivers'!$B$68:$B$78))/12))</f>
        <v>28.849418775099306</v>
      </c>
      <c r="DC29" s="341">
        <f>DB29*(1+(INDEX('Inputs &amp; Drivers'!$G$68:$G$78,MATCH(Model!DC$4,'Inputs &amp; Drivers'!$B$68:$B$78))/12))</f>
        <v>28.897501139724472</v>
      </c>
      <c r="DD29" s="341">
        <f>DC29*(1+(INDEX('Inputs &amp; Drivers'!$G$68:$G$78,MATCH(Model!DD$4,'Inputs &amp; Drivers'!$B$68:$B$78))/12))</f>
        <v>28.945663641624012</v>
      </c>
      <c r="DE29" s="341">
        <f>DD29*(1+(INDEX('Inputs &amp; Drivers'!$G$68:$G$78,MATCH(Model!DE$4,'Inputs &amp; Drivers'!$B$68:$B$78))/12))</f>
        <v>28.993906414360055</v>
      </c>
      <c r="DF29" s="341">
        <f>DE29*(1+(INDEX('Inputs &amp; Drivers'!$G$68:$G$78,MATCH(Model!DF$4,'Inputs &amp; Drivers'!$B$68:$B$78))/12))</f>
        <v>29.042229591717323</v>
      </c>
      <c r="DG29" s="341">
        <f>DF29*(1+(INDEX('Inputs &amp; Drivers'!$G$68:$G$78,MATCH(Model!DG$4,'Inputs &amp; Drivers'!$B$68:$B$78))/12))</f>
        <v>29.09063330770352</v>
      </c>
      <c r="DH29" s="341">
        <f>DG29*(1+(INDEX('Inputs &amp; Drivers'!$G$68:$G$78,MATCH(Model!DH$4,'Inputs &amp; Drivers'!$B$68:$B$78))/12))</f>
        <v>29.139117696549693</v>
      </c>
      <c r="DI29" s="341">
        <f>DH29*(1+(INDEX('Inputs &amp; Drivers'!$G$68:$G$78,MATCH(Model!DI$4,'Inputs &amp; Drivers'!$B$68:$B$78))/12))</f>
        <v>29.187682892710612</v>
      </c>
      <c r="DJ29" s="341">
        <f>DI29*(1+(INDEX('Inputs &amp; Drivers'!$G$68:$G$78,MATCH(Model!DJ$4,'Inputs &amp; Drivers'!$B$68:$B$78))/12))</f>
        <v>29.236329030865132</v>
      </c>
      <c r="DK29" s="341">
        <f>DJ29*(1+(INDEX('Inputs &amp; Drivers'!$G$68:$G$78,MATCH(Model!DK$4,'Inputs &amp; Drivers'!$B$68:$B$78))/12))</f>
        <v>29.285056245916575</v>
      </c>
      <c r="DL29" s="341">
        <f>DK29*(1+(INDEX('Inputs &amp; Drivers'!$G$68:$G$78,MATCH(Model!DL$4,'Inputs &amp; Drivers'!$B$68:$B$78))/12))</f>
        <v>29.333864672993105</v>
      </c>
      <c r="DM29" s="341">
        <f>DL29*(1+(INDEX('Inputs &amp; Drivers'!$G$68:$G$78,MATCH(Model!DM$4,'Inputs &amp; Drivers'!$B$68:$B$78))/12))</f>
        <v>29.382754447448093</v>
      </c>
      <c r="DN29" s="341">
        <f>DM29*(1+(INDEX('Inputs &amp; Drivers'!$G$68:$G$78,MATCH(Model!DN$4,'Inputs &amp; Drivers'!$B$68:$B$78))/12))</f>
        <v>29.431725704860508</v>
      </c>
      <c r="DO29" s="341">
        <f>DN29*(1+(INDEX('Inputs &amp; Drivers'!$G$68:$G$78,MATCH(Model!DO$4,'Inputs &amp; Drivers'!$B$68:$B$78))/12))</f>
        <v>29.480778581035278</v>
      </c>
      <c r="DP29" s="341">
        <f>DO29*(1+(INDEX('Inputs &amp; Drivers'!$G$68:$G$78,MATCH(Model!DP$4,'Inputs &amp; Drivers'!$B$68:$B$78))/12))</f>
        <v>29.52991321200367</v>
      </c>
      <c r="DQ29" s="341">
        <f>DP29*(1+(INDEX('Inputs &amp; Drivers'!$G$68:$G$78,MATCH(Model!DQ$4,'Inputs &amp; Drivers'!$B$68:$B$78))/12))</f>
        <v>29.579129734023677</v>
      </c>
      <c r="DR29" s="341">
        <f>DQ29*(1+(INDEX('Inputs &amp; Drivers'!$G$68:$G$78,MATCH(Model!DR$4,'Inputs &amp; Drivers'!$B$68:$B$78))/12))</f>
        <v>29.628428283580384</v>
      </c>
      <c r="DS29" s="341">
        <f>DR29*(1+(INDEX('Inputs &amp; Drivers'!$G$68:$G$78,MATCH(Model!DS$4,'Inputs &amp; Drivers'!$B$68:$B$78))/12))</f>
        <v>29.677808997386354</v>
      </c>
      <c r="DT29" s="341">
        <f>DS29*(1+(INDEX('Inputs &amp; Drivers'!$G$68:$G$78,MATCH(Model!DT$4,'Inputs &amp; Drivers'!$B$68:$B$78))/12))</f>
        <v>29.727272012381999</v>
      </c>
      <c r="DU29" s="341">
        <f>DT29*(1+(INDEX('Inputs &amp; Drivers'!$G$68:$G$78,MATCH(Model!DU$4,'Inputs &amp; Drivers'!$B$68:$B$78))/12))</f>
        <v>29.77681746573597</v>
      </c>
      <c r="DV29" s="341">
        <f>DU29*(1+(INDEX('Inputs &amp; Drivers'!$G$68:$G$78,MATCH(Model!DV$4,'Inputs &amp; Drivers'!$B$68:$B$78))/12))</f>
        <v>29.82644549484553</v>
      </c>
      <c r="DW29" s="341">
        <f>DV29*(1+(INDEX('Inputs &amp; Drivers'!$G$68:$G$78,MATCH(Model!DW$4,'Inputs &amp; Drivers'!$B$68:$B$78))/12))</f>
        <v>29.876156237336939</v>
      </c>
      <c r="DX29" s="341">
        <f>DW29*(1+(INDEX('Inputs &amp; Drivers'!$G$68:$G$78,MATCH(Model!DX$4,'Inputs &amp; Drivers'!$B$68:$B$78))/12))</f>
        <v>29.925949831065836</v>
      </c>
      <c r="DY29" s="341">
        <f>DX29*(1+(INDEX('Inputs &amp; Drivers'!$G$68:$G$78,MATCH(Model!DY$4,'Inputs &amp; Drivers'!$B$68:$B$78))/12))</f>
        <v>29.975826414117613</v>
      </c>
      <c r="DZ29" s="341">
        <f>DY29*(1+(INDEX('Inputs &amp; Drivers'!$G$68:$G$78,MATCH(Model!DZ$4,'Inputs &amp; Drivers'!$B$68:$B$78))/12))</f>
        <v>30.025786124807809</v>
      </c>
      <c r="EA29" s="341">
        <f>DZ29*(1+(INDEX('Inputs &amp; Drivers'!$G$68:$G$78,MATCH(Model!EA$4,'Inputs &amp; Drivers'!$B$68:$B$78))/12))</f>
        <v>30.075829101682491</v>
      </c>
      <c r="EB29" s="341">
        <f>EA29*(1+(INDEX('Inputs &amp; Drivers'!$G$68:$G$78,MATCH(Model!EB$4,'Inputs &amp; Drivers'!$B$68:$B$78))/12))</f>
        <v>30.125955483518631</v>
      </c>
      <c r="EC29" s="341">
        <f>EB29*(1+(INDEX('Inputs &amp; Drivers'!$G$68:$G$78,MATCH(Model!EC$4,'Inputs &amp; Drivers'!$B$68:$B$78))/12))</f>
        <v>30.176165409324497</v>
      </c>
      <c r="ED29" s="341">
        <f>EC29*(1+(INDEX('Inputs &amp; Drivers'!$G$68:$G$78,MATCH(Model!ED$4,'Inputs &amp; Drivers'!$B$68:$B$78))/12))</f>
        <v>30.226459018340041</v>
      </c>
      <c r="EE29" s="341">
        <f>ED29*(1+(INDEX('Inputs &amp; Drivers'!$G$68:$G$78,MATCH(Model!EE$4,'Inputs &amp; Drivers'!$B$68:$B$78))/12))</f>
        <v>30.276836450037276</v>
      </c>
      <c r="EF29" s="341">
        <f>EE29*(1+(INDEX('Inputs &amp; Drivers'!$G$68:$G$78,MATCH(Model!EF$4,'Inputs &amp; Drivers'!$B$68:$B$78))/12))</f>
        <v>30.327297844120672</v>
      </c>
      <c r="EG29" s="341">
        <f>EF29*(1+(INDEX('Inputs &amp; Drivers'!$G$68:$G$78,MATCH(Model!EG$4,'Inputs &amp; Drivers'!$B$68:$B$78))/12))</f>
        <v>30.377843340527541</v>
      </c>
      <c r="EH29" s="341">
        <f>EG29*(1+(INDEX('Inputs &amp; Drivers'!$G$68:$G$78,MATCH(Model!EH$4,'Inputs &amp; Drivers'!$B$68:$B$78))/12))</f>
        <v>30.428473079428421</v>
      </c>
      <c r="EI29" s="341">
        <f>EH29*(1+(INDEX('Inputs &amp; Drivers'!$G$68:$G$78,MATCH(Model!EI$4,'Inputs &amp; Drivers'!$B$68:$B$78))/12))</f>
        <v>30.479187201227472</v>
      </c>
      <c r="EJ29" s="341">
        <f>EI29*(1+(INDEX('Inputs &amp; Drivers'!$G$68:$G$78,MATCH(Model!EJ$4,'Inputs &amp; Drivers'!$B$68:$B$78))/12))</f>
        <v>30.529985846562852</v>
      </c>
      <c r="EL29" s="12">
        <f t="shared" si="148"/>
        <v>25</v>
      </c>
      <c r="EM29" s="12">
        <f t="shared" si="148"/>
        <v>25</v>
      </c>
      <c r="EN29" s="12">
        <f t="shared" si="148"/>
        <v>25.504608892037549</v>
      </c>
      <c r="EO29" s="12">
        <f t="shared" si="148"/>
        <v>26.019402989432024</v>
      </c>
      <c r="EP29" s="12">
        <f t="shared" si="148"/>
        <v>26.544587873991052</v>
      </c>
      <c r="EQ29" s="12">
        <f t="shared" si="148"/>
        <v>27.080373277058566</v>
      </c>
      <c r="ER29" s="12">
        <f t="shared" si="148"/>
        <v>27.626973163270545</v>
      </c>
      <c r="ES29" s="12">
        <f t="shared" si="148"/>
        <v>28.184605816001305</v>
      </c>
      <c r="ET29" s="12">
        <f t="shared" si="148"/>
        <v>28.7534939245344</v>
      </c>
      <c r="EU29" s="12">
        <f t="shared" si="148"/>
        <v>29.333864672993105</v>
      </c>
      <c r="EV29" s="12">
        <f t="shared" si="148"/>
        <v>29.925949831065836</v>
      </c>
      <c r="EW29" s="12">
        <f t="shared" si="148"/>
        <v>30.529985846562852</v>
      </c>
    </row>
    <row r="30" spans="2:153" outlineLevel="1" x14ac:dyDescent="0.4"/>
    <row r="31" spans="2:153" outlineLevel="1" x14ac:dyDescent="0.4">
      <c r="B31" s="94" t="s">
        <v>281</v>
      </c>
    </row>
    <row r="32" spans="2:153" outlineLevel="1" x14ac:dyDescent="0.4">
      <c r="B32" s="1" t="s">
        <v>40</v>
      </c>
      <c r="H32" s="254">
        <f>'Inputs &amp; Drivers'!I49</f>
        <v>600</v>
      </c>
      <c r="I32" s="342">
        <f>H32*(1+(INDEX('Inputs &amp; Drivers'!$I$68:$I$78,MATCH(Model!I$4,'Inputs &amp; Drivers'!$B$68:$B$78))/12))</f>
        <v>600</v>
      </c>
      <c r="J32" s="342">
        <f>I32*(1+(INDEX('Inputs &amp; Drivers'!$I$68:$I$78,MATCH(Model!J$4,'Inputs &amp; Drivers'!$B$68:$B$78))/12))</f>
        <v>600</v>
      </c>
      <c r="K32" s="342">
        <f>J32*(1+(INDEX('Inputs &amp; Drivers'!$I$68:$I$78,MATCH(Model!K$4,'Inputs &amp; Drivers'!$B$68:$B$78))/12))</f>
        <v>600</v>
      </c>
      <c r="L32" s="342">
        <f>K32*(1+(INDEX('Inputs &amp; Drivers'!$I$68:$I$78,MATCH(Model!L$4,'Inputs &amp; Drivers'!$B$68:$B$78))/12))</f>
        <v>600</v>
      </c>
      <c r="M32" s="342">
        <f>L32*(1+(INDEX('Inputs &amp; Drivers'!$I$68:$I$78,MATCH(Model!M$4,'Inputs &amp; Drivers'!$B$68:$B$78))/12))</f>
        <v>600</v>
      </c>
      <c r="N32" s="342">
        <f>M32*(1+(INDEX('Inputs &amp; Drivers'!$I$68:$I$78,MATCH(Model!N$4,'Inputs &amp; Drivers'!$B$68:$B$78))/12))</f>
        <v>600</v>
      </c>
      <c r="O32" s="342">
        <f>N32*(1+(INDEX('Inputs &amp; Drivers'!$I$68:$I$78,MATCH(Model!O$4,'Inputs &amp; Drivers'!$B$68:$B$78))/12))</f>
        <v>600</v>
      </c>
      <c r="P32" s="342">
        <f>O32*(1+(INDEX('Inputs &amp; Drivers'!$I$68:$I$78,MATCH(Model!P$4,'Inputs &amp; Drivers'!$B$68:$B$78))/12))</f>
        <v>600</v>
      </c>
      <c r="Q32" s="342">
        <f>P32*(1+(INDEX('Inputs &amp; Drivers'!$I$68:$I$78,MATCH(Model!Q$4,'Inputs &amp; Drivers'!$B$68:$B$78))/12))</f>
        <v>600</v>
      </c>
      <c r="R32" s="342">
        <f>Q32*(1+(INDEX('Inputs &amp; Drivers'!$I$68:$I$78,MATCH(Model!R$4,'Inputs &amp; Drivers'!$B$68:$B$78))/12))</f>
        <v>600</v>
      </c>
      <c r="S32" s="342">
        <f>R32*(1+(INDEX('Inputs &amp; Drivers'!$I$68:$I$78,MATCH(Model!S$4,'Inputs &amp; Drivers'!$B$68:$B$78))/12))</f>
        <v>600</v>
      </c>
      <c r="T32" s="342">
        <f>S32*(1+(INDEX('Inputs &amp; Drivers'!$I$68:$I$78,MATCH(Model!T$4,'Inputs &amp; Drivers'!$B$68:$B$78))/12))</f>
        <v>600</v>
      </c>
      <c r="U32" s="342">
        <f>T32*(1+(INDEX('Inputs &amp; Drivers'!$I$68:$I$78,MATCH(Model!U$4,'Inputs &amp; Drivers'!$B$68:$B$78))/12))</f>
        <v>601</v>
      </c>
      <c r="V32" s="342">
        <f>U32*(1+(INDEX('Inputs &amp; Drivers'!$I$68:$I$78,MATCH(Model!V$4,'Inputs &amp; Drivers'!$B$68:$B$78))/12))</f>
        <v>602.00166666666667</v>
      </c>
      <c r="W32" s="342">
        <f>V32*(1+(INDEX('Inputs &amp; Drivers'!$I$68:$I$78,MATCH(Model!W$4,'Inputs &amp; Drivers'!$B$68:$B$78))/12))</f>
        <v>603.0050027777778</v>
      </c>
      <c r="X32" s="342">
        <f>W32*(1+(INDEX('Inputs &amp; Drivers'!$I$68:$I$78,MATCH(Model!X$4,'Inputs &amp; Drivers'!$B$68:$B$78))/12))</f>
        <v>604.01001111574078</v>
      </c>
      <c r="Y32" s="342">
        <f>X32*(1+(INDEX('Inputs &amp; Drivers'!$I$68:$I$78,MATCH(Model!Y$4,'Inputs &amp; Drivers'!$B$68:$B$78))/12))</f>
        <v>605.01669446760036</v>
      </c>
      <c r="Z32" s="342">
        <f>Y32*(1+(INDEX('Inputs &amp; Drivers'!$I$68:$I$78,MATCH(Model!Z$4,'Inputs &amp; Drivers'!$B$68:$B$78))/12))</f>
        <v>606.02505562504643</v>
      </c>
      <c r="AA32" s="342">
        <f>Z32*(1+(INDEX('Inputs &amp; Drivers'!$I$68:$I$78,MATCH(Model!AA$4,'Inputs &amp; Drivers'!$B$68:$B$78))/12))</f>
        <v>607.03509738442153</v>
      </c>
      <c r="AB32" s="342">
        <f>AA32*(1+(INDEX('Inputs &amp; Drivers'!$I$68:$I$78,MATCH(Model!AB$4,'Inputs &amp; Drivers'!$B$68:$B$78))/12))</f>
        <v>608.04682254672889</v>
      </c>
      <c r="AC32" s="342">
        <f>AB32*(1+(INDEX('Inputs &amp; Drivers'!$I$68:$I$78,MATCH(Model!AC$4,'Inputs &amp; Drivers'!$B$68:$B$78))/12))</f>
        <v>609.06023391764018</v>
      </c>
      <c r="AD32" s="342">
        <f>AC32*(1+(INDEX('Inputs &amp; Drivers'!$I$68:$I$78,MATCH(Model!AD$4,'Inputs &amp; Drivers'!$B$68:$B$78))/12))</f>
        <v>610.07533430750289</v>
      </c>
      <c r="AE32" s="342">
        <f>AD32*(1+(INDEX('Inputs &amp; Drivers'!$I$68:$I$78,MATCH(Model!AE$4,'Inputs &amp; Drivers'!$B$68:$B$78))/12))</f>
        <v>611.09212653134875</v>
      </c>
      <c r="AF32" s="342">
        <f>AE32*(1+(INDEX('Inputs &amp; Drivers'!$I$68:$I$78,MATCH(Model!AF$4,'Inputs &amp; Drivers'!$B$68:$B$78))/12))</f>
        <v>612.11061340890103</v>
      </c>
      <c r="AG32" s="342">
        <f>AF32*(1+(INDEX('Inputs &amp; Drivers'!$I$68:$I$78,MATCH(Model!AG$4,'Inputs &amp; Drivers'!$B$68:$B$78))/12))</f>
        <v>613.6408899424232</v>
      </c>
      <c r="AH32" s="342">
        <f>AG32*(1+(INDEX('Inputs &amp; Drivers'!$I$68:$I$78,MATCH(Model!AH$4,'Inputs &amp; Drivers'!$B$68:$B$78))/12))</f>
        <v>615.17499216727924</v>
      </c>
      <c r="AI32" s="342">
        <f>AH32*(1+(INDEX('Inputs &amp; Drivers'!$I$68:$I$78,MATCH(Model!AI$4,'Inputs &amp; Drivers'!$B$68:$B$78))/12))</f>
        <v>616.71292964769736</v>
      </c>
      <c r="AJ32" s="342">
        <f>AI32*(1+(INDEX('Inputs &amp; Drivers'!$I$68:$I$78,MATCH(Model!AJ$4,'Inputs &amp; Drivers'!$B$68:$B$78))/12))</f>
        <v>618.25471197181662</v>
      </c>
      <c r="AK32" s="342">
        <f>AJ32*(1+(INDEX('Inputs &amp; Drivers'!$I$68:$I$78,MATCH(Model!AK$4,'Inputs &amp; Drivers'!$B$68:$B$78))/12))</f>
        <v>619.80034875174613</v>
      </c>
      <c r="AL32" s="342">
        <f>AK32*(1+(INDEX('Inputs &amp; Drivers'!$I$68:$I$78,MATCH(Model!AL$4,'Inputs &amp; Drivers'!$B$68:$B$78))/12))</f>
        <v>621.34984962362546</v>
      </c>
      <c r="AM32" s="342">
        <f>AL32*(1+(INDEX('Inputs &amp; Drivers'!$I$68:$I$78,MATCH(Model!AM$4,'Inputs &amp; Drivers'!$B$68:$B$78))/12))</f>
        <v>622.90322424768453</v>
      </c>
      <c r="AN32" s="342">
        <f>AM32*(1+(INDEX('Inputs &amp; Drivers'!$I$68:$I$78,MATCH(Model!AN$4,'Inputs &amp; Drivers'!$B$68:$B$78))/12))</f>
        <v>624.46048230830377</v>
      </c>
      <c r="AO32" s="342">
        <f>AN32*(1+(INDEX('Inputs &amp; Drivers'!$I$68:$I$78,MATCH(Model!AO$4,'Inputs &amp; Drivers'!$B$68:$B$78))/12))</f>
        <v>626.02163351407444</v>
      </c>
      <c r="AP32" s="342">
        <f>AO32*(1+(INDEX('Inputs &amp; Drivers'!$I$68:$I$78,MATCH(Model!AP$4,'Inputs &amp; Drivers'!$B$68:$B$78))/12))</f>
        <v>627.58668759785962</v>
      </c>
      <c r="AQ32" s="342">
        <f>AP32*(1+(INDEX('Inputs &amp; Drivers'!$I$68:$I$78,MATCH(Model!AQ$4,'Inputs &amp; Drivers'!$B$68:$B$78))/12))</f>
        <v>629.15565431685422</v>
      </c>
      <c r="AR32" s="342">
        <f>AQ32*(1+(INDEX('Inputs &amp; Drivers'!$I$68:$I$78,MATCH(Model!AR$4,'Inputs &amp; Drivers'!$B$68:$B$78))/12))</f>
        <v>630.72854345264636</v>
      </c>
      <c r="AS32" s="342">
        <f>AR32*(1+(INDEX('Inputs &amp; Drivers'!$I$68:$I$78,MATCH(Model!AS$4,'Inputs &amp; Drivers'!$B$68:$B$78))/12))</f>
        <v>632.30536481127797</v>
      </c>
      <c r="AT32" s="342">
        <f>AS32*(1+(INDEX('Inputs &amp; Drivers'!$I$68:$I$78,MATCH(Model!AT$4,'Inputs &amp; Drivers'!$B$68:$B$78))/12))</f>
        <v>633.88612822330617</v>
      </c>
      <c r="AU32" s="342">
        <f>AT32*(1+(INDEX('Inputs &amp; Drivers'!$I$68:$I$78,MATCH(Model!AU$4,'Inputs &amp; Drivers'!$B$68:$B$78))/12))</f>
        <v>635.47084354386436</v>
      </c>
      <c r="AV32" s="342">
        <f>AU32*(1+(INDEX('Inputs &amp; Drivers'!$I$68:$I$78,MATCH(Model!AV$4,'Inputs &amp; Drivers'!$B$68:$B$78))/12))</f>
        <v>637.05952065272402</v>
      </c>
      <c r="AW32" s="342">
        <f>AV32*(1+(INDEX('Inputs &amp; Drivers'!$I$68:$I$78,MATCH(Model!AW$4,'Inputs &amp; Drivers'!$B$68:$B$78))/12))</f>
        <v>638.65216945435577</v>
      </c>
      <c r="AX32" s="342">
        <f>AW32*(1+(INDEX('Inputs &amp; Drivers'!$I$68:$I$78,MATCH(Model!AX$4,'Inputs &amp; Drivers'!$B$68:$B$78))/12))</f>
        <v>640.24879987799159</v>
      </c>
      <c r="AY32" s="342">
        <f>AX32*(1+(INDEX('Inputs &amp; Drivers'!$I$68:$I$78,MATCH(Model!AY$4,'Inputs &amp; Drivers'!$B$68:$B$78))/12))</f>
        <v>641.8494218776865</v>
      </c>
      <c r="AZ32" s="342">
        <f>AY32*(1+(INDEX('Inputs &amp; Drivers'!$I$68:$I$78,MATCH(Model!AZ$4,'Inputs &amp; Drivers'!$B$68:$B$78))/12))</f>
        <v>643.45404543238067</v>
      </c>
      <c r="BA32" s="342">
        <f>AZ32*(1+(INDEX('Inputs &amp; Drivers'!$I$68:$I$78,MATCH(Model!BA$4,'Inputs &amp; Drivers'!$B$68:$B$78))/12))</f>
        <v>645.0626805459616</v>
      </c>
      <c r="BB32" s="342">
        <f>BA32*(1+(INDEX('Inputs &amp; Drivers'!$I$68:$I$78,MATCH(Model!BB$4,'Inputs &amp; Drivers'!$B$68:$B$78))/12))</f>
        <v>646.67533724732652</v>
      </c>
      <c r="BC32" s="342">
        <f>BB32*(1+(INDEX('Inputs &amp; Drivers'!$I$68:$I$78,MATCH(Model!BC$4,'Inputs &amp; Drivers'!$B$68:$B$78))/12))</f>
        <v>648.29202559044484</v>
      </c>
      <c r="BD32" s="342">
        <f>BC32*(1+(INDEX('Inputs &amp; Drivers'!$I$68:$I$78,MATCH(Model!BD$4,'Inputs &amp; Drivers'!$B$68:$B$78))/12))</f>
        <v>649.91275565442095</v>
      </c>
      <c r="BE32" s="342">
        <f>BD32*(1+(INDEX('Inputs &amp; Drivers'!$I$68:$I$78,MATCH(Model!BE$4,'Inputs &amp; Drivers'!$B$68:$B$78))/12))</f>
        <v>651.53753754355694</v>
      </c>
      <c r="BF32" s="342">
        <f>BE32*(1+(INDEX('Inputs &amp; Drivers'!$I$68:$I$78,MATCH(Model!BF$4,'Inputs &amp; Drivers'!$B$68:$B$78))/12))</f>
        <v>653.16638138741575</v>
      </c>
      <c r="BG32" s="342">
        <f>BF32*(1+(INDEX('Inputs &amp; Drivers'!$I$68:$I$78,MATCH(Model!BG$4,'Inputs &amp; Drivers'!$B$68:$B$78))/12))</f>
        <v>654.79929734088421</v>
      </c>
      <c r="BH32" s="342">
        <f>BG32*(1+(INDEX('Inputs &amp; Drivers'!$I$68:$I$78,MATCH(Model!BH$4,'Inputs &amp; Drivers'!$B$68:$B$78))/12))</f>
        <v>656.4362955842364</v>
      </c>
      <c r="BI32" s="342">
        <f>BH32*(1+(INDEX('Inputs &amp; Drivers'!$I$68:$I$78,MATCH(Model!BI$4,'Inputs &amp; Drivers'!$B$68:$B$78))/12))</f>
        <v>658.07738632319695</v>
      </c>
      <c r="BJ32" s="342">
        <f>BI32*(1+(INDEX('Inputs &amp; Drivers'!$I$68:$I$78,MATCH(Model!BJ$4,'Inputs &amp; Drivers'!$B$68:$B$78))/12))</f>
        <v>659.72257978900495</v>
      </c>
      <c r="BK32" s="342">
        <f>BJ32*(1+(INDEX('Inputs &amp; Drivers'!$I$68:$I$78,MATCH(Model!BK$4,'Inputs &amp; Drivers'!$B$68:$B$78))/12))</f>
        <v>661.37188623847749</v>
      </c>
      <c r="BL32" s="342">
        <f>BK32*(1+(INDEX('Inputs &amp; Drivers'!$I$68:$I$78,MATCH(Model!BL$4,'Inputs &amp; Drivers'!$B$68:$B$78))/12))</f>
        <v>663.02531595407368</v>
      </c>
      <c r="BM32" s="342">
        <f>BL32*(1+(INDEX('Inputs &amp; Drivers'!$I$68:$I$78,MATCH(Model!BM$4,'Inputs &amp; Drivers'!$B$68:$B$78))/12))</f>
        <v>664.68287924395884</v>
      </c>
      <c r="BN32" s="342">
        <f>BM32*(1+(INDEX('Inputs &amp; Drivers'!$I$68:$I$78,MATCH(Model!BN$4,'Inputs &amp; Drivers'!$B$68:$B$78))/12))</f>
        <v>666.3445864420687</v>
      </c>
      <c r="BO32" s="342">
        <f>BN32*(1+(INDEX('Inputs &amp; Drivers'!$I$68:$I$78,MATCH(Model!BO$4,'Inputs &amp; Drivers'!$B$68:$B$78))/12))</f>
        <v>668.01044790817389</v>
      </c>
      <c r="BP32" s="342">
        <f>BO32*(1+(INDEX('Inputs &amp; Drivers'!$I$68:$I$78,MATCH(Model!BP$4,'Inputs &amp; Drivers'!$B$68:$B$78))/12))</f>
        <v>669.68047402794434</v>
      </c>
      <c r="BQ32" s="342">
        <f>BP32*(1+(INDEX('Inputs &amp; Drivers'!$I$68:$I$78,MATCH(Model!BQ$4,'Inputs &amp; Drivers'!$B$68:$B$78))/12))</f>
        <v>671.35467521301416</v>
      </c>
      <c r="BR32" s="342">
        <f>BQ32*(1+(INDEX('Inputs &amp; Drivers'!$I$68:$I$78,MATCH(Model!BR$4,'Inputs &amp; Drivers'!$B$68:$B$78))/12))</f>
        <v>673.03306190104661</v>
      </c>
      <c r="BS32" s="342">
        <f>BR32*(1+(INDEX('Inputs &amp; Drivers'!$I$68:$I$78,MATCH(Model!BS$4,'Inputs &amp; Drivers'!$B$68:$B$78))/12))</f>
        <v>674.71564455579914</v>
      </c>
      <c r="BT32" s="342">
        <f>BS32*(1+(INDEX('Inputs &amp; Drivers'!$I$68:$I$78,MATCH(Model!BT$4,'Inputs &amp; Drivers'!$B$68:$B$78))/12))</f>
        <v>676.40243366718857</v>
      </c>
      <c r="BU32" s="342">
        <f>BT32*(1+(INDEX('Inputs &amp; Drivers'!$I$68:$I$78,MATCH(Model!BU$4,'Inputs &amp; Drivers'!$B$68:$B$78))/12))</f>
        <v>678.09343975135653</v>
      </c>
      <c r="BV32" s="342">
        <f>BU32*(1+(INDEX('Inputs &amp; Drivers'!$I$68:$I$78,MATCH(Model!BV$4,'Inputs &amp; Drivers'!$B$68:$B$78))/12))</f>
        <v>679.78867335073494</v>
      </c>
      <c r="BW32" s="342">
        <f>BV32*(1+(INDEX('Inputs &amp; Drivers'!$I$68:$I$78,MATCH(Model!BW$4,'Inputs &amp; Drivers'!$B$68:$B$78))/12))</f>
        <v>681.48814503411177</v>
      </c>
      <c r="BX32" s="342">
        <f>BW32*(1+(INDEX('Inputs &amp; Drivers'!$I$68:$I$78,MATCH(Model!BX$4,'Inputs &amp; Drivers'!$B$68:$B$78))/12))</f>
        <v>683.19186539669704</v>
      </c>
      <c r="BY32" s="342">
        <f>BX32*(1+(INDEX('Inputs &amp; Drivers'!$I$68:$I$78,MATCH(Model!BY$4,'Inputs &amp; Drivers'!$B$68:$B$78))/12))</f>
        <v>684.8998450601888</v>
      </c>
      <c r="BZ32" s="342">
        <f>BY32*(1+(INDEX('Inputs &amp; Drivers'!$I$68:$I$78,MATCH(Model!BZ$4,'Inputs &amp; Drivers'!$B$68:$B$78))/12))</f>
        <v>686.61209467283925</v>
      </c>
      <c r="CA32" s="342">
        <f>BZ32*(1+(INDEX('Inputs &amp; Drivers'!$I$68:$I$78,MATCH(Model!CA$4,'Inputs &amp; Drivers'!$B$68:$B$78))/12))</f>
        <v>688.3286249095213</v>
      </c>
      <c r="CB32" s="342">
        <f>CA32*(1+(INDEX('Inputs &amp; Drivers'!$I$68:$I$78,MATCH(Model!CB$4,'Inputs &amp; Drivers'!$B$68:$B$78))/12))</f>
        <v>690.04944647179502</v>
      </c>
      <c r="CC32" s="342">
        <f>CB32*(1+(INDEX('Inputs &amp; Drivers'!$I$68:$I$78,MATCH(Model!CC$4,'Inputs &amp; Drivers'!$B$68:$B$78))/12))</f>
        <v>691.77457008797444</v>
      </c>
      <c r="CD32" s="342">
        <f>CC32*(1+(INDEX('Inputs &amp; Drivers'!$I$68:$I$78,MATCH(Model!CD$4,'Inputs &amp; Drivers'!$B$68:$B$78))/12))</f>
        <v>693.50400651319433</v>
      </c>
      <c r="CE32" s="342">
        <f>CD32*(1+(INDEX('Inputs &amp; Drivers'!$I$68:$I$78,MATCH(Model!CE$4,'Inputs &amp; Drivers'!$B$68:$B$78))/12))</f>
        <v>695.23776652947731</v>
      </c>
      <c r="CF32" s="342">
        <f>CE32*(1+(INDEX('Inputs &amp; Drivers'!$I$68:$I$78,MATCH(Model!CF$4,'Inputs &amp; Drivers'!$B$68:$B$78))/12))</f>
        <v>696.97586094580095</v>
      </c>
      <c r="CG32" s="342">
        <f>CF32*(1+(INDEX('Inputs &amp; Drivers'!$I$68:$I$78,MATCH(Model!CG$4,'Inputs &amp; Drivers'!$B$68:$B$78))/12))</f>
        <v>698.71830059816546</v>
      </c>
      <c r="CH32" s="342">
        <f>CG32*(1+(INDEX('Inputs &amp; Drivers'!$I$68:$I$78,MATCH(Model!CH$4,'Inputs &amp; Drivers'!$B$68:$B$78))/12))</f>
        <v>700.46509634966083</v>
      </c>
      <c r="CI32" s="342">
        <f>CH32*(1+(INDEX('Inputs &amp; Drivers'!$I$68:$I$78,MATCH(Model!CI$4,'Inputs &amp; Drivers'!$B$68:$B$78))/12))</f>
        <v>702.21625909053489</v>
      </c>
      <c r="CJ32" s="342">
        <f>CI32*(1+(INDEX('Inputs &amp; Drivers'!$I$68:$I$78,MATCH(Model!CJ$4,'Inputs &amp; Drivers'!$B$68:$B$78))/12))</f>
        <v>703.97179973826121</v>
      </c>
      <c r="CK32" s="342">
        <f>CJ32*(1+(INDEX('Inputs &amp; Drivers'!$I$68:$I$78,MATCH(Model!CK$4,'Inputs &amp; Drivers'!$B$68:$B$78))/12))</f>
        <v>705.73172923760683</v>
      </c>
      <c r="CL32" s="342">
        <f>CK32*(1+(INDEX('Inputs &amp; Drivers'!$I$68:$I$78,MATCH(Model!CL$4,'Inputs &amp; Drivers'!$B$68:$B$78))/12))</f>
        <v>707.49605856070082</v>
      </c>
      <c r="CM32" s="342">
        <f>CL32*(1+(INDEX('Inputs &amp; Drivers'!$I$68:$I$78,MATCH(Model!CM$4,'Inputs &amp; Drivers'!$B$68:$B$78))/12))</f>
        <v>709.2647987071025</v>
      </c>
      <c r="CN32" s="342">
        <f>CM32*(1+(INDEX('Inputs &amp; Drivers'!$I$68:$I$78,MATCH(Model!CN$4,'Inputs &amp; Drivers'!$B$68:$B$78))/12))</f>
        <v>711.03796070387023</v>
      </c>
      <c r="CO32" s="342">
        <f>CN32*(1+(INDEX('Inputs &amp; Drivers'!$I$68:$I$78,MATCH(Model!CO$4,'Inputs &amp; Drivers'!$B$68:$B$78))/12))</f>
        <v>712.81555560562981</v>
      </c>
      <c r="CP32" s="342">
        <f>CO32*(1+(INDEX('Inputs &amp; Drivers'!$I$68:$I$78,MATCH(Model!CP$4,'Inputs &amp; Drivers'!$B$68:$B$78))/12))</f>
        <v>714.59759449464389</v>
      </c>
      <c r="CQ32" s="342">
        <f>CP32*(1+(INDEX('Inputs &amp; Drivers'!$I$68:$I$78,MATCH(Model!CQ$4,'Inputs &amp; Drivers'!$B$68:$B$78))/12))</f>
        <v>716.38408848088045</v>
      </c>
      <c r="CR32" s="342">
        <f>CQ32*(1+(INDEX('Inputs &amp; Drivers'!$I$68:$I$78,MATCH(Model!CR$4,'Inputs &amp; Drivers'!$B$68:$B$78))/12))</f>
        <v>718.17504870208256</v>
      </c>
      <c r="CS32" s="342">
        <f>CR32*(1+(INDEX('Inputs &amp; Drivers'!$I$68:$I$78,MATCH(Model!CS$4,'Inputs &amp; Drivers'!$B$68:$B$78))/12))</f>
        <v>719.97048632383769</v>
      </c>
      <c r="CT32" s="342">
        <f>CS32*(1+(INDEX('Inputs &amp; Drivers'!$I$68:$I$78,MATCH(Model!CT$4,'Inputs &amp; Drivers'!$B$68:$B$78))/12))</f>
        <v>721.77041253964728</v>
      </c>
      <c r="CU32" s="342">
        <f>CT32*(1+(INDEX('Inputs &amp; Drivers'!$I$68:$I$78,MATCH(Model!CU$4,'Inputs &amp; Drivers'!$B$68:$B$78))/12))</f>
        <v>723.57483857099635</v>
      </c>
      <c r="CV32" s="342">
        <f>CU32*(1+(INDEX('Inputs &amp; Drivers'!$I$68:$I$78,MATCH(Model!CV$4,'Inputs &amp; Drivers'!$B$68:$B$78))/12))</f>
        <v>725.38377566742383</v>
      </c>
      <c r="CW32" s="342">
        <f>CV32*(1+(INDEX('Inputs &amp; Drivers'!$I$68:$I$78,MATCH(Model!CW$4,'Inputs &amp; Drivers'!$B$68:$B$78))/12))</f>
        <v>727.1972351065923</v>
      </c>
      <c r="CX32" s="342">
        <f>CW32*(1+(INDEX('Inputs &amp; Drivers'!$I$68:$I$78,MATCH(Model!CX$4,'Inputs &amp; Drivers'!$B$68:$B$78))/12))</f>
        <v>729.01522819435877</v>
      </c>
      <c r="CY32" s="342">
        <f>CX32*(1+(INDEX('Inputs &amp; Drivers'!$I$68:$I$78,MATCH(Model!CY$4,'Inputs &amp; Drivers'!$B$68:$B$78))/12))</f>
        <v>730.83776626484462</v>
      </c>
      <c r="CZ32" s="342">
        <f>CY32*(1+(INDEX('Inputs &amp; Drivers'!$I$68:$I$78,MATCH(Model!CZ$4,'Inputs &amp; Drivers'!$B$68:$B$78))/12))</f>
        <v>732.66486068050665</v>
      </c>
      <c r="DA32" s="342">
        <f>CZ32*(1+(INDEX('Inputs &amp; Drivers'!$I$68:$I$78,MATCH(Model!DA$4,'Inputs &amp; Drivers'!$B$68:$B$78))/12))</f>
        <v>734.49652283220792</v>
      </c>
      <c r="DB32" s="342">
        <f>DA32*(1+(INDEX('Inputs &amp; Drivers'!$I$68:$I$78,MATCH(Model!DB$4,'Inputs &amp; Drivers'!$B$68:$B$78))/12))</f>
        <v>736.33276413928843</v>
      </c>
      <c r="DC32" s="342">
        <f>DB32*(1+(INDEX('Inputs &amp; Drivers'!$I$68:$I$78,MATCH(Model!DC$4,'Inputs &amp; Drivers'!$B$68:$B$78))/12))</f>
        <v>738.17359604963656</v>
      </c>
      <c r="DD32" s="342">
        <f>DC32*(1+(INDEX('Inputs &amp; Drivers'!$I$68:$I$78,MATCH(Model!DD$4,'Inputs &amp; Drivers'!$B$68:$B$78))/12))</f>
        <v>740.01903003976065</v>
      </c>
      <c r="DE32" s="342">
        <f>DD32*(1+(INDEX('Inputs &amp; Drivers'!$I$68:$I$78,MATCH(Model!DE$4,'Inputs &amp; Drivers'!$B$68:$B$78))/12))</f>
        <v>741.86907761485998</v>
      </c>
      <c r="DF32" s="342">
        <f>DE32*(1+(INDEX('Inputs &amp; Drivers'!$I$68:$I$78,MATCH(Model!DF$4,'Inputs &amp; Drivers'!$B$68:$B$78))/12))</f>
        <v>743.72375030889714</v>
      </c>
      <c r="DG32" s="342">
        <f>DF32*(1+(INDEX('Inputs &amp; Drivers'!$I$68:$I$78,MATCH(Model!DG$4,'Inputs &amp; Drivers'!$B$68:$B$78))/12))</f>
        <v>745.58305968466937</v>
      </c>
      <c r="DH32" s="342">
        <f>DG32*(1+(INDEX('Inputs &amp; Drivers'!$I$68:$I$78,MATCH(Model!DH$4,'Inputs &amp; Drivers'!$B$68:$B$78))/12))</f>
        <v>747.44701733388104</v>
      </c>
      <c r="DI32" s="342">
        <f>DH32*(1+(INDEX('Inputs &amp; Drivers'!$I$68:$I$78,MATCH(Model!DI$4,'Inputs &amp; Drivers'!$B$68:$B$78))/12))</f>
        <v>749.31563487721564</v>
      </c>
      <c r="DJ32" s="342">
        <f>DI32*(1+(INDEX('Inputs &amp; Drivers'!$I$68:$I$78,MATCH(Model!DJ$4,'Inputs &amp; Drivers'!$B$68:$B$78))/12))</f>
        <v>751.18892396440867</v>
      </c>
      <c r="DK32" s="342">
        <f>DJ32*(1+(INDEX('Inputs &amp; Drivers'!$I$68:$I$78,MATCH(Model!DK$4,'Inputs &amp; Drivers'!$B$68:$B$78))/12))</f>
        <v>753.06689627431967</v>
      </c>
      <c r="DL32" s="342">
        <f>DK32*(1+(INDEX('Inputs &amp; Drivers'!$I$68:$I$78,MATCH(Model!DL$4,'Inputs &amp; Drivers'!$B$68:$B$78))/12))</f>
        <v>754.94956351500548</v>
      </c>
      <c r="DM32" s="342">
        <f>DL32*(1+(INDEX('Inputs &amp; Drivers'!$I$68:$I$78,MATCH(Model!DM$4,'Inputs &amp; Drivers'!$B$68:$B$78))/12))</f>
        <v>756.83693742379296</v>
      </c>
      <c r="DN32" s="342">
        <f>DM32*(1+(INDEX('Inputs &amp; Drivers'!$I$68:$I$78,MATCH(Model!DN$4,'Inputs &amp; Drivers'!$B$68:$B$78))/12))</f>
        <v>758.72902976735236</v>
      </c>
      <c r="DO32" s="342">
        <f>DN32*(1+(INDEX('Inputs &amp; Drivers'!$I$68:$I$78,MATCH(Model!DO$4,'Inputs &amp; Drivers'!$B$68:$B$78))/12))</f>
        <v>760.62585234177072</v>
      </c>
      <c r="DP32" s="342">
        <f>DO32*(1+(INDEX('Inputs &amp; Drivers'!$I$68:$I$78,MATCH(Model!DP$4,'Inputs &amp; Drivers'!$B$68:$B$78))/12))</f>
        <v>762.52741697262513</v>
      </c>
      <c r="DQ32" s="342">
        <f>DP32*(1+(INDEX('Inputs &amp; Drivers'!$I$68:$I$78,MATCH(Model!DQ$4,'Inputs &amp; Drivers'!$B$68:$B$78))/12))</f>
        <v>764.4337355150567</v>
      </c>
      <c r="DR32" s="342">
        <f>DQ32*(1+(INDEX('Inputs &amp; Drivers'!$I$68:$I$78,MATCH(Model!DR$4,'Inputs &amp; Drivers'!$B$68:$B$78))/12))</f>
        <v>766.34481985384434</v>
      </c>
      <c r="DS32" s="342">
        <f>DR32*(1+(INDEX('Inputs &amp; Drivers'!$I$68:$I$78,MATCH(Model!DS$4,'Inputs &amp; Drivers'!$B$68:$B$78))/12))</f>
        <v>768.26068190347894</v>
      </c>
      <c r="DT32" s="342">
        <f>DS32*(1+(INDEX('Inputs &amp; Drivers'!$I$68:$I$78,MATCH(Model!DT$4,'Inputs &amp; Drivers'!$B$68:$B$78))/12))</f>
        <v>770.18133360823765</v>
      </c>
      <c r="DU32" s="342">
        <f>DT32*(1+(INDEX('Inputs &amp; Drivers'!$I$68:$I$78,MATCH(Model!DU$4,'Inputs &amp; Drivers'!$B$68:$B$78))/12))</f>
        <v>772.10678694225817</v>
      </c>
      <c r="DV32" s="342">
        <f>DU32*(1+(INDEX('Inputs &amp; Drivers'!$I$68:$I$78,MATCH(Model!DV$4,'Inputs &amp; Drivers'!$B$68:$B$78))/12))</f>
        <v>774.03705390961375</v>
      </c>
      <c r="DW32" s="342">
        <f>DV32*(1+(INDEX('Inputs &amp; Drivers'!$I$68:$I$78,MATCH(Model!DW$4,'Inputs &amp; Drivers'!$B$68:$B$78))/12))</f>
        <v>775.97214654438778</v>
      </c>
      <c r="DX32" s="342">
        <f>DW32*(1+(INDEX('Inputs &amp; Drivers'!$I$68:$I$78,MATCH(Model!DX$4,'Inputs &amp; Drivers'!$B$68:$B$78))/12))</f>
        <v>777.91207691074874</v>
      </c>
      <c r="DY32" s="342">
        <f>DX32*(1+(INDEX('Inputs &amp; Drivers'!$I$68:$I$78,MATCH(Model!DY$4,'Inputs &amp; Drivers'!$B$68:$B$78))/12))</f>
        <v>779.85685710302562</v>
      </c>
      <c r="DZ32" s="342">
        <f>DY32*(1+(INDEX('Inputs &amp; Drivers'!$I$68:$I$78,MATCH(Model!DZ$4,'Inputs &amp; Drivers'!$B$68:$B$78))/12))</f>
        <v>781.80649924578313</v>
      </c>
      <c r="EA32" s="342">
        <f>DZ32*(1+(INDEX('Inputs &amp; Drivers'!$I$68:$I$78,MATCH(Model!EA$4,'Inputs &amp; Drivers'!$B$68:$B$78))/12))</f>
        <v>783.7610154938975</v>
      </c>
      <c r="EB32" s="342">
        <f>EA32*(1+(INDEX('Inputs &amp; Drivers'!$I$68:$I$78,MATCH(Model!EB$4,'Inputs &amp; Drivers'!$B$68:$B$78))/12))</f>
        <v>785.72041803263221</v>
      </c>
      <c r="EC32" s="342">
        <f>EB32*(1+(INDEX('Inputs &amp; Drivers'!$I$68:$I$78,MATCH(Model!EC$4,'Inputs &amp; Drivers'!$B$68:$B$78))/12))</f>
        <v>787.68471907771379</v>
      </c>
      <c r="ED32" s="342">
        <f>EC32*(1+(INDEX('Inputs &amp; Drivers'!$I$68:$I$78,MATCH(Model!ED$4,'Inputs &amp; Drivers'!$B$68:$B$78))/12))</f>
        <v>789.65393087540804</v>
      </c>
      <c r="EE32" s="342">
        <f>ED32*(1+(INDEX('Inputs &amp; Drivers'!$I$68:$I$78,MATCH(Model!EE$4,'Inputs &amp; Drivers'!$B$68:$B$78))/12))</f>
        <v>791.62806570259647</v>
      </c>
      <c r="EF32" s="342">
        <f>EE32*(1+(INDEX('Inputs &amp; Drivers'!$I$68:$I$78,MATCH(Model!EF$4,'Inputs &amp; Drivers'!$B$68:$B$78))/12))</f>
        <v>793.6071358668529</v>
      </c>
      <c r="EG32" s="342">
        <f>EF32*(1+(INDEX('Inputs &amp; Drivers'!$I$68:$I$78,MATCH(Model!EG$4,'Inputs &amp; Drivers'!$B$68:$B$78))/12))</f>
        <v>795.59115370652</v>
      </c>
      <c r="EH32" s="342">
        <f>EG32*(1+(INDEX('Inputs &amp; Drivers'!$I$68:$I$78,MATCH(Model!EH$4,'Inputs &amp; Drivers'!$B$68:$B$78))/12))</f>
        <v>797.58013159078621</v>
      </c>
      <c r="EI32" s="342">
        <f>EH32*(1+(INDEX('Inputs &amp; Drivers'!$I$68:$I$78,MATCH(Model!EI$4,'Inputs &amp; Drivers'!$B$68:$B$78))/12))</f>
        <v>799.5740819197631</v>
      </c>
      <c r="EJ32" s="342">
        <f>EI32*(1+(INDEX('Inputs &amp; Drivers'!$I$68:$I$78,MATCH(Model!EJ$4,'Inputs &amp; Drivers'!$B$68:$B$78))/12))</f>
        <v>801.57301712456251</v>
      </c>
      <c r="EL32" s="12">
        <f t="shared" ref="EL32:EW45" si="149">SUMIF($H$6:$EJ$6,EL$6,$H32:$EJ32)</f>
        <v>600</v>
      </c>
      <c r="EM32" s="12">
        <f t="shared" si="149"/>
        <v>600</v>
      </c>
      <c r="EN32" s="12">
        <f t="shared" si="149"/>
        <v>612.11061340890103</v>
      </c>
      <c r="EO32" s="12">
        <f t="shared" si="149"/>
        <v>630.72854345264636</v>
      </c>
      <c r="EP32" s="12">
        <f t="shared" si="149"/>
        <v>649.91275565442095</v>
      </c>
      <c r="EQ32" s="12">
        <f t="shared" si="149"/>
        <v>669.68047402794434</v>
      </c>
      <c r="ER32" s="12">
        <f t="shared" si="149"/>
        <v>690.04944647179502</v>
      </c>
      <c r="ES32" s="12">
        <f t="shared" si="149"/>
        <v>711.03796070387023</v>
      </c>
      <c r="ET32" s="12">
        <f t="shared" si="149"/>
        <v>732.66486068050665</v>
      </c>
      <c r="EU32" s="12">
        <f t="shared" si="149"/>
        <v>754.94956351500548</v>
      </c>
      <c r="EV32" s="12">
        <f t="shared" si="149"/>
        <v>777.91207691074874</v>
      </c>
      <c r="EW32" s="12">
        <f t="shared" si="149"/>
        <v>801.57301712456251</v>
      </c>
    </row>
    <row r="33" spans="2:153" outlineLevel="1" x14ac:dyDescent="0.4">
      <c r="B33" s="1" t="s">
        <v>41</v>
      </c>
      <c r="H33" s="254">
        <f>'Inputs &amp; Drivers'!I50</f>
        <v>250</v>
      </c>
      <c r="I33" s="342">
        <f>H33*(1+(INDEX('Inputs &amp; Drivers'!$I$68:$I$78,MATCH(Model!I$4,'Inputs &amp; Drivers'!$B$68:$B$78))/12))</f>
        <v>250</v>
      </c>
      <c r="J33" s="342">
        <f>I33*(1+(INDEX('Inputs &amp; Drivers'!$I$68:$I$78,MATCH(Model!J$4,'Inputs &amp; Drivers'!$B$68:$B$78))/12))</f>
        <v>250</v>
      </c>
      <c r="K33" s="342">
        <f>J33*(1+(INDEX('Inputs &amp; Drivers'!$I$68:$I$78,MATCH(Model!K$4,'Inputs &amp; Drivers'!$B$68:$B$78))/12))</f>
        <v>250</v>
      </c>
      <c r="L33" s="342">
        <f>K33*(1+(INDEX('Inputs &amp; Drivers'!$I$68:$I$78,MATCH(Model!L$4,'Inputs &amp; Drivers'!$B$68:$B$78))/12))</f>
        <v>250</v>
      </c>
      <c r="M33" s="342">
        <f>L33*(1+(INDEX('Inputs &amp; Drivers'!$I$68:$I$78,MATCH(Model!M$4,'Inputs &amp; Drivers'!$B$68:$B$78))/12))</f>
        <v>250</v>
      </c>
      <c r="N33" s="342">
        <f>M33*(1+(INDEX('Inputs &amp; Drivers'!$I$68:$I$78,MATCH(Model!N$4,'Inputs &amp; Drivers'!$B$68:$B$78))/12))</f>
        <v>250</v>
      </c>
      <c r="O33" s="342">
        <f>N33*(1+(INDEX('Inputs &amp; Drivers'!$I$68:$I$78,MATCH(Model!O$4,'Inputs &amp; Drivers'!$B$68:$B$78))/12))</f>
        <v>250</v>
      </c>
      <c r="P33" s="342">
        <f>O33*(1+(INDEX('Inputs &amp; Drivers'!$I$68:$I$78,MATCH(Model!P$4,'Inputs &amp; Drivers'!$B$68:$B$78))/12))</f>
        <v>250</v>
      </c>
      <c r="Q33" s="342">
        <f>P33*(1+(INDEX('Inputs &amp; Drivers'!$I$68:$I$78,MATCH(Model!Q$4,'Inputs &amp; Drivers'!$B$68:$B$78))/12))</f>
        <v>250</v>
      </c>
      <c r="R33" s="342">
        <f>Q33*(1+(INDEX('Inputs &amp; Drivers'!$I$68:$I$78,MATCH(Model!R$4,'Inputs &amp; Drivers'!$B$68:$B$78))/12))</f>
        <v>250</v>
      </c>
      <c r="S33" s="342">
        <f>R33*(1+(INDEX('Inputs &amp; Drivers'!$I$68:$I$78,MATCH(Model!S$4,'Inputs &amp; Drivers'!$B$68:$B$78))/12))</f>
        <v>250</v>
      </c>
      <c r="T33" s="342">
        <f>S33*(1+(INDEX('Inputs &amp; Drivers'!$I$68:$I$78,MATCH(Model!T$4,'Inputs &amp; Drivers'!$B$68:$B$78))/12))</f>
        <v>250</v>
      </c>
      <c r="U33" s="342">
        <f>T33*(1+(INDEX('Inputs &amp; Drivers'!$I$68:$I$78,MATCH(Model!U$4,'Inputs &amp; Drivers'!$B$68:$B$78))/12))</f>
        <v>250.41666666666669</v>
      </c>
      <c r="V33" s="342">
        <f>U33*(1+(INDEX('Inputs &amp; Drivers'!$I$68:$I$78,MATCH(Model!V$4,'Inputs &amp; Drivers'!$B$68:$B$78))/12))</f>
        <v>250.83402777777781</v>
      </c>
      <c r="W33" s="342">
        <f>V33*(1+(INDEX('Inputs &amp; Drivers'!$I$68:$I$78,MATCH(Model!W$4,'Inputs &amp; Drivers'!$B$68:$B$78))/12))</f>
        <v>251.25208449074077</v>
      </c>
      <c r="X33" s="342">
        <f>W33*(1+(INDEX('Inputs &amp; Drivers'!$I$68:$I$78,MATCH(Model!X$4,'Inputs &amp; Drivers'!$B$68:$B$78))/12))</f>
        <v>251.670837964892</v>
      </c>
      <c r="Y33" s="342">
        <f>X33*(1+(INDEX('Inputs &amp; Drivers'!$I$68:$I$78,MATCH(Model!Y$4,'Inputs &amp; Drivers'!$B$68:$B$78))/12))</f>
        <v>252.09028936150017</v>
      </c>
      <c r="Z33" s="342">
        <f>Y33*(1+(INDEX('Inputs &amp; Drivers'!$I$68:$I$78,MATCH(Model!Z$4,'Inputs &amp; Drivers'!$B$68:$B$78))/12))</f>
        <v>252.51043984376935</v>
      </c>
      <c r="AA33" s="342">
        <f>Z33*(1+(INDEX('Inputs &amp; Drivers'!$I$68:$I$78,MATCH(Model!AA$4,'Inputs &amp; Drivers'!$B$68:$B$78))/12))</f>
        <v>252.93129057684231</v>
      </c>
      <c r="AB33" s="342">
        <f>AA33*(1+(INDEX('Inputs &amp; Drivers'!$I$68:$I$78,MATCH(Model!AB$4,'Inputs &amp; Drivers'!$B$68:$B$78))/12))</f>
        <v>253.35284272780373</v>
      </c>
      <c r="AC33" s="342">
        <f>AB33*(1+(INDEX('Inputs &amp; Drivers'!$I$68:$I$78,MATCH(Model!AC$4,'Inputs &amp; Drivers'!$B$68:$B$78))/12))</f>
        <v>253.77509746568342</v>
      </c>
      <c r="AD33" s="342">
        <f>AC33*(1+(INDEX('Inputs &amp; Drivers'!$I$68:$I$78,MATCH(Model!AD$4,'Inputs &amp; Drivers'!$B$68:$B$78))/12))</f>
        <v>254.19805596145957</v>
      </c>
      <c r="AE33" s="342">
        <f>AD33*(1+(INDEX('Inputs &amp; Drivers'!$I$68:$I$78,MATCH(Model!AE$4,'Inputs &amp; Drivers'!$B$68:$B$78))/12))</f>
        <v>254.62171938806202</v>
      </c>
      <c r="AF33" s="342">
        <f>AE33*(1+(INDEX('Inputs &amp; Drivers'!$I$68:$I$78,MATCH(Model!AF$4,'Inputs &amp; Drivers'!$B$68:$B$78))/12))</f>
        <v>255.04608892037547</v>
      </c>
      <c r="AG33" s="342">
        <f>AF33*(1+(INDEX('Inputs &amp; Drivers'!$I$68:$I$78,MATCH(Model!AG$4,'Inputs &amp; Drivers'!$B$68:$B$78))/12))</f>
        <v>255.68370414267639</v>
      </c>
      <c r="AH33" s="342">
        <f>AG33*(1+(INDEX('Inputs &amp; Drivers'!$I$68:$I$78,MATCH(Model!AH$4,'Inputs &amp; Drivers'!$B$68:$B$78))/12))</f>
        <v>256.32291340303306</v>
      </c>
      <c r="AI33" s="342">
        <f>AH33*(1+(INDEX('Inputs &amp; Drivers'!$I$68:$I$78,MATCH(Model!AI$4,'Inputs &amp; Drivers'!$B$68:$B$78))/12))</f>
        <v>256.96372068654063</v>
      </c>
      <c r="AJ33" s="342">
        <f>AI33*(1+(INDEX('Inputs &amp; Drivers'!$I$68:$I$78,MATCH(Model!AJ$4,'Inputs &amp; Drivers'!$B$68:$B$78))/12))</f>
        <v>257.60612998825695</v>
      </c>
      <c r="AK33" s="342">
        <f>AJ33*(1+(INDEX('Inputs &amp; Drivers'!$I$68:$I$78,MATCH(Model!AK$4,'Inputs &amp; Drivers'!$B$68:$B$78))/12))</f>
        <v>258.25014531322756</v>
      </c>
      <c r="AL33" s="342">
        <f>AK33*(1+(INDEX('Inputs &amp; Drivers'!$I$68:$I$78,MATCH(Model!AL$4,'Inputs &amp; Drivers'!$B$68:$B$78))/12))</f>
        <v>258.89577067651061</v>
      </c>
      <c r="AM33" s="342">
        <f>AL33*(1+(INDEX('Inputs &amp; Drivers'!$I$68:$I$78,MATCH(Model!AM$4,'Inputs &amp; Drivers'!$B$68:$B$78))/12))</f>
        <v>259.54301010320188</v>
      </c>
      <c r="AN33" s="342">
        <f>AM33*(1+(INDEX('Inputs &amp; Drivers'!$I$68:$I$78,MATCH(Model!AN$4,'Inputs &amp; Drivers'!$B$68:$B$78))/12))</f>
        <v>260.19186762845987</v>
      </c>
      <c r="AO33" s="342">
        <f>AN33*(1+(INDEX('Inputs &amp; Drivers'!$I$68:$I$78,MATCH(Model!AO$4,'Inputs &amp; Drivers'!$B$68:$B$78))/12))</f>
        <v>260.84234729753103</v>
      </c>
      <c r="AP33" s="342">
        <f>AO33*(1+(INDEX('Inputs &amp; Drivers'!$I$68:$I$78,MATCH(Model!AP$4,'Inputs &amp; Drivers'!$B$68:$B$78))/12))</f>
        <v>261.49445316577487</v>
      </c>
      <c r="AQ33" s="342">
        <f>AP33*(1+(INDEX('Inputs &amp; Drivers'!$I$68:$I$78,MATCH(Model!AQ$4,'Inputs &amp; Drivers'!$B$68:$B$78))/12))</f>
        <v>262.14818929868932</v>
      </c>
      <c r="AR33" s="342">
        <f>AQ33*(1+(INDEX('Inputs &amp; Drivers'!$I$68:$I$78,MATCH(Model!AR$4,'Inputs &amp; Drivers'!$B$68:$B$78))/12))</f>
        <v>262.80355977193602</v>
      </c>
      <c r="AS33" s="342">
        <f>AR33*(1+(INDEX('Inputs &amp; Drivers'!$I$68:$I$78,MATCH(Model!AS$4,'Inputs &amp; Drivers'!$B$68:$B$78))/12))</f>
        <v>263.46056867136588</v>
      </c>
      <c r="AT33" s="342">
        <f>AS33*(1+(INDEX('Inputs &amp; Drivers'!$I$68:$I$78,MATCH(Model!AT$4,'Inputs &amp; Drivers'!$B$68:$B$78))/12))</f>
        <v>264.11922009304431</v>
      </c>
      <c r="AU33" s="342">
        <f>AT33*(1+(INDEX('Inputs &amp; Drivers'!$I$68:$I$78,MATCH(Model!AU$4,'Inputs &amp; Drivers'!$B$68:$B$78))/12))</f>
        <v>264.7795181432769</v>
      </c>
      <c r="AV33" s="342">
        <f>AU33*(1+(INDEX('Inputs &amp; Drivers'!$I$68:$I$78,MATCH(Model!AV$4,'Inputs &amp; Drivers'!$B$68:$B$78))/12))</f>
        <v>265.44146693863507</v>
      </c>
      <c r="AW33" s="342">
        <f>AV33*(1+(INDEX('Inputs &amp; Drivers'!$I$68:$I$78,MATCH(Model!AW$4,'Inputs &amp; Drivers'!$B$68:$B$78))/12))</f>
        <v>266.10507060598167</v>
      </c>
      <c r="AX33" s="342">
        <f>AW33*(1+(INDEX('Inputs &amp; Drivers'!$I$68:$I$78,MATCH(Model!AX$4,'Inputs &amp; Drivers'!$B$68:$B$78))/12))</f>
        <v>266.77033328249661</v>
      </c>
      <c r="AY33" s="342">
        <f>AX33*(1+(INDEX('Inputs &amp; Drivers'!$I$68:$I$78,MATCH(Model!AY$4,'Inputs &amp; Drivers'!$B$68:$B$78))/12))</f>
        <v>267.43725911570283</v>
      </c>
      <c r="AZ33" s="342">
        <f>AY33*(1+(INDEX('Inputs &amp; Drivers'!$I$68:$I$78,MATCH(Model!AZ$4,'Inputs &amp; Drivers'!$B$68:$B$78))/12))</f>
        <v>268.10585226349207</v>
      </c>
      <c r="BA33" s="342">
        <f>AZ33*(1+(INDEX('Inputs &amp; Drivers'!$I$68:$I$78,MATCH(Model!BA$4,'Inputs &amp; Drivers'!$B$68:$B$78))/12))</f>
        <v>268.77611689415079</v>
      </c>
      <c r="BB33" s="342">
        <f>BA33*(1+(INDEX('Inputs &amp; Drivers'!$I$68:$I$78,MATCH(Model!BB$4,'Inputs &amp; Drivers'!$B$68:$B$78))/12))</f>
        <v>269.44805718638617</v>
      </c>
      <c r="BC33" s="342">
        <f>BB33*(1+(INDEX('Inputs &amp; Drivers'!$I$68:$I$78,MATCH(Model!BC$4,'Inputs &amp; Drivers'!$B$68:$B$78))/12))</f>
        <v>270.12167732935211</v>
      </c>
      <c r="BD33" s="342">
        <f>BC33*(1+(INDEX('Inputs &amp; Drivers'!$I$68:$I$78,MATCH(Model!BD$4,'Inputs &amp; Drivers'!$B$68:$B$78))/12))</f>
        <v>270.79698152267548</v>
      </c>
      <c r="BE33" s="342">
        <f>BD33*(1+(INDEX('Inputs &amp; Drivers'!$I$68:$I$78,MATCH(Model!BE$4,'Inputs &amp; Drivers'!$B$68:$B$78))/12))</f>
        <v>271.47397397648217</v>
      </c>
      <c r="BF33" s="342">
        <f>BE33*(1+(INDEX('Inputs &amp; Drivers'!$I$68:$I$78,MATCH(Model!BF$4,'Inputs &amp; Drivers'!$B$68:$B$78))/12))</f>
        <v>272.15265891142337</v>
      </c>
      <c r="BG33" s="342">
        <f>BF33*(1+(INDEX('Inputs &amp; Drivers'!$I$68:$I$78,MATCH(Model!BG$4,'Inputs &amp; Drivers'!$B$68:$B$78))/12))</f>
        <v>272.8330405587019</v>
      </c>
      <c r="BH33" s="342">
        <f>BG33*(1+(INDEX('Inputs &amp; Drivers'!$I$68:$I$78,MATCH(Model!BH$4,'Inputs &amp; Drivers'!$B$68:$B$78))/12))</f>
        <v>273.51512316009865</v>
      </c>
      <c r="BI33" s="342">
        <f>BH33*(1+(INDEX('Inputs &amp; Drivers'!$I$68:$I$78,MATCH(Model!BI$4,'Inputs &amp; Drivers'!$B$68:$B$78))/12))</f>
        <v>274.19891096799887</v>
      </c>
      <c r="BJ33" s="342">
        <f>BI33*(1+(INDEX('Inputs &amp; Drivers'!$I$68:$I$78,MATCH(Model!BJ$4,'Inputs &amp; Drivers'!$B$68:$B$78))/12))</f>
        <v>274.88440824541885</v>
      </c>
      <c r="BK33" s="342">
        <f>BJ33*(1+(INDEX('Inputs &amp; Drivers'!$I$68:$I$78,MATCH(Model!BK$4,'Inputs &amp; Drivers'!$B$68:$B$78))/12))</f>
        <v>275.57161926603237</v>
      </c>
      <c r="BL33" s="342">
        <f>BK33*(1+(INDEX('Inputs &amp; Drivers'!$I$68:$I$78,MATCH(Model!BL$4,'Inputs &amp; Drivers'!$B$68:$B$78))/12))</f>
        <v>276.26054831419742</v>
      </c>
      <c r="BM33" s="342">
        <f>BL33*(1+(INDEX('Inputs &amp; Drivers'!$I$68:$I$78,MATCH(Model!BM$4,'Inputs &amp; Drivers'!$B$68:$B$78))/12))</f>
        <v>276.9511996849829</v>
      </c>
      <c r="BN33" s="342">
        <f>BM33*(1+(INDEX('Inputs &amp; Drivers'!$I$68:$I$78,MATCH(Model!BN$4,'Inputs &amp; Drivers'!$B$68:$B$78))/12))</f>
        <v>277.64357768419535</v>
      </c>
      <c r="BO33" s="342">
        <f>BN33*(1+(INDEX('Inputs &amp; Drivers'!$I$68:$I$78,MATCH(Model!BO$4,'Inputs &amp; Drivers'!$B$68:$B$78))/12))</f>
        <v>278.33768662840583</v>
      </c>
      <c r="BP33" s="342">
        <f>BO33*(1+(INDEX('Inputs &amp; Drivers'!$I$68:$I$78,MATCH(Model!BP$4,'Inputs &amp; Drivers'!$B$68:$B$78))/12))</f>
        <v>279.03353084497684</v>
      </c>
      <c r="BQ33" s="342">
        <f>BP33*(1+(INDEX('Inputs &amp; Drivers'!$I$68:$I$78,MATCH(Model!BQ$4,'Inputs &amp; Drivers'!$B$68:$B$78))/12))</f>
        <v>279.73111467208929</v>
      </c>
      <c r="BR33" s="342">
        <f>BQ33*(1+(INDEX('Inputs &amp; Drivers'!$I$68:$I$78,MATCH(Model!BR$4,'Inputs &amp; Drivers'!$B$68:$B$78))/12))</f>
        <v>280.43044245876951</v>
      </c>
      <c r="BS33" s="342">
        <f>BR33*(1+(INDEX('Inputs &amp; Drivers'!$I$68:$I$78,MATCH(Model!BS$4,'Inputs &amp; Drivers'!$B$68:$B$78))/12))</f>
        <v>281.13151856491641</v>
      </c>
      <c r="BT33" s="342">
        <f>BS33*(1+(INDEX('Inputs &amp; Drivers'!$I$68:$I$78,MATCH(Model!BT$4,'Inputs &amp; Drivers'!$B$68:$B$78))/12))</f>
        <v>281.8343473613287</v>
      </c>
      <c r="BU33" s="342">
        <f>BT33*(1+(INDEX('Inputs &amp; Drivers'!$I$68:$I$78,MATCH(Model!BU$4,'Inputs &amp; Drivers'!$B$68:$B$78))/12))</f>
        <v>282.53893322973198</v>
      </c>
      <c r="BV33" s="342">
        <f>BU33*(1+(INDEX('Inputs &amp; Drivers'!$I$68:$I$78,MATCH(Model!BV$4,'Inputs &amp; Drivers'!$B$68:$B$78))/12))</f>
        <v>283.24528056280627</v>
      </c>
      <c r="BW33" s="342">
        <f>BV33*(1+(INDEX('Inputs &amp; Drivers'!$I$68:$I$78,MATCH(Model!BW$4,'Inputs &amp; Drivers'!$B$68:$B$78))/12))</f>
        <v>283.95339376421327</v>
      </c>
      <c r="BX33" s="342">
        <f>BW33*(1+(INDEX('Inputs &amp; Drivers'!$I$68:$I$78,MATCH(Model!BX$4,'Inputs &amp; Drivers'!$B$68:$B$78))/12))</f>
        <v>284.66327724862379</v>
      </c>
      <c r="BY33" s="342">
        <f>BX33*(1+(INDEX('Inputs &amp; Drivers'!$I$68:$I$78,MATCH(Model!BY$4,'Inputs &amp; Drivers'!$B$68:$B$78))/12))</f>
        <v>285.37493544174532</v>
      </c>
      <c r="BZ33" s="342">
        <f>BY33*(1+(INDEX('Inputs &amp; Drivers'!$I$68:$I$78,MATCH(Model!BZ$4,'Inputs &amp; Drivers'!$B$68:$B$78))/12))</f>
        <v>286.08837278034969</v>
      </c>
      <c r="CA33" s="342">
        <f>BZ33*(1+(INDEX('Inputs &amp; Drivers'!$I$68:$I$78,MATCH(Model!CA$4,'Inputs &amp; Drivers'!$B$68:$B$78))/12))</f>
        <v>286.80359371230054</v>
      </c>
      <c r="CB33" s="342">
        <f>CA33*(1+(INDEX('Inputs &amp; Drivers'!$I$68:$I$78,MATCH(Model!CB$4,'Inputs &amp; Drivers'!$B$68:$B$78))/12))</f>
        <v>287.52060269658125</v>
      </c>
      <c r="CC33" s="342">
        <f>CB33*(1+(INDEX('Inputs &amp; Drivers'!$I$68:$I$78,MATCH(Model!CC$4,'Inputs &amp; Drivers'!$B$68:$B$78))/12))</f>
        <v>288.23940420332269</v>
      </c>
      <c r="CD33" s="342">
        <f>CC33*(1+(INDEX('Inputs &amp; Drivers'!$I$68:$I$78,MATCH(Model!CD$4,'Inputs &amp; Drivers'!$B$68:$B$78))/12))</f>
        <v>288.96000271383099</v>
      </c>
      <c r="CE33" s="342">
        <f>CD33*(1+(INDEX('Inputs &amp; Drivers'!$I$68:$I$78,MATCH(Model!CE$4,'Inputs &amp; Drivers'!$B$68:$B$78))/12))</f>
        <v>289.68240272061553</v>
      </c>
      <c r="CF33" s="342">
        <f>CE33*(1+(INDEX('Inputs &amp; Drivers'!$I$68:$I$78,MATCH(Model!CF$4,'Inputs &amp; Drivers'!$B$68:$B$78))/12))</f>
        <v>290.40660872741705</v>
      </c>
      <c r="CG33" s="342">
        <f>CF33*(1+(INDEX('Inputs &amp; Drivers'!$I$68:$I$78,MATCH(Model!CG$4,'Inputs &amp; Drivers'!$B$68:$B$78))/12))</f>
        <v>291.13262524923556</v>
      </c>
      <c r="CH33" s="342">
        <f>CG33*(1+(INDEX('Inputs &amp; Drivers'!$I$68:$I$78,MATCH(Model!CH$4,'Inputs &amp; Drivers'!$B$68:$B$78))/12))</f>
        <v>291.86045681235862</v>
      </c>
      <c r="CI33" s="342">
        <f>CH33*(1+(INDEX('Inputs &amp; Drivers'!$I$68:$I$78,MATCH(Model!CI$4,'Inputs &amp; Drivers'!$B$68:$B$78))/12))</f>
        <v>292.59010795438951</v>
      </c>
      <c r="CJ33" s="342">
        <f>CI33*(1+(INDEX('Inputs &amp; Drivers'!$I$68:$I$78,MATCH(Model!CJ$4,'Inputs &amp; Drivers'!$B$68:$B$78))/12))</f>
        <v>293.32158322427546</v>
      </c>
      <c r="CK33" s="342">
        <f>CJ33*(1+(INDEX('Inputs &amp; Drivers'!$I$68:$I$78,MATCH(Model!CK$4,'Inputs &amp; Drivers'!$B$68:$B$78))/12))</f>
        <v>294.05488718233613</v>
      </c>
      <c r="CL33" s="342">
        <f>CK33*(1+(INDEX('Inputs &amp; Drivers'!$I$68:$I$78,MATCH(Model!CL$4,'Inputs &amp; Drivers'!$B$68:$B$78))/12))</f>
        <v>294.79002440029194</v>
      </c>
      <c r="CM33" s="342">
        <f>CL33*(1+(INDEX('Inputs &amp; Drivers'!$I$68:$I$78,MATCH(Model!CM$4,'Inputs &amp; Drivers'!$B$68:$B$78))/12))</f>
        <v>295.52699946129263</v>
      </c>
      <c r="CN33" s="342">
        <f>CM33*(1+(INDEX('Inputs &amp; Drivers'!$I$68:$I$78,MATCH(Model!CN$4,'Inputs &amp; Drivers'!$B$68:$B$78))/12))</f>
        <v>296.26581695994582</v>
      </c>
      <c r="CO33" s="342">
        <f>CN33*(1+(INDEX('Inputs &amp; Drivers'!$I$68:$I$78,MATCH(Model!CO$4,'Inputs &amp; Drivers'!$B$68:$B$78))/12))</f>
        <v>297.00648150234565</v>
      </c>
      <c r="CP33" s="342">
        <f>CO33*(1+(INDEX('Inputs &amp; Drivers'!$I$68:$I$78,MATCH(Model!CP$4,'Inputs &amp; Drivers'!$B$68:$B$78))/12))</f>
        <v>297.74899770610148</v>
      </c>
      <c r="CQ33" s="342">
        <f>CP33*(1+(INDEX('Inputs &amp; Drivers'!$I$68:$I$78,MATCH(Model!CQ$4,'Inputs &amp; Drivers'!$B$68:$B$78))/12))</f>
        <v>298.49337020036671</v>
      </c>
      <c r="CR33" s="342">
        <f>CQ33*(1+(INDEX('Inputs &amp; Drivers'!$I$68:$I$78,MATCH(Model!CR$4,'Inputs &amp; Drivers'!$B$68:$B$78))/12))</f>
        <v>299.23960362586763</v>
      </c>
      <c r="CS33" s="342">
        <f>CR33*(1+(INDEX('Inputs &amp; Drivers'!$I$68:$I$78,MATCH(Model!CS$4,'Inputs &amp; Drivers'!$B$68:$B$78))/12))</f>
        <v>299.9877026349323</v>
      </c>
      <c r="CT33" s="342">
        <f>CS33*(1+(INDEX('Inputs &amp; Drivers'!$I$68:$I$78,MATCH(Model!CT$4,'Inputs &amp; Drivers'!$B$68:$B$78))/12))</f>
        <v>300.7376718915196</v>
      </c>
      <c r="CU33" s="342">
        <f>CT33*(1+(INDEX('Inputs &amp; Drivers'!$I$68:$I$78,MATCH(Model!CU$4,'Inputs &amp; Drivers'!$B$68:$B$78))/12))</f>
        <v>301.48951607124837</v>
      </c>
      <c r="CV33" s="342">
        <f>CU33*(1+(INDEX('Inputs &amp; Drivers'!$I$68:$I$78,MATCH(Model!CV$4,'Inputs &amp; Drivers'!$B$68:$B$78))/12))</f>
        <v>302.2432398614265</v>
      </c>
      <c r="CW33" s="342">
        <f>CV33*(1+(INDEX('Inputs &amp; Drivers'!$I$68:$I$78,MATCH(Model!CW$4,'Inputs &amp; Drivers'!$B$68:$B$78))/12))</f>
        <v>302.99884796108006</v>
      </c>
      <c r="CX33" s="342">
        <f>CW33*(1+(INDEX('Inputs &amp; Drivers'!$I$68:$I$78,MATCH(Model!CX$4,'Inputs &amp; Drivers'!$B$68:$B$78))/12))</f>
        <v>303.75634508098273</v>
      </c>
      <c r="CY33" s="342">
        <f>CX33*(1+(INDEX('Inputs &amp; Drivers'!$I$68:$I$78,MATCH(Model!CY$4,'Inputs &amp; Drivers'!$B$68:$B$78))/12))</f>
        <v>304.51573594368517</v>
      </c>
      <c r="CZ33" s="342">
        <f>CY33*(1+(INDEX('Inputs &amp; Drivers'!$I$68:$I$78,MATCH(Model!CZ$4,'Inputs &amp; Drivers'!$B$68:$B$78))/12))</f>
        <v>305.27702528354439</v>
      </c>
      <c r="DA33" s="342">
        <f>CZ33*(1+(INDEX('Inputs &amp; Drivers'!$I$68:$I$78,MATCH(Model!DA$4,'Inputs &amp; Drivers'!$B$68:$B$78))/12))</f>
        <v>306.04021784675325</v>
      </c>
      <c r="DB33" s="342">
        <f>DA33*(1+(INDEX('Inputs &amp; Drivers'!$I$68:$I$78,MATCH(Model!DB$4,'Inputs &amp; Drivers'!$B$68:$B$78))/12))</f>
        <v>306.80531839137012</v>
      </c>
      <c r="DC33" s="342">
        <f>DB33*(1+(INDEX('Inputs &amp; Drivers'!$I$68:$I$78,MATCH(Model!DC$4,'Inputs &amp; Drivers'!$B$68:$B$78))/12))</f>
        <v>307.57233168734854</v>
      </c>
      <c r="DD33" s="342">
        <f>DC33*(1+(INDEX('Inputs &amp; Drivers'!$I$68:$I$78,MATCH(Model!DD$4,'Inputs &amp; Drivers'!$B$68:$B$78))/12))</f>
        <v>308.34126251656687</v>
      </c>
      <c r="DE33" s="342">
        <f>DD33*(1+(INDEX('Inputs &amp; Drivers'!$I$68:$I$78,MATCH(Model!DE$4,'Inputs &amp; Drivers'!$B$68:$B$78))/12))</f>
        <v>309.11211567285829</v>
      </c>
      <c r="DF33" s="342">
        <f>DE33*(1+(INDEX('Inputs &amp; Drivers'!$I$68:$I$78,MATCH(Model!DF$4,'Inputs &amp; Drivers'!$B$68:$B$78))/12))</f>
        <v>309.88489596204045</v>
      </c>
      <c r="DG33" s="342">
        <f>DF33*(1+(INDEX('Inputs &amp; Drivers'!$I$68:$I$78,MATCH(Model!DG$4,'Inputs &amp; Drivers'!$B$68:$B$78))/12))</f>
        <v>310.6596082019455</v>
      </c>
      <c r="DH33" s="342">
        <f>DG33*(1+(INDEX('Inputs &amp; Drivers'!$I$68:$I$78,MATCH(Model!DH$4,'Inputs &amp; Drivers'!$B$68:$B$78))/12))</f>
        <v>311.43625722245037</v>
      </c>
      <c r="DI33" s="342">
        <f>DH33*(1+(INDEX('Inputs &amp; Drivers'!$I$68:$I$78,MATCH(Model!DI$4,'Inputs &amp; Drivers'!$B$68:$B$78))/12))</f>
        <v>312.2148478655065</v>
      </c>
      <c r="DJ33" s="342">
        <f>DI33*(1+(INDEX('Inputs &amp; Drivers'!$I$68:$I$78,MATCH(Model!DJ$4,'Inputs &amp; Drivers'!$B$68:$B$78))/12))</f>
        <v>312.99538498517023</v>
      </c>
      <c r="DK33" s="342">
        <f>DJ33*(1+(INDEX('Inputs &amp; Drivers'!$I$68:$I$78,MATCH(Model!DK$4,'Inputs &amp; Drivers'!$B$68:$B$78))/12))</f>
        <v>313.77787344763317</v>
      </c>
      <c r="DL33" s="342">
        <f>DK33*(1+(INDEX('Inputs &amp; Drivers'!$I$68:$I$78,MATCH(Model!DL$4,'Inputs &amp; Drivers'!$B$68:$B$78))/12))</f>
        <v>314.56231813125225</v>
      </c>
      <c r="DM33" s="342">
        <f>DL33*(1+(INDEX('Inputs &amp; Drivers'!$I$68:$I$78,MATCH(Model!DM$4,'Inputs &amp; Drivers'!$B$68:$B$78))/12))</f>
        <v>315.34872392658036</v>
      </c>
      <c r="DN33" s="342">
        <f>DM33*(1+(INDEX('Inputs &amp; Drivers'!$I$68:$I$78,MATCH(Model!DN$4,'Inputs &amp; Drivers'!$B$68:$B$78))/12))</f>
        <v>316.13709573639682</v>
      </c>
      <c r="DO33" s="342">
        <f>DN33*(1+(INDEX('Inputs &amp; Drivers'!$I$68:$I$78,MATCH(Model!DO$4,'Inputs &amp; Drivers'!$B$68:$B$78))/12))</f>
        <v>316.9274384757378</v>
      </c>
      <c r="DP33" s="342">
        <f>DO33*(1+(INDEX('Inputs &amp; Drivers'!$I$68:$I$78,MATCH(Model!DP$4,'Inputs &amp; Drivers'!$B$68:$B$78))/12))</f>
        <v>317.71975707192712</v>
      </c>
      <c r="DQ33" s="342">
        <f>DP33*(1+(INDEX('Inputs &amp; Drivers'!$I$68:$I$78,MATCH(Model!DQ$4,'Inputs &amp; Drivers'!$B$68:$B$78))/12))</f>
        <v>318.51405646460694</v>
      </c>
      <c r="DR33" s="342">
        <f>DQ33*(1+(INDEX('Inputs &amp; Drivers'!$I$68:$I$78,MATCH(Model!DR$4,'Inputs &amp; Drivers'!$B$68:$B$78))/12))</f>
        <v>319.31034160576843</v>
      </c>
      <c r="DS33" s="342">
        <f>DR33*(1+(INDEX('Inputs &amp; Drivers'!$I$68:$I$78,MATCH(Model!DS$4,'Inputs &amp; Drivers'!$B$68:$B$78))/12))</f>
        <v>320.10861745978281</v>
      </c>
      <c r="DT33" s="342">
        <f>DS33*(1+(INDEX('Inputs &amp; Drivers'!$I$68:$I$78,MATCH(Model!DT$4,'Inputs &amp; Drivers'!$B$68:$B$78))/12))</f>
        <v>320.90888900343225</v>
      </c>
      <c r="DU33" s="342">
        <f>DT33*(1+(INDEX('Inputs &amp; Drivers'!$I$68:$I$78,MATCH(Model!DU$4,'Inputs &amp; Drivers'!$B$68:$B$78))/12))</f>
        <v>321.71116122594083</v>
      </c>
      <c r="DV33" s="342">
        <f>DU33*(1+(INDEX('Inputs &amp; Drivers'!$I$68:$I$78,MATCH(Model!DV$4,'Inputs &amp; Drivers'!$B$68:$B$78))/12))</f>
        <v>322.51543912900564</v>
      </c>
      <c r="DW33" s="342">
        <f>DV33*(1+(INDEX('Inputs &amp; Drivers'!$I$68:$I$78,MATCH(Model!DW$4,'Inputs &amp; Drivers'!$B$68:$B$78))/12))</f>
        <v>323.32172772682816</v>
      </c>
      <c r="DX33" s="342">
        <f>DW33*(1+(INDEX('Inputs &amp; Drivers'!$I$68:$I$78,MATCH(Model!DX$4,'Inputs &amp; Drivers'!$B$68:$B$78))/12))</f>
        <v>324.13003204614523</v>
      </c>
      <c r="DY33" s="342">
        <f>DX33*(1+(INDEX('Inputs &amp; Drivers'!$I$68:$I$78,MATCH(Model!DY$4,'Inputs &amp; Drivers'!$B$68:$B$78))/12))</f>
        <v>324.94035712626055</v>
      </c>
      <c r="DZ33" s="342">
        <f>DY33*(1+(INDEX('Inputs &amp; Drivers'!$I$68:$I$78,MATCH(Model!DZ$4,'Inputs &amp; Drivers'!$B$68:$B$78))/12))</f>
        <v>325.75270801907618</v>
      </c>
      <c r="EA33" s="342">
        <f>DZ33*(1+(INDEX('Inputs &amp; Drivers'!$I$68:$I$78,MATCH(Model!EA$4,'Inputs &amp; Drivers'!$B$68:$B$78))/12))</f>
        <v>326.56708978912383</v>
      </c>
      <c r="EB33" s="342">
        <f>EA33*(1+(INDEX('Inputs &amp; Drivers'!$I$68:$I$78,MATCH(Model!EB$4,'Inputs &amp; Drivers'!$B$68:$B$78))/12))</f>
        <v>327.38350751359661</v>
      </c>
      <c r="EC33" s="342">
        <f>EB33*(1+(INDEX('Inputs &amp; Drivers'!$I$68:$I$78,MATCH(Model!EC$4,'Inputs &amp; Drivers'!$B$68:$B$78))/12))</f>
        <v>328.20196628238057</v>
      </c>
      <c r="ED33" s="342">
        <f>EC33*(1+(INDEX('Inputs &amp; Drivers'!$I$68:$I$78,MATCH(Model!ED$4,'Inputs &amp; Drivers'!$B$68:$B$78))/12))</f>
        <v>329.02247119808652</v>
      </c>
      <c r="EE33" s="342">
        <f>ED33*(1+(INDEX('Inputs &amp; Drivers'!$I$68:$I$78,MATCH(Model!EE$4,'Inputs &amp; Drivers'!$B$68:$B$78))/12))</f>
        <v>329.8450273760817</v>
      </c>
      <c r="EF33" s="342">
        <f>EE33*(1+(INDEX('Inputs &amp; Drivers'!$I$68:$I$78,MATCH(Model!EF$4,'Inputs &amp; Drivers'!$B$68:$B$78))/12))</f>
        <v>330.66963994452186</v>
      </c>
      <c r="EG33" s="342">
        <f>EF33*(1+(INDEX('Inputs &amp; Drivers'!$I$68:$I$78,MATCH(Model!EG$4,'Inputs &amp; Drivers'!$B$68:$B$78))/12))</f>
        <v>331.49631404438315</v>
      </c>
      <c r="EH33" s="342">
        <f>EG33*(1+(INDEX('Inputs &amp; Drivers'!$I$68:$I$78,MATCH(Model!EH$4,'Inputs &amp; Drivers'!$B$68:$B$78))/12))</f>
        <v>332.32505482949409</v>
      </c>
      <c r="EI33" s="342">
        <f>EH33*(1+(INDEX('Inputs &amp; Drivers'!$I$68:$I$78,MATCH(Model!EI$4,'Inputs &amp; Drivers'!$B$68:$B$78))/12))</f>
        <v>333.15586746656783</v>
      </c>
      <c r="EJ33" s="342">
        <f>EI33*(1+(INDEX('Inputs &amp; Drivers'!$I$68:$I$78,MATCH(Model!EJ$4,'Inputs &amp; Drivers'!$B$68:$B$78))/12))</f>
        <v>333.98875713523421</v>
      </c>
      <c r="EL33" s="12">
        <f t="shared" si="149"/>
        <v>250</v>
      </c>
      <c r="EM33" s="12">
        <f t="shared" si="149"/>
        <v>250</v>
      </c>
      <c r="EN33" s="12">
        <f t="shared" si="149"/>
        <v>255.04608892037547</v>
      </c>
      <c r="EO33" s="12">
        <f t="shared" si="149"/>
        <v>262.80355977193602</v>
      </c>
      <c r="EP33" s="12">
        <f t="shared" si="149"/>
        <v>270.79698152267548</v>
      </c>
      <c r="EQ33" s="12">
        <f t="shared" si="149"/>
        <v>279.03353084497684</v>
      </c>
      <c r="ER33" s="12">
        <f t="shared" si="149"/>
        <v>287.52060269658125</v>
      </c>
      <c r="ES33" s="12">
        <f t="shared" si="149"/>
        <v>296.26581695994582</v>
      </c>
      <c r="ET33" s="12">
        <f t="shared" si="149"/>
        <v>305.27702528354439</v>
      </c>
      <c r="EU33" s="12">
        <f t="shared" si="149"/>
        <v>314.56231813125225</v>
      </c>
      <c r="EV33" s="12">
        <f t="shared" si="149"/>
        <v>324.13003204614523</v>
      </c>
      <c r="EW33" s="12">
        <f t="shared" si="149"/>
        <v>333.98875713523421</v>
      </c>
    </row>
    <row r="34" spans="2:153" outlineLevel="1" x14ac:dyDescent="0.4">
      <c r="B34" s="1" t="s">
        <v>42</v>
      </c>
      <c r="H34" s="254">
        <f>'Inputs &amp; Drivers'!I51</f>
        <v>150</v>
      </c>
      <c r="I34" s="342">
        <f>H34*(1+(INDEX('Inputs &amp; Drivers'!$I$68:$I$78,MATCH(Model!I$4,'Inputs &amp; Drivers'!$B$68:$B$78))/12))</f>
        <v>150</v>
      </c>
      <c r="J34" s="342">
        <f>I34*(1+(INDEX('Inputs &amp; Drivers'!$I$68:$I$78,MATCH(Model!J$4,'Inputs &amp; Drivers'!$B$68:$B$78))/12))</f>
        <v>150</v>
      </c>
      <c r="K34" s="342">
        <f>J34*(1+(INDEX('Inputs &amp; Drivers'!$I$68:$I$78,MATCH(Model!K$4,'Inputs &amp; Drivers'!$B$68:$B$78))/12))</f>
        <v>150</v>
      </c>
      <c r="L34" s="342">
        <f>K34*(1+(INDEX('Inputs &amp; Drivers'!$I$68:$I$78,MATCH(Model!L$4,'Inputs &amp; Drivers'!$B$68:$B$78))/12))</f>
        <v>150</v>
      </c>
      <c r="M34" s="342">
        <f>L34*(1+(INDEX('Inputs &amp; Drivers'!$I$68:$I$78,MATCH(Model!M$4,'Inputs &amp; Drivers'!$B$68:$B$78))/12))</f>
        <v>150</v>
      </c>
      <c r="N34" s="342">
        <f>M34*(1+(INDEX('Inputs &amp; Drivers'!$I$68:$I$78,MATCH(Model!N$4,'Inputs &amp; Drivers'!$B$68:$B$78))/12))</f>
        <v>150</v>
      </c>
      <c r="O34" s="342">
        <f>N34*(1+(INDEX('Inputs &amp; Drivers'!$I$68:$I$78,MATCH(Model!O$4,'Inputs &amp; Drivers'!$B$68:$B$78))/12))</f>
        <v>150</v>
      </c>
      <c r="P34" s="342">
        <f>O34*(1+(INDEX('Inputs &amp; Drivers'!$I$68:$I$78,MATCH(Model!P$4,'Inputs &amp; Drivers'!$B$68:$B$78))/12))</f>
        <v>150</v>
      </c>
      <c r="Q34" s="342">
        <f>P34*(1+(INDEX('Inputs &amp; Drivers'!$I$68:$I$78,MATCH(Model!Q$4,'Inputs &amp; Drivers'!$B$68:$B$78))/12))</f>
        <v>150</v>
      </c>
      <c r="R34" s="342">
        <f>Q34*(1+(INDEX('Inputs &amp; Drivers'!$I$68:$I$78,MATCH(Model!R$4,'Inputs &amp; Drivers'!$B$68:$B$78))/12))</f>
        <v>150</v>
      </c>
      <c r="S34" s="342">
        <f>R34*(1+(INDEX('Inputs &amp; Drivers'!$I$68:$I$78,MATCH(Model!S$4,'Inputs &amp; Drivers'!$B$68:$B$78))/12))</f>
        <v>150</v>
      </c>
      <c r="T34" s="342">
        <f>S34*(1+(INDEX('Inputs &amp; Drivers'!$I$68:$I$78,MATCH(Model!T$4,'Inputs &amp; Drivers'!$B$68:$B$78))/12))</f>
        <v>150</v>
      </c>
      <c r="U34" s="342">
        <f>T34*(1+(INDEX('Inputs &amp; Drivers'!$I$68:$I$78,MATCH(Model!U$4,'Inputs &amp; Drivers'!$B$68:$B$78))/12))</f>
        <v>150.25</v>
      </c>
      <c r="V34" s="342">
        <f>U34*(1+(INDEX('Inputs &amp; Drivers'!$I$68:$I$78,MATCH(Model!V$4,'Inputs &amp; Drivers'!$B$68:$B$78))/12))</f>
        <v>150.50041666666667</v>
      </c>
      <c r="W34" s="342">
        <f>V34*(1+(INDEX('Inputs &amp; Drivers'!$I$68:$I$78,MATCH(Model!W$4,'Inputs &amp; Drivers'!$B$68:$B$78))/12))</f>
        <v>150.75125069444445</v>
      </c>
      <c r="X34" s="342">
        <f>W34*(1+(INDEX('Inputs &amp; Drivers'!$I$68:$I$78,MATCH(Model!X$4,'Inputs &amp; Drivers'!$B$68:$B$78))/12))</f>
        <v>151.0025027789352</v>
      </c>
      <c r="Y34" s="342">
        <f>X34*(1+(INDEX('Inputs &amp; Drivers'!$I$68:$I$78,MATCH(Model!Y$4,'Inputs &amp; Drivers'!$B$68:$B$78))/12))</f>
        <v>151.25417361690009</v>
      </c>
      <c r="Z34" s="342">
        <f>Y34*(1+(INDEX('Inputs &amp; Drivers'!$I$68:$I$78,MATCH(Model!Z$4,'Inputs &amp; Drivers'!$B$68:$B$78))/12))</f>
        <v>151.50626390626161</v>
      </c>
      <c r="AA34" s="342">
        <f>Z34*(1+(INDEX('Inputs &amp; Drivers'!$I$68:$I$78,MATCH(Model!AA$4,'Inputs &amp; Drivers'!$B$68:$B$78))/12))</f>
        <v>151.75877434610538</v>
      </c>
      <c r="AB34" s="342">
        <f>AA34*(1+(INDEX('Inputs &amp; Drivers'!$I$68:$I$78,MATCH(Model!AB$4,'Inputs &amp; Drivers'!$B$68:$B$78))/12))</f>
        <v>152.01170563668222</v>
      </c>
      <c r="AC34" s="342">
        <f>AB34*(1+(INDEX('Inputs &amp; Drivers'!$I$68:$I$78,MATCH(Model!AC$4,'Inputs &amp; Drivers'!$B$68:$B$78))/12))</f>
        <v>152.26505847941004</v>
      </c>
      <c r="AD34" s="342">
        <f>AC34*(1+(INDEX('Inputs &amp; Drivers'!$I$68:$I$78,MATCH(Model!AD$4,'Inputs &amp; Drivers'!$B$68:$B$78))/12))</f>
        <v>152.51883357687572</v>
      </c>
      <c r="AE34" s="342">
        <f>AD34*(1+(INDEX('Inputs &amp; Drivers'!$I$68:$I$78,MATCH(Model!AE$4,'Inputs &amp; Drivers'!$B$68:$B$78))/12))</f>
        <v>152.77303163283719</v>
      </c>
      <c r="AF34" s="342">
        <f>AE34*(1+(INDEX('Inputs &amp; Drivers'!$I$68:$I$78,MATCH(Model!AF$4,'Inputs &amp; Drivers'!$B$68:$B$78))/12))</f>
        <v>153.02765335222526</v>
      </c>
      <c r="AG34" s="342">
        <f>AF34*(1+(INDEX('Inputs &amp; Drivers'!$I$68:$I$78,MATCH(Model!AG$4,'Inputs &amp; Drivers'!$B$68:$B$78))/12))</f>
        <v>153.4102224856058</v>
      </c>
      <c r="AH34" s="342">
        <f>AG34*(1+(INDEX('Inputs &amp; Drivers'!$I$68:$I$78,MATCH(Model!AH$4,'Inputs &amp; Drivers'!$B$68:$B$78))/12))</f>
        <v>153.79374804181981</v>
      </c>
      <c r="AI34" s="342">
        <f>AH34*(1+(INDEX('Inputs &amp; Drivers'!$I$68:$I$78,MATCH(Model!AI$4,'Inputs &amp; Drivers'!$B$68:$B$78))/12))</f>
        <v>154.17823241192434</v>
      </c>
      <c r="AJ34" s="342">
        <f>AI34*(1+(INDEX('Inputs &amp; Drivers'!$I$68:$I$78,MATCH(Model!AJ$4,'Inputs &amp; Drivers'!$B$68:$B$78))/12))</f>
        <v>154.56367799295415</v>
      </c>
      <c r="AK34" s="342">
        <f>AJ34*(1+(INDEX('Inputs &amp; Drivers'!$I$68:$I$78,MATCH(Model!AK$4,'Inputs &amp; Drivers'!$B$68:$B$78))/12))</f>
        <v>154.95008718793653</v>
      </c>
      <c r="AL34" s="342">
        <f>AK34*(1+(INDEX('Inputs &amp; Drivers'!$I$68:$I$78,MATCH(Model!AL$4,'Inputs &amp; Drivers'!$B$68:$B$78))/12))</f>
        <v>155.33746240590636</v>
      </c>
      <c r="AM34" s="342">
        <f>AL34*(1+(INDEX('Inputs &amp; Drivers'!$I$68:$I$78,MATCH(Model!AM$4,'Inputs &amp; Drivers'!$B$68:$B$78))/12))</f>
        <v>155.72580606192113</v>
      </c>
      <c r="AN34" s="342">
        <f>AM34*(1+(INDEX('Inputs &amp; Drivers'!$I$68:$I$78,MATCH(Model!AN$4,'Inputs &amp; Drivers'!$B$68:$B$78))/12))</f>
        <v>156.11512057707594</v>
      </c>
      <c r="AO34" s="342">
        <f>AN34*(1+(INDEX('Inputs &amp; Drivers'!$I$68:$I$78,MATCH(Model!AO$4,'Inputs &amp; Drivers'!$B$68:$B$78))/12))</f>
        <v>156.50540837851861</v>
      </c>
      <c r="AP34" s="342">
        <f>AO34*(1+(INDEX('Inputs &amp; Drivers'!$I$68:$I$78,MATCH(Model!AP$4,'Inputs &amp; Drivers'!$B$68:$B$78))/12))</f>
        <v>156.89667189946491</v>
      </c>
      <c r="AQ34" s="342">
        <f>AP34*(1+(INDEX('Inputs &amp; Drivers'!$I$68:$I$78,MATCH(Model!AQ$4,'Inputs &amp; Drivers'!$B$68:$B$78))/12))</f>
        <v>157.28891357921356</v>
      </c>
      <c r="AR34" s="342">
        <f>AQ34*(1+(INDEX('Inputs &amp; Drivers'!$I$68:$I$78,MATCH(Model!AR$4,'Inputs &amp; Drivers'!$B$68:$B$78))/12))</f>
        <v>157.68213586316159</v>
      </c>
      <c r="AS34" s="342">
        <f>AR34*(1+(INDEX('Inputs &amp; Drivers'!$I$68:$I$78,MATCH(Model!AS$4,'Inputs &amp; Drivers'!$B$68:$B$78))/12))</f>
        <v>158.07634120281949</v>
      </c>
      <c r="AT34" s="342">
        <f>AS34*(1+(INDEX('Inputs &amp; Drivers'!$I$68:$I$78,MATCH(Model!AT$4,'Inputs &amp; Drivers'!$B$68:$B$78))/12))</f>
        <v>158.47153205582654</v>
      </c>
      <c r="AU34" s="342">
        <f>AT34*(1+(INDEX('Inputs &amp; Drivers'!$I$68:$I$78,MATCH(Model!AU$4,'Inputs &amp; Drivers'!$B$68:$B$78))/12))</f>
        <v>158.86771088596609</v>
      </c>
      <c r="AV34" s="342">
        <f>AU34*(1+(INDEX('Inputs &amp; Drivers'!$I$68:$I$78,MATCH(Model!AV$4,'Inputs &amp; Drivers'!$B$68:$B$78))/12))</f>
        <v>159.264880163181</v>
      </c>
      <c r="AW34" s="342">
        <f>AV34*(1+(INDEX('Inputs &amp; Drivers'!$I$68:$I$78,MATCH(Model!AW$4,'Inputs &amp; Drivers'!$B$68:$B$78))/12))</f>
        <v>159.66304236358894</v>
      </c>
      <c r="AX34" s="342">
        <f>AW34*(1+(INDEX('Inputs &amp; Drivers'!$I$68:$I$78,MATCH(Model!AX$4,'Inputs &amp; Drivers'!$B$68:$B$78))/12))</f>
        <v>160.0621999694979</v>
      </c>
      <c r="AY34" s="342">
        <f>AX34*(1+(INDEX('Inputs &amp; Drivers'!$I$68:$I$78,MATCH(Model!AY$4,'Inputs &amp; Drivers'!$B$68:$B$78))/12))</f>
        <v>160.46235546942162</v>
      </c>
      <c r="AZ34" s="342">
        <f>AY34*(1+(INDEX('Inputs &amp; Drivers'!$I$68:$I$78,MATCH(Model!AZ$4,'Inputs &amp; Drivers'!$B$68:$B$78))/12))</f>
        <v>160.86351135809517</v>
      </c>
      <c r="BA34" s="342">
        <f>AZ34*(1+(INDEX('Inputs &amp; Drivers'!$I$68:$I$78,MATCH(Model!BA$4,'Inputs &amp; Drivers'!$B$68:$B$78))/12))</f>
        <v>161.2656701364904</v>
      </c>
      <c r="BB34" s="342">
        <f>BA34*(1+(INDEX('Inputs &amp; Drivers'!$I$68:$I$78,MATCH(Model!BB$4,'Inputs &amp; Drivers'!$B$68:$B$78))/12))</f>
        <v>161.66883431183163</v>
      </c>
      <c r="BC34" s="342">
        <f>BB34*(1+(INDEX('Inputs &amp; Drivers'!$I$68:$I$78,MATCH(Model!BC$4,'Inputs &amp; Drivers'!$B$68:$B$78))/12))</f>
        <v>162.07300639761121</v>
      </c>
      <c r="BD34" s="342">
        <f>BC34*(1+(INDEX('Inputs &amp; Drivers'!$I$68:$I$78,MATCH(Model!BD$4,'Inputs &amp; Drivers'!$B$68:$B$78))/12))</f>
        <v>162.47818891360524</v>
      </c>
      <c r="BE34" s="342">
        <f>BD34*(1+(INDEX('Inputs &amp; Drivers'!$I$68:$I$78,MATCH(Model!BE$4,'Inputs &amp; Drivers'!$B$68:$B$78))/12))</f>
        <v>162.88438438588923</v>
      </c>
      <c r="BF34" s="342">
        <f>BE34*(1+(INDEX('Inputs &amp; Drivers'!$I$68:$I$78,MATCH(Model!BF$4,'Inputs &amp; Drivers'!$B$68:$B$78))/12))</f>
        <v>163.29159534685394</v>
      </c>
      <c r="BG34" s="342">
        <f>BF34*(1+(INDEX('Inputs &amp; Drivers'!$I$68:$I$78,MATCH(Model!BG$4,'Inputs &amp; Drivers'!$B$68:$B$78))/12))</f>
        <v>163.69982433522105</v>
      </c>
      <c r="BH34" s="342">
        <f>BG34*(1+(INDEX('Inputs &amp; Drivers'!$I$68:$I$78,MATCH(Model!BH$4,'Inputs &amp; Drivers'!$B$68:$B$78))/12))</f>
        <v>164.1090738960591</v>
      </c>
      <c r="BI34" s="342">
        <f>BH34*(1+(INDEX('Inputs &amp; Drivers'!$I$68:$I$78,MATCH(Model!BI$4,'Inputs &amp; Drivers'!$B$68:$B$78))/12))</f>
        <v>164.51934658079924</v>
      </c>
      <c r="BJ34" s="342">
        <f>BI34*(1+(INDEX('Inputs &amp; Drivers'!$I$68:$I$78,MATCH(Model!BJ$4,'Inputs &amp; Drivers'!$B$68:$B$78))/12))</f>
        <v>164.93064494725124</v>
      </c>
      <c r="BK34" s="342">
        <f>BJ34*(1+(INDEX('Inputs &amp; Drivers'!$I$68:$I$78,MATCH(Model!BK$4,'Inputs &amp; Drivers'!$B$68:$B$78))/12))</f>
        <v>165.34297155961937</v>
      </c>
      <c r="BL34" s="342">
        <f>BK34*(1+(INDEX('Inputs &amp; Drivers'!$I$68:$I$78,MATCH(Model!BL$4,'Inputs &amp; Drivers'!$B$68:$B$78))/12))</f>
        <v>165.75632898851842</v>
      </c>
      <c r="BM34" s="342">
        <f>BL34*(1+(INDEX('Inputs &amp; Drivers'!$I$68:$I$78,MATCH(Model!BM$4,'Inputs &amp; Drivers'!$B$68:$B$78))/12))</f>
        <v>166.17071981098971</v>
      </c>
      <c r="BN34" s="342">
        <f>BM34*(1+(INDEX('Inputs &amp; Drivers'!$I$68:$I$78,MATCH(Model!BN$4,'Inputs &amp; Drivers'!$B$68:$B$78))/12))</f>
        <v>166.58614661051718</v>
      </c>
      <c r="BO34" s="342">
        <f>BN34*(1+(INDEX('Inputs &amp; Drivers'!$I$68:$I$78,MATCH(Model!BO$4,'Inputs &amp; Drivers'!$B$68:$B$78))/12))</f>
        <v>167.00261197704347</v>
      </c>
      <c r="BP34" s="342">
        <f>BO34*(1+(INDEX('Inputs &amp; Drivers'!$I$68:$I$78,MATCH(Model!BP$4,'Inputs &amp; Drivers'!$B$68:$B$78))/12))</f>
        <v>167.42011850698609</v>
      </c>
      <c r="BQ34" s="342">
        <f>BP34*(1+(INDEX('Inputs &amp; Drivers'!$I$68:$I$78,MATCH(Model!BQ$4,'Inputs &amp; Drivers'!$B$68:$B$78))/12))</f>
        <v>167.83866880325354</v>
      </c>
      <c r="BR34" s="342">
        <f>BQ34*(1+(INDEX('Inputs &amp; Drivers'!$I$68:$I$78,MATCH(Model!BR$4,'Inputs &amp; Drivers'!$B$68:$B$78))/12))</f>
        <v>168.25826547526165</v>
      </c>
      <c r="BS34" s="342">
        <f>BR34*(1+(INDEX('Inputs &amp; Drivers'!$I$68:$I$78,MATCH(Model!BS$4,'Inputs &amp; Drivers'!$B$68:$B$78))/12))</f>
        <v>168.67891113894979</v>
      </c>
      <c r="BT34" s="342">
        <f>BS34*(1+(INDEX('Inputs &amp; Drivers'!$I$68:$I$78,MATCH(Model!BT$4,'Inputs &amp; Drivers'!$B$68:$B$78))/12))</f>
        <v>169.10060841679714</v>
      </c>
      <c r="BU34" s="342">
        <f>BT34*(1+(INDEX('Inputs &amp; Drivers'!$I$68:$I$78,MATCH(Model!BU$4,'Inputs &amp; Drivers'!$B$68:$B$78))/12))</f>
        <v>169.52335993783913</v>
      </c>
      <c r="BV34" s="342">
        <f>BU34*(1+(INDEX('Inputs &amp; Drivers'!$I$68:$I$78,MATCH(Model!BV$4,'Inputs &amp; Drivers'!$B$68:$B$78))/12))</f>
        <v>169.94716833768373</v>
      </c>
      <c r="BW34" s="342">
        <f>BV34*(1+(INDEX('Inputs &amp; Drivers'!$I$68:$I$78,MATCH(Model!BW$4,'Inputs &amp; Drivers'!$B$68:$B$78))/12))</f>
        <v>170.37203625852794</v>
      </c>
      <c r="BX34" s="342">
        <f>BW34*(1+(INDEX('Inputs &amp; Drivers'!$I$68:$I$78,MATCH(Model!BX$4,'Inputs &amp; Drivers'!$B$68:$B$78))/12))</f>
        <v>170.79796634917426</v>
      </c>
      <c r="BY34" s="342">
        <f>BX34*(1+(INDEX('Inputs &amp; Drivers'!$I$68:$I$78,MATCH(Model!BY$4,'Inputs &amp; Drivers'!$B$68:$B$78))/12))</f>
        <v>171.2249612650472</v>
      </c>
      <c r="BZ34" s="342">
        <f>BY34*(1+(INDEX('Inputs &amp; Drivers'!$I$68:$I$78,MATCH(Model!BZ$4,'Inputs &amp; Drivers'!$B$68:$B$78))/12))</f>
        <v>171.65302366820981</v>
      </c>
      <c r="CA34" s="342">
        <f>BZ34*(1+(INDEX('Inputs &amp; Drivers'!$I$68:$I$78,MATCH(Model!CA$4,'Inputs &amp; Drivers'!$B$68:$B$78))/12))</f>
        <v>172.08215622738032</v>
      </c>
      <c r="CB34" s="342">
        <f>CA34*(1+(INDEX('Inputs &amp; Drivers'!$I$68:$I$78,MATCH(Model!CB$4,'Inputs &amp; Drivers'!$B$68:$B$78))/12))</f>
        <v>172.51236161794876</v>
      </c>
      <c r="CC34" s="342">
        <f>CB34*(1+(INDEX('Inputs &amp; Drivers'!$I$68:$I$78,MATCH(Model!CC$4,'Inputs &amp; Drivers'!$B$68:$B$78))/12))</f>
        <v>172.94364252199361</v>
      </c>
      <c r="CD34" s="342">
        <f>CC34*(1+(INDEX('Inputs &amp; Drivers'!$I$68:$I$78,MATCH(Model!CD$4,'Inputs &amp; Drivers'!$B$68:$B$78))/12))</f>
        <v>173.37600162829858</v>
      </c>
      <c r="CE34" s="342">
        <f>CD34*(1+(INDEX('Inputs &amp; Drivers'!$I$68:$I$78,MATCH(Model!CE$4,'Inputs &amp; Drivers'!$B$68:$B$78))/12))</f>
        <v>173.80944163236933</v>
      </c>
      <c r="CF34" s="342">
        <f>CE34*(1+(INDEX('Inputs &amp; Drivers'!$I$68:$I$78,MATCH(Model!CF$4,'Inputs &amp; Drivers'!$B$68:$B$78))/12))</f>
        <v>174.24396523645024</v>
      </c>
      <c r="CG34" s="342">
        <f>CF34*(1+(INDEX('Inputs &amp; Drivers'!$I$68:$I$78,MATCH(Model!CG$4,'Inputs &amp; Drivers'!$B$68:$B$78))/12))</f>
        <v>174.67957514954136</v>
      </c>
      <c r="CH34" s="342">
        <f>CG34*(1+(INDEX('Inputs &amp; Drivers'!$I$68:$I$78,MATCH(Model!CH$4,'Inputs &amp; Drivers'!$B$68:$B$78))/12))</f>
        <v>175.11627408741521</v>
      </c>
      <c r="CI34" s="342">
        <f>CH34*(1+(INDEX('Inputs &amp; Drivers'!$I$68:$I$78,MATCH(Model!CI$4,'Inputs &amp; Drivers'!$B$68:$B$78))/12))</f>
        <v>175.55406477263372</v>
      </c>
      <c r="CJ34" s="342">
        <f>CI34*(1+(INDEX('Inputs &amp; Drivers'!$I$68:$I$78,MATCH(Model!CJ$4,'Inputs &amp; Drivers'!$B$68:$B$78))/12))</f>
        <v>175.9929499345653</v>
      </c>
      <c r="CK34" s="342">
        <f>CJ34*(1+(INDEX('Inputs &amp; Drivers'!$I$68:$I$78,MATCH(Model!CK$4,'Inputs &amp; Drivers'!$B$68:$B$78))/12))</f>
        <v>176.43293230940171</v>
      </c>
      <c r="CL34" s="342">
        <f>CK34*(1+(INDEX('Inputs &amp; Drivers'!$I$68:$I$78,MATCH(Model!CL$4,'Inputs &amp; Drivers'!$B$68:$B$78))/12))</f>
        <v>176.8740146401752</v>
      </c>
      <c r="CM34" s="342">
        <f>CL34*(1+(INDEX('Inputs &amp; Drivers'!$I$68:$I$78,MATCH(Model!CM$4,'Inputs &amp; Drivers'!$B$68:$B$78))/12))</f>
        <v>177.31619967677562</v>
      </c>
      <c r="CN34" s="342">
        <f>CM34*(1+(INDEX('Inputs &amp; Drivers'!$I$68:$I$78,MATCH(Model!CN$4,'Inputs &amp; Drivers'!$B$68:$B$78))/12))</f>
        <v>177.75949017596756</v>
      </c>
      <c r="CO34" s="342">
        <f>CN34*(1+(INDEX('Inputs &amp; Drivers'!$I$68:$I$78,MATCH(Model!CO$4,'Inputs &amp; Drivers'!$B$68:$B$78))/12))</f>
        <v>178.20388890140745</v>
      </c>
      <c r="CP34" s="342">
        <f>CO34*(1+(INDEX('Inputs &amp; Drivers'!$I$68:$I$78,MATCH(Model!CP$4,'Inputs &amp; Drivers'!$B$68:$B$78))/12))</f>
        <v>178.64939862366097</v>
      </c>
      <c r="CQ34" s="342">
        <f>CP34*(1+(INDEX('Inputs &amp; Drivers'!$I$68:$I$78,MATCH(Model!CQ$4,'Inputs &amp; Drivers'!$B$68:$B$78))/12))</f>
        <v>179.09602212022011</v>
      </c>
      <c r="CR34" s="342">
        <f>CQ34*(1+(INDEX('Inputs &amp; Drivers'!$I$68:$I$78,MATCH(Model!CR$4,'Inputs &amp; Drivers'!$B$68:$B$78))/12))</f>
        <v>179.54376217552064</v>
      </c>
      <c r="CS34" s="342">
        <f>CR34*(1+(INDEX('Inputs &amp; Drivers'!$I$68:$I$78,MATCH(Model!CS$4,'Inputs &amp; Drivers'!$B$68:$B$78))/12))</f>
        <v>179.99262158095942</v>
      </c>
      <c r="CT34" s="342">
        <f>CS34*(1+(INDEX('Inputs &amp; Drivers'!$I$68:$I$78,MATCH(Model!CT$4,'Inputs &amp; Drivers'!$B$68:$B$78))/12))</f>
        <v>180.44260313491182</v>
      </c>
      <c r="CU34" s="342">
        <f>CT34*(1+(INDEX('Inputs &amp; Drivers'!$I$68:$I$78,MATCH(Model!CU$4,'Inputs &amp; Drivers'!$B$68:$B$78))/12))</f>
        <v>180.89370964274909</v>
      </c>
      <c r="CV34" s="342">
        <f>CU34*(1+(INDEX('Inputs &amp; Drivers'!$I$68:$I$78,MATCH(Model!CV$4,'Inputs &amp; Drivers'!$B$68:$B$78))/12))</f>
        <v>181.34594391685596</v>
      </c>
      <c r="CW34" s="342">
        <f>CV34*(1+(INDEX('Inputs &amp; Drivers'!$I$68:$I$78,MATCH(Model!CW$4,'Inputs &amp; Drivers'!$B$68:$B$78))/12))</f>
        <v>181.79930877664808</v>
      </c>
      <c r="CX34" s="342">
        <f>CW34*(1+(INDEX('Inputs &amp; Drivers'!$I$68:$I$78,MATCH(Model!CX$4,'Inputs &amp; Drivers'!$B$68:$B$78))/12))</f>
        <v>182.25380704858969</v>
      </c>
      <c r="CY34" s="342">
        <f>CX34*(1+(INDEX('Inputs &amp; Drivers'!$I$68:$I$78,MATCH(Model!CY$4,'Inputs &amp; Drivers'!$B$68:$B$78))/12))</f>
        <v>182.70944156621115</v>
      </c>
      <c r="CZ34" s="342">
        <f>CY34*(1+(INDEX('Inputs &amp; Drivers'!$I$68:$I$78,MATCH(Model!CZ$4,'Inputs &amp; Drivers'!$B$68:$B$78))/12))</f>
        <v>183.16621517012666</v>
      </c>
      <c r="DA34" s="342">
        <f>CZ34*(1+(INDEX('Inputs &amp; Drivers'!$I$68:$I$78,MATCH(Model!DA$4,'Inputs &amp; Drivers'!$B$68:$B$78))/12))</f>
        <v>183.62413070805198</v>
      </c>
      <c r="DB34" s="342">
        <f>DA34*(1+(INDEX('Inputs &amp; Drivers'!$I$68:$I$78,MATCH(Model!DB$4,'Inputs &amp; Drivers'!$B$68:$B$78))/12))</f>
        <v>184.08319103482211</v>
      </c>
      <c r="DC34" s="342">
        <f>DB34*(1+(INDEX('Inputs &amp; Drivers'!$I$68:$I$78,MATCH(Model!DC$4,'Inputs &amp; Drivers'!$B$68:$B$78))/12))</f>
        <v>184.54339901240914</v>
      </c>
      <c r="DD34" s="342">
        <f>DC34*(1+(INDEX('Inputs &amp; Drivers'!$I$68:$I$78,MATCH(Model!DD$4,'Inputs &amp; Drivers'!$B$68:$B$78))/12))</f>
        <v>185.00475750994016</v>
      </c>
      <c r="DE34" s="342">
        <f>DD34*(1+(INDEX('Inputs &amp; Drivers'!$I$68:$I$78,MATCH(Model!DE$4,'Inputs &amp; Drivers'!$B$68:$B$78))/12))</f>
        <v>185.46726940371499</v>
      </c>
      <c r="DF34" s="342">
        <f>DE34*(1+(INDEX('Inputs &amp; Drivers'!$I$68:$I$78,MATCH(Model!DF$4,'Inputs &amp; Drivers'!$B$68:$B$78))/12))</f>
        <v>185.93093757722428</v>
      </c>
      <c r="DG34" s="342">
        <f>DF34*(1+(INDEX('Inputs &amp; Drivers'!$I$68:$I$78,MATCH(Model!DG$4,'Inputs &amp; Drivers'!$B$68:$B$78))/12))</f>
        <v>186.39576492116734</v>
      </c>
      <c r="DH34" s="342">
        <f>DG34*(1+(INDEX('Inputs &amp; Drivers'!$I$68:$I$78,MATCH(Model!DH$4,'Inputs &amp; Drivers'!$B$68:$B$78))/12))</f>
        <v>186.86175433347026</v>
      </c>
      <c r="DI34" s="342">
        <f>DH34*(1+(INDEX('Inputs &amp; Drivers'!$I$68:$I$78,MATCH(Model!DI$4,'Inputs &amp; Drivers'!$B$68:$B$78))/12))</f>
        <v>187.32890871930391</v>
      </c>
      <c r="DJ34" s="342">
        <f>DI34*(1+(INDEX('Inputs &amp; Drivers'!$I$68:$I$78,MATCH(Model!DJ$4,'Inputs &amp; Drivers'!$B$68:$B$78))/12))</f>
        <v>187.79723099110217</v>
      </c>
      <c r="DK34" s="342">
        <f>DJ34*(1+(INDEX('Inputs &amp; Drivers'!$I$68:$I$78,MATCH(Model!DK$4,'Inputs &amp; Drivers'!$B$68:$B$78))/12))</f>
        <v>188.26672406857992</v>
      </c>
      <c r="DL34" s="342">
        <f>DK34*(1+(INDEX('Inputs &amp; Drivers'!$I$68:$I$78,MATCH(Model!DL$4,'Inputs &amp; Drivers'!$B$68:$B$78))/12))</f>
        <v>188.73739087875137</v>
      </c>
      <c r="DM34" s="342">
        <f>DL34*(1+(INDEX('Inputs &amp; Drivers'!$I$68:$I$78,MATCH(Model!DM$4,'Inputs &amp; Drivers'!$B$68:$B$78))/12))</f>
        <v>189.20923435594824</v>
      </c>
      <c r="DN34" s="342">
        <f>DM34*(1+(INDEX('Inputs &amp; Drivers'!$I$68:$I$78,MATCH(Model!DN$4,'Inputs &amp; Drivers'!$B$68:$B$78))/12))</f>
        <v>189.68225744183809</v>
      </c>
      <c r="DO34" s="342">
        <f>DN34*(1+(INDEX('Inputs &amp; Drivers'!$I$68:$I$78,MATCH(Model!DO$4,'Inputs &amp; Drivers'!$B$68:$B$78))/12))</f>
        <v>190.15646308544268</v>
      </c>
      <c r="DP34" s="342">
        <f>DO34*(1+(INDEX('Inputs &amp; Drivers'!$I$68:$I$78,MATCH(Model!DP$4,'Inputs &amp; Drivers'!$B$68:$B$78))/12))</f>
        <v>190.63185424315628</v>
      </c>
      <c r="DQ34" s="342">
        <f>DP34*(1+(INDEX('Inputs &amp; Drivers'!$I$68:$I$78,MATCH(Model!DQ$4,'Inputs &amp; Drivers'!$B$68:$B$78))/12))</f>
        <v>191.10843387876417</v>
      </c>
      <c r="DR34" s="342">
        <f>DQ34*(1+(INDEX('Inputs &amp; Drivers'!$I$68:$I$78,MATCH(Model!DR$4,'Inputs &amp; Drivers'!$B$68:$B$78))/12))</f>
        <v>191.58620496346109</v>
      </c>
      <c r="DS34" s="342">
        <f>DR34*(1+(INDEX('Inputs &amp; Drivers'!$I$68:$I$78,MATCH(Model!DS$4,'Inputs &amp; Drivers'!$B$68:$B$78))/12))</f>
        <v>192.06517047586973</v>
      </c>
      <c r="DT34" s="342">
        <f>DS34*(1+(INDEX('Inputs &amp; Drivers'!$I$68:$I$78,MATCH(Model!DT$4,'Inputs &amp; Drivers'!$B$68:$B$78))/12))</f>
        <v>192.54533340205941</v>
      </c>
      <c r="DU34" s="342">
        <f>DT34*(1+(INDEX('Inputs &amp; Drivers'!$I$68:$I$78,MATCH(Model!DU$4,'Inputs &amp; Drivers'!$B$68:$B$78))/12))</f>
        <v>193.02669673556454</v>
      </c>
      <c r="DV34" s="342">
        <f>DU34*(1+(INDEX('Inputs &amp; Drivers'!$I$68:$I$78,MATCH(Model!DV$4,'Inputs &amp; Drivers'!$B$68:$B$78))/12))</f>
        <v>193.50926347740344</v>
      </c>
      <c r="DW34" s="342">
        <f>DV34*(1+(INDEX('Inputs &amp; Drivers'!$I$68:$I$78,MATCH(Model!DW$4,'Inputs &amp; Drivers'!$B$68:$B$78))/12))</f>
        <v>193.99303663609695</v>
      </c>
      <c r="DX34" s="342">
        <f>DW34*(1+(INDEX('Inputs &amp; Drivers'!$I$68:$I$78,MATCH(Model!DX$4,'Inputs &amp; Drivers'!$B$68:$B$78))/12))</f>
        <v>194.47801922768718</v>
      </c>
      <c r="DY34" s="342">
        <f>DX34*(1+(INDEX('Inputs &amp; Drivers'!$I$68:$I$78,MATCH(Model!DY$4,'Inputs &amp; Drivers'!$B$68:$B$78))/12))</f>
        <v>194.9642142757564</v>
      </c>
      <c r="DZ34" s="342">
        <f>DY34*(1+(INDEX('Inputs &amp; Drivers'!$I$68:$I$78,MATCH(Model!DZ$4,'Inputs &amp; Drivers'!$B$68:$B$78))/12))</f>
        <v>195.45162481144578</v>
      </c>
      <c r="EA34" s="342">
        <f>DZ34*(1+(INDEX('Inputs &amp; Drivers'!$I$68:$I$78,MATCH(Model!EA$4,'Inputs &amp; Drivers'!$B$68:$B$78))/12))</f>
        <v>195.94025387347438</v>
      </c>
      <c r="EB34" s="342">
        <f>EA34*(1+(INDEX('Inputs &amp; Drivers'!$I$68:$I$78,MATCH(Model!EB$4,'Inputs &amp; Drivers'!$B$68:$B$78))/12))</f>
        <v>196.43010450815805</v>
      </c>
      <c r="EC34" s="342">
        <f>EB34*(1+(INDEX('Inputs &amp; Drivers'!$I$68:$I$78,MATCH(Model!EC$4,'Inputs &amp; Drivers'!$B$68:$B$78))/12))</f>
        <v>196.92117976942845</v>
      </c>
      <c r="ED34" s="342">
        <f>EC34*(1+(INDEX('Inputs &amp; Drivers'!$I$68:$I$78,MATCH(Model!ED$4,'Inputs &amp; Drivers'!$B$68:$B$78))/12))</f>
        <v>197.41348271885201</v>
      </c>
      <c r="EE34" s="342">
        <f>ED34*(1+(INDEX('Inputs &amp; Drivers'!$I$68:$I$78,MATCH(Model!EE$4,'Inputs &amp; Drivers'!$B$68:$B$78))/12))</f>
        <v>197.90701642564912</v>
      </c>
      <c r="EF34" s="342">
        <f>EE34*(1+(INDEX('Inputs &amp; Drivers'!$I$68:$I$78,MATCH(Model!EF$4,'Inputs &amp; Drivers'!$B$68:$B$78))/12))</f>
        <v>198.40178396671323</v>
      </c>
      <c r="EG34" s="342">
        <f>EF34*(1+(INDEX('Inputs &amp; Drivers'!$I$68:$I$78,MATCH(Model!EG$4,'Inputs &amp; Drivers'!$B$68:$B$78))/12))</f>
        <v>198.89778842663</v>
      </c>
      <c r="EH34" s="342">
        <f>EG34*(1+(INDEX('Inputs &amp; Drivers'!$I$68:$I$78,MATCH(Model!EH$4,'Inputs &amp; Drivers'!$B$68:$B$78))/12))</f>
        <v>199.39503289769655</v>
      </c>
      <c r="EI34" s="342">
        <f>EH34*(1+(INDEX('Inputs &amp; Drivers'!$I$68:$I$78,MATCH(Model!EI$4,'Inputs &amp; Drivers'!$B$68:$B$78))/12))</f>
        <v>199.89352047994078</v>
      </c>
      <c r="EJ34" s="342">
        <f>EI34*(1+(INDEX('Inputs &amp; Drivers'!$I$68:$I$78,MATCH(Model!EJ$4,'Inputs &amp; Drivers'!$B$68:$B$78))/12))</f>
        <v>200.39325428114063</v>
      </c>
      <c r="EL34" s="12">
        <f t="shared" si="149"/>
        <v>150</v>
      </c>
      <c r="EM34" s="12">
        <f t="shared" si="149"/>
        <v>150</v>
      </c>
      <c r="EN34" s="12">
        <f t="shared" si="149"/>
        <v>153.02765335222526</v>
      </c>
      <c r="EO34" s="12">
        <f t="shared" si="149"/>
        <v>157.68213586316159</v>
      </c>
      <c r="EP34" s="12">
        <f t="shared" si="149"/>
        <v>162.47818891360524</v>
      </c>
      <c r="EQ34" s="12">
        <f t="shared" si="149"/>
        <v>167.42011850698609</v>
      </c>
      <c r="ER34" s="12">
        <f t="shared" si="149"/>
        <v>172.51236161794876</v>
      </c>
      <c r="ES34" s="12">
        <f t="shared" si="149"/>
        <v>177.75949017596756</v>
      </c>
      <c r="ET34" s="12">
        <f t="shared" si="149"/>
        <v>183.16621517012666</v>
      </c>
      <c r="EU34" s="12">
        <f t="shared" si="149"/>
        <v>188.73739087875137</v>
      </c>
      <c r="EV34" s="12">
        <f t="shared" si="149"/>
        <v>194.47801922768718</v>
      </c>
      <c r="EW34" s="12">
        <f t="shared" si="149"/>
        <v>200.39325428114063</v>
      </c>
    </row>
    <row r="35" spans="2:153" outlineLevel="1" x14ac:dyDescent="0.4">
      <c r="B35" s="1" t="s">
        <v>43</v>
      </c>
      <c r="H35" s="254">
        <f>'Inputs &amp; Drivers'!I52</f>
        <v>375</v>
      </c>
      <c r="I35" s="342">
        <f>H35*(1+(INDEX('Inputs &amp; Drivers'!$I$68:$I$78,MATCH(Model!I$4,'Inputs &amp; Drivers'!$B$68:$B$78))/12))</f>
        <v>375</v>
      </c>
      <c r="J35" s="342">
        <f>I35*(1+(INDEX('Inputs &amp; Drivers'!$I$68:$I$78,MATCH(Model!J$4,'Inputs &amp; Drivers'!$B$68:$B$78))/12))</f>
        <v>375</v>
      </c>
      <c r="K35" s="342">
        <f>J35*(1+(INDEX('Inputs &amp; Drivers'!$I$68:$I$78,MATCH(Model!K$4,'Inputs &amp; Drivers'!$B$68:$B$78))/12))</f>
        <v>375</v>
      </c>
      <c r="L35" s="342">
        <f>K35*(1+(INDEX('Inputs &amp; Drivers'!$I$68:$I$78,MATCH(Model!L$4,'Inputs &amp; Drivers'!$B$68:$B$78))/12))</f>
        <v>375</v>
      </c>
      <c r="M35" s="342">
        <f>L35*(1+(INDEX('Inputs &amp; Drivers'!$I$68:$I$78,MATCH(Model!M$4,'Inputs &amp; Drivers'!$B$68:$B$78))/12))</f>
        <v>375</v>
      </c>
      <c r="N35" s="342">
        <f>M35*(1+(INDEX('Inputs &amp; Drivers'!$I$68:$I$78,MATCH(Model!N$4,'Inputs &amp; Drivers'!$B$68:$B$78))/12))</f>
        <v>375</v>
      </c>
      <c r="O35" s="342">
        <f>N35*(1+(INDEX('Inputs &amp; Drivers'!$I$68:$I$78,MATCH(Model!O$4,'Inputs &amp; Drivers'!$B$68:$B$78))/12))</f>
        <v>375</v>
      </c>
      <c r="P35" s="342">
        <f>O35*(1+(INDEX('Inputs &amp; Drivers'!$I$68:$I$78,MATCH(Model!P$4,'Inputs &amp; Drivers'!$B$68:$B$78))/12))</f>
        <v>375</v>
      </c>
      <c r="Q35" s="342">
        <f>P35*(1+(INDEX('Inputs &amp; Drivers'!$I$68:$I$78,MATCH(Model!Q$4,'Inputs &amp; Drivers'!$B$68:$B$78))/12))</f>
        <v>375</v>
      </c>
      <c r="R35" s="342">
        <f>Q35*(1+(INDEX('Inputs &amp; Drivers'!$I$68:$I$78,MATCH(Model!R$4,'Inputs &amp; Drivers'!$B$68:$B$78))/12))</f>
        <v>375</v>
      </c>
      <c r="S35" s="342">
        <f>R35*(1+(INDEX('Inputs &amp; Drivers'!$I$68:$I$78,MATCH(Model!S$4,'Inputs &amp; Drivers'!$B$68:$B$78))/12))</f>
        <v>375</v>
      </c>
      <c r="T35" s="342">
        <f>S35*(1+(INDEX('Inputs &amp; Drivers'!$I$68:$I$78,MATCH(Model!T$4,'Inputs &amp; Drivers'!$B$68:$B$78))/12))</f>
        <v>375</v>
      </c>
      <c r="U35" s="342">
        <f>T35*(1+(INDEX('Inputs &amp; Drivers'!$I$68:$I$78,MATCH(Model!U$4,'Inputs &amp; Drivers'!$B$68:$B$78))/12))</f>
        <v>375.625</v>
      </c>
      <c r="V35" s="342">
        <f>U35*(1+(INDEX('Inputs &amp; Drivers'!$I$68:$I$78,MATCH(Model!V$4,'Inputs &amp; Drivers'!$B$68:$B$78))/12))</f>
        <v>376.25104166666671</v>
      </c>
      <c r="W35" s="342">
        <f>V35*(1+(INDEX('Inputs &amp; Drivers'!$I$68:$I$78,MATCH(Model!W$4,'Inputs &amp; Drivers'!$B$68:$B$78))/12))</f>
        <v>376.87812673611114</v>
      </c>
      <c r="X35" s="342">
        <f>W35*(1+(INDEX('Inputs &amp; Drivers'!$I$68:$I$78,MATCH(Model!X$4,'Inputs &amp; Drivers'!$B$68:$B$78))/12))</f>
        <v>377.50625694733799</v>
      </c>
      <c r="Y35" s="342">
        <f>X35*(1+(INDEX('Inputs &amp; Drivers'!$I$68:$I$78,MATCH(Model!Y$4,'Inputs &amp; Drivers'!$B$68:$B$78))/12))</f>
        <v>378.13543404225021</v>
      </c>
      <c r="Z35" s="342">
        <f>Y35*(1+(INDEX('Inputs &amp; Drivers'!$I$68:$I$78,MATCH(Model!Z$4,'Inputs &amp; Drivers'!$B$68:$B$78))/12))</f>
        <v>378.76565976565399</v>
      </c>
      <c r="AA35" s="342">
        <f>Z35*(1+(INDEX('Inputs &amp; Drivers'!$I$68:$I$78,MATCH(Model!AA$4,'Inputs &amp; Drivers'!$B$68:$B$78))/12))</f>
        <v>379.39693586526346</v>
      </c>
      <c r="AB35" s="342">
        <f>AA35*(1+(INDEX('Inputs &amp; Drivers'!$I$68:$I$78,MATCH(Model!AB$4,'Inputs &amp; Drivers'!$B$68:$B$78))/12))</f>
        <v>380.02926409170556</v>
      </c>
      <c r="AC35" s="342">
        <f>AB35*(1+(INDEX('Inputs &amp; Drivers'!$I$68:$I$78,MATCH(Model!AC$4,'Inputs &amp; Drivers'!$B$68:$B$78))/12))</f>
        <v>380.66264619852507</v>
      </c>
      <c r="AD35" s="342">
        <f>AC35*(1+(INDEX('Inputs &amp; Drivers'!$I$68:$I$78,MATCH(Model!AD$4,'Inputs &amp; Drivers'!$B$68:$B$78))/12))</f>
        <v>381.29708394218932</v>
      </c>
      <c r="AE35" s="342">
        <f>AD35*(1+(INDEX('Inputs &amp; Drivers'!$I$68:$I$78,MATCH(Model!AE$4,'Inputs &amp; Drivers'!$B$68:$B$78))/12))</f>
        <v>381.93257908209296</v>
      </c>
      <c r="AF35" s="342">
        <f>AE35*(1+(INDEX('Inputs &amp; Drivers'!$I$68:$I$78,MATCH(Model!AF$4,'Inputs &amp; Drivers'!$B$68:$B$78))/12))</f>
        <v>382.56913338056313</v>
      </c>
      <c r="AG35" s="342">
        <f>AF35*(1+(INDEX('Inputs &amp; Drivers'!$I$68:$I$78,MATCH(Model!AG$4,'Inputs &amp; Drivers'!$B$68:$B$78))/12))</f>
        <v>383.5255562140145</v>
      </c>
      <c r="AH35" s="342">
        <f>AG35*(1+(INDEX('Inputs &amp; Drivers'!$I$68:$I$78,MATCH(Model!AH$4,'Inputs &amp; Drivers'!$B$68:$B$78))/12))</f>
        <v>384.4843701045495</v>
      </c>
      <c r="AI35" s="342">
        <f>AH35*(1+(INDEX('Inputs &amp; Drivers'!$I$68:$I$78,MATCH(Model!AI$4,'Inputs &amp; Drivers'!$B$68:$B$78))/12))</f>
        <v>385.44558102981085</v>
      </c>
      <c r="AJ35" s="342">
        <f>AI35*(1+(INDEX('Inputs &amp; Drivers'!$I$68:$I$78,MATCH(Model!AJ$4,'Inputs &amp; Drivers'!$B$68:$B$78))/12))</f>
        <v>386.40919498238537</v>
      </c>
      <c r="AK35" s="342">
        <f>AJ35*(1+(INDEX('Inputs &amp; Drivers'!$I$68:$I$78,MATCH(Model!AK$4,'Inputs &amp; Drivers'!$B$68:$B$78))/12))</f>
        <v>387.37521796984129</v>
      </c>
      <c r="AL35" s="342">
        <f>AK35*(1+(INDEX('Inputs &amp; Drivers'!$I$68:$I$78,MATCH(Model!AL$4,'Inputs &amp; Drivers'!$B$68:$B$78))/12))</f>
        <v>388.34365601476588</v>
      </c>
      <c r="AM35" s="342">
        <f>AL35*(1+(INDEX('Inputs &amp; Drivers'!$I$68:$I$78,MATCH(Model!AM$4,'Inputs &amp; Drivers'!$B$68:$B$78))/12))</f>
        <v>389.31451515480279</v>
      </c>
      <c r="AN35" s="342">
        <f>AM35*(1+(INDEX('Inputs &amp; Drivers'!$I$68:$I$78,MATCH(Model!AN$4,'Inputs &amp; Drivers'!$B$68:$B$78))/12))</f>
        <v>390.28780144268978</v>
      </c>
      <c r="AO35" s="342">
        <f>AN35*(1+(INDEX('Inputs &amp; Drivers'!$I$68:$I$78,MATCH(Model!AO$4,'Inputs &amp; Drivers'!$B$68:$B$78))/12))</f>
        <v>391.26352094629647</v>
      </c>
      <c r="AP35" s="342">
        <f>AO35*(1+(INDEX('Inputs &amp; Drivers'!$I$68:$I$78,MATCH(Model!AP$4,'Inputs &amp; Drivers'!$B$68:$B$78))/12))</f>
        <v>392.24167974866219</v>
      </c>
      <c r="AQ35" s="342">
        <f>AP35*(1+(INDEX('Inputs &amp; Drivers'!$I$68:$I$78,MATCH(Model!AQ$4,'Inputs &amp; Drivers'!$B$68:$B$78))/12))</f>
        <v>393.22228394803381</v>
      </c>
      <c r="AR35" s="342">
        <f>AQ35*(1+(INDEX('Inputs &amp; Drivers'!$I$68:$I$78,MATCH(Model!AR$4,'Inputs &amp; Drivers'!$B$68:$B$78))/12))</f>
        <v>394.20533965790389</v>
      </c>
      <c r="AS35" s="342">
        <f>AR35*(1+(INDEX('Inputs &amp; Drivers'!$I$68:$I$78,MATCH(Model!AS$4,'Inputs &amp; Drivers'!$B$68:$B$78))/12))</f>
        <v>395.19085300704864</v>
      </c>
      <c r="AT35" s="342">
        <f>AS35*(1+(INDEX('Inputs &amp; Drivers'!$I$68:$I$78,MATCH(Model!AT$4,'Inputs &amp; Drivers'!$B$68:$B$78))/12))</f>
        <v>396.17883013956623</v>
      </c>
      <c r="AU35" s="342">
        <f>AT35*(1+(INDEX('Inputs &amp; Drivers'!$I$68:$I$78,MATCH(Model!AU$4,'Inputs &amp; Drivers'!$B$68:$B$78))/12))</f>
        <v>397.1692772149151</v>
      </c>
      <c r="AV35" s="342">
        <f>AU35*(1+(INDEX('Inputs &amp; Drivers'!$I$68:$I$78,MATCH(Model!AV$4,'Inputs &amp; Drivers'!$B$68:$B$78))/12))</f>
        <v>398.16220040795235</v>
      </c>
      <c r="AW35" s="342">
        <f>AV35*(1+(INDEX('Inputs &amp; Drivers'!$I$68:$I$78,MATCH(Model!AW$4,'Inputs &amp; Drivers'!$B$68:$B$78))/12))</f>
        <v>399.15760590897219</v>
      </c>
      <c r="AX35" s="342">
        <f>AW35*(1+(INDEX('Inputs &amp; Drivers'!$I$68:$I$78,MATCH(Model!AX$4,'Inputs &amp; Drivers'!$B$68:$B$78))/12))</f>
        <v>400.15549992374457</v>
      </c>
      <c r="AY35" s="342">
        <f>AX35*(1+(INDEX('Inputs &amp; Drivers'!$I$68:$I$78,MATCH(Model!AY$4,'Inputs &amp; Drivers'!$B$68:$B$78))/12))</f>
        <v>401.15588867355393</v>
      </c>
      <c r="AZ35" s="342">
        <f>AY35*(1+(INDEX('Inputs &amp; Drivers'!$I$68:$I$78,MATCH(Model!AZ$4,'Inputs &amp; Drivers'!$B$68:$B$78))/12))</f>
        <v>402.15877839523779</v>
      </c>
      <c r="BA35" s="342">
        <f>AZ35*(1+(INDEX('Inputs &amp; Drivers'!$I$68:$I$78,MATCH(Model!BA$4,'Inputs &amp; Drivers'!$B$68:$B$78))/12))</f>
        <v>403.16417534122587</v>
      </c>
      <c r="BB35" s="342">
        <f>BA35*(1+(INDEX('Inputs &amp; Drivers'!$I$68:$I$78,MATCH(Model!BB$4,'Inputs &amp; Drivers'!$B$68:$B$78))/12))</f>
        <v>404.17208577957894</v>
      </c>
      <c r="BC35" s="342">
        <f>BB35*(1+(INDEX('Inputs &amp; Drivers'!$I$68:$I$78,MATCH(Model!BC$4,'Inputs &amp; Drivers'!$B$68:$B$78))/12))</f>
        <v>405.18251599402788</v>
      </c>
      <c r="BD35" s="342">
        <f>BC35*(1+(INDEX('Inputs &amp; Drivers'!$I$68:$I$78,MATCH(Model!BD$4,'Inputs &amp; Drivers'!$B$68:$B$78))/12))</f>
        <v>406.19547228401291</v>
      </c>
      <c r="BE35" s="342">
        <f>BD35*(1+(INDEX('Inputs &amp; Drivers'!$I$68:$I$78,MATCH(Model!BE$4,'Inputs &amp; Drivers'!$B$68:$B$78))/12))</f>
        <v>407.21096096472291</v>
      </c>
      <c r="BF35" s="342">
        <f>BE35*(1+(INDEX('Inputs &amp; Drivers'!$I$68:$I$78,MATCH(Model!BF$4,'Inputs &amp; Drivers'!$B$68:$B$78))/12))</f>
        <v>408.22898836713472</v>
      </c>
      <c r="BG35" s="342">
        <f>BF35*(1+(INDEX('Inputs &amp; Drivers'!$I$68:$I$78,MATCH(Model!BG$4,'Inputs &amp; Drivers'!$B$68:$B$78))/12))</f>
        <v>409.24956083805256</v>
      </c>
      <c r="BH35" s="342">
        <f>BG35*(1+(INDEX('Inputs &amp; Drivers'!$I$68:$I$78,MATCH(Model!BH$4,'Inputs &amp; Drivers'!$B$68:$B$78))/12))</f>
        <v>410.27268474014767</v>
      </c>
      <c r="BI35" s="342">
        <f>BH35*(1+(INDEX('Inputs &amp; Drivers'!$I$68:$I$78,MATCH(Model!BI$4,'Inputs &amp; Drivers'!$B$68:$B$78))/12))</f>
        <v>411.29836645199799</v>
      </c>
      <c r="BJ35" s="342">
        <f>BI35*(1+(INDEX('Inputs &amp; Drivers'!$I$68:$I$78,MATCH(Model!BJ$4,'Inputs &amp; Drivers'!$B$68:$B$78))/12))</f>
        <v>412.32661236812794</v>
      </c>
      <c r="BK35" s="342">
        <f>BJ35*(1+(INDEX('Inputs &amp; Drivers'!$I$68:$I$78,MATCH(Model!BK$4,'Inputs &amp; Drivers'!$B$68:$B$78))/12))</f>
        <v>413.35742889904822</v>
      </c>
      <c r="BL35" s="342">
        <f>BK35*(1+(INDEX('Inputs &amp; Drivers'!$I$68:$I$78,MATCH(Model!BL$4,'Inputs &amp; Drivers'!$B$68:$B$78))/12))</f>
        <v>414.39082247129579</v>
      </c>
      <c r="BM35" s="342">
        <f>BL35*(1+(INDEX('Inputs &amp; Drivers'!$I$68:$I$78,MATCH(Model!BM$4,'Inputs &amp; Drivers'!$B$68:$B$78))/12))</f>
        <v>415.42679952747403</v>
      </c>
      <c r="BN35" s="342">
        <f>BM35*(1+(INDEX('Inputs &amp; Drivers'!$I$68:$I$78,MATCH(Model!BN$4,'Inputs &amp; Drivers'!$B$68:$B$78))/12))</f>
        <v>416.46536652629271</v>
      </c>
      <c r="BO35" s="342">
        <f>BN35*(1+(INDEX('Inputs &amp; Drivers'!$I$68:$I$78,MATCH(Model!BO$4,'Inputs &amp; Drivers'!$B$68:$B$78))/12))</f>
        <v>417.50652994260844</v>
      </c>
      <c r="BP35" s="342">
        <f>BO35*(1+(INDEX('Inputs &amp; Drivers'!$I$68:$I$78,MATCH(Model!BP$4,'Inputs &amp; Drivers'!$B$68:$B$78))/12))</f>
        <v>418.55029626746494</v>
      </c>
      <c r="BQ35" s="342">
        <f>BP35*(1+(INDEX('Inputs &amp; Drivers'!$I$68:$I$78,MATCH(Model!BQ$4,'Inputs &amp; Drivers'!$B$68:$B$78))/12))</f>
        <v>419.59667200813357</v>
      </c>
      <c r="BR35" s="342">
        <f>BQ35*(1+(INDEX('Inputs &amp; Drivers'!$I$68:$I$78,MATCH(Model!BR$4,'Inputs &amp; Drivers'!$B$68:$B$78))/12))</f>
        <v>420.64566368815389</v>
      </c>
      <c r="BS35" s="342">
        <f>BR35*(1+(INDEX('Inputs &amp; Drivers'!$I$68:$I$78,MATCH(Model!BS$4,'Inputs &amp; Drivers'!$B$68:$B$78))/12))</f>
        <v>421.69727784737427</v>
      </c>
      <c r="BT35" s="342">
        <f>BS35*(1+(INDEX('Inputs &amp; Drivers'!$I$68:$I$78,MATCH(Model!BT$4,'Inputs &amp; Drivers'!$B$68:$B$78))/12))</f>
        <v>422.7515210419927</v>
      </c>
      <c r="BU35" s="342">
        <f>BT35*(1+(INDEX('Inputs &amp; Drivers'!$I$68:$I$78,MATCH(Model!BU$4,'Inputs &amp; Drivers'!$B$68:$B$78))/12))</f>
        <v>423.80839984459766</v>
      </c>
      <c r="BV35" s="342">
        <f>BU35*(1+(INDEX('Inputs &amp; Drivers'!$I$68:$I$78,MATCH(Model!BV$4,'Inputs &amp; Drivers'!$B$68:$B$78))/12))</f>
        <v>424.86792084420915</v>
      </c>
      <c r="BW35" s="342">
        <f>BV35*(1+(INDEX('Inputs &amp; Drivers'!$I$68:$I$78,MATCH(Model!BW$4,'Inputs &amp; Drivers'!$B$68:$B$78))/12))</f>
        <v>425.93009064631963</v>
      </c>
      <c r="BX35" s="342">
        <f>BW35*(1+(INDEX('Inputs &amp; Drivers'!$I$68:$I$78,MATCH(Model!BX$4,'Inputs &amp; Drivers'!$B$68:$B$78))/12))</f>
        <v>426.99491587293539</v>
      </c>
      <c r="BY35" s="342">
        <f>BX35*(1+(INDEX('Inputs &amp; Drivers'!$I$68:$I$78,MATCH(Model!BY$4,'Inputs &amp; Drivers'!$B$68:$B$78))/12))</f>
        <v>428.06240316261773</v>
      </c>
      <c r="BZ35" s="342">
        <f>BY35*(1+(INDEX('Inputs &amp; Drivers'!$I$68:$I$78,MATCH(Model!BZ$4,'Inputs &amp; Drivers'!$B$68:$B$78))/12))</f>
        <v>429.13255917052425</v>
      </c>
      <c r="CA35" s="342">
        <f>BZ35*(1+(INDEX('Inputs &amp; Drivers'!$I$68:$I$78,MATCH(Model!CA$4,'Inputs &amp; Drivers'!$B$68:$B$78))/12))</f>
        <v>430.20539056845053</v>
      </c>
      <c r="CB35" s="342">
        <f>CA35*(1+(INDEX('Inputs &amp; Drivers'!$I$68:$I$78,MATCH(Model!CB$4,'Inputs &amp; Drivers'!$B$68:$B$78))/12))</f>
        <v>431.28090404487165</v>
      </c>
      <c r="CC35" s="342">
        <f>CB35*(1+(INDEX('Inputs &amp; Drivers'!$I$68:$I$78,MATCH(Model!CC$4,'Inputs &amp; Drivers'!$B$68:$B$78))/12))</f>
        <v>432.35910630498381</v>
      </c>
      <c r="CD35" s="342">
        <f>CC35*(1+(INDEX('Inputs &amp; Drivers'!$I$68:$I$78,MATCH(Model!CD$4,'Inputs &amp; Drivers'!$B$68:$B$78))/12))</f>
        <v>433.44000407074623</v>
      </c>
      <c r="CE35" s="342">
        <f>CD35*(1+(INDEX('Inputs &amp; Drivers'!$I$68:$I$78,MATCH(Model!CE$4,'Inputs &amp; Drivers'!$B$68:$B$78))/12))</f>
        <v>434.52360408092306</v>
      </c>
      <c r="CF35" s="342">
        <f>CE35*(1+(INDEX('Inputs &amp; Drivers'!$I$68:$I$78,MATCH(Model!CF$4,'Inputs &amp; Drivers'!$B$68:$B$78))/12))</f>
        <v>435.60991309112535</v>
      </c>
      <c r="CG35" s="342">
        <f>CF35*(1+(INDEX('Inputs &amp; Drivers'!$I$68:$I$78,MATCH(Model!CG$4,'Inputs &amp; Drivers'!$B$68:$B$78))/12))</f>
        <v>436.69893787385314</v>
      </c>
      <c r="CH35" s="342">
        <f>CG35*(1+(INDEX('Inputs &amp; Drivers'!$I$68:$I$78,MATCH(Model!CH$4,'Inputs &amp; Drivers'!$B$68:$B$78))/12))</f>
        <v>437.79068521853776</v>
      </c>
      <c r="CI35" s="342">
        <f>CH35*(1+(INDEX('Inputs &amp; Drivers'!$I$68:$I$78,MATCH(Model!CI$4,'Inputs &amp; Drivers'!$B$68:$B$78))/12))</f>
        <v>438.88516193158409</v>
      </c>
      <c r="CJ35" s="342">
        <f>CI35*(1+(INDEX('Inputs &amp; Drivers'!$I$68:$I$78,MATCH(Model!CJ$4,'Inputs &amp; Drivers'!$B$68:$B$78))/12))</f>
        <v>439.98237483641304</v>
      </c>
      <c r="CK35" s="342">
        <f>CJ35*(1+(INDEX('Inputs &amp; Drivers'!$I$68:$I$78,MATCH(Model!CK$4,'Inputs &amp; Drivers'!$B$68:$B$78))/12))</f>
        <v>441.08233077350405</v>
      </c>
      <c r="CL35" s="342">
        <f>CK35*(1+(INDEX('Inputs &amp; Drivers'!$I$68:$I$78,MATCH(Model!CL$4,'Inputs &amp; Drivers'!$B$68:$B$78))/12))</f>
        <v>442.1850366004378</v>
      </c>
      <c r="CM35" s="342">
        <f>CL35*(1+(INDEX('Inputs &amp; Drivers'!$I$68:$I$78,MATCH(Model!CM$4,'Inputs &amp; Drivers'!$B$68:$B$78))/12))</f>
        <v>443.29049919193886</v>
      </c>
      <c r="CN35" s="342">
        <f>CM35*(1+(INDEX('Inputs &amp; Drivers'!$I$68:$I$78,MATCH(Model!CN$4,'Inputs &amp; Drivers'!$B$68:$B$78))/12))</f>
        <v>444.39872543991868</v>
      </c>
      <c r="CO35" s="342">
        <f>CN35*(1+(INDEX('Inputs &amp; Drivers'!$I$68:$I$78,MATCH(Model!CO$4,'Inputs &amp; Drivers'!$B$68:$B$78))/12))</f>
        <v>445.50972225351848</v>
      </c>
      <c r="CP35" s="342">
        <f>CO35*(1+(INDEX('Inputs &amp; Drivers'!$I$68:$I$78,MATCH(Model!CP$4,'Inputs &amp; Drivers'!$B$68:$B$78))/12))</f>
        <v>446.62349655915227</v>
      </c>
      <c r="CQ35" s="342">
        <f>CP35*(1+(INDEX('Inputs &amp; Drivers'!$I$68:$I$78,MATCH(Model!CQ$4,'Inputs &amp; Drivers'!$B$68:$B$78))/12))</f>
        <v>447.74005530055013</v>
      </c>
      <c r="CR35" s="342">
        <f>CQ35*(1+(INDEX('Inputs &amp; Drivers'!$I$68:$I$78,MATCH(Model!CR$4,'Inputs &amp; Drivers'!$B$68:$B$78))/12))</f>
        <v>448.8594054388015</v>
      </c>
      <c r="CS35" s="342">
        <f>CR35*(1+(INDEX('Inputs &amp; Drivers'!$I$68:$I$78,MATCH(Model!CS$4,'Inputs &amp; Drivers'!$B$68:$B$78))/12))</f>
        <v>449.98155395239849</v>
      </c>
      <c r="CT35" s="342">
        <f>CS35*(1+(INDEX('Inputs &amp; Drivers'!$I$68:$I$78,MATCH(Model!CT$4,'Inputs &amp; Drivers'!$B$68:$B$78))/12))</f>
        <v>451.10650783727948</v>
      </c>
      <c r="CU35" s="342">
        <f>CT35*(1+(INDEX('Inputs &amp; Drivers'!$I$68:$I$78,MATCH(Model!CU$4,'Inputs &amp; Drivers'!$B$68:$B$78))/12))</f>
        <v>452.23427410687265</v>
      </c>
      <c r="CV35" s="342">
        <f>CU35*(1+(INDEX('Inputs &amp; Drivers'!$I$68:$I$78,MATCH(Model!CV$4,'Inputs &amp; Drivers'!$B$68:$B$78))/12))</f>
        <v>453.36485979213978</v>
      </c>
      <c r="CW35" s="342">
        <f>CV35*(1+(INDEX('Inputs &amp; Drivers'!$I$68:$I$78,MATCH(Model!CW$4,'Inputs &amp; Drivers'!$B$68:$B$78))/12))</f>
        <v>454.49827194162009</v>
      </c>
      <c r="CX35" s="342">
        <f>CW35*(1+(INDEX('Inputs &amp; Drivers'!$I$68:$I$78,MATCH(Model!CX$4,'Inputs &amp; Drivers'!$B$68:$B$78))/12))</f>
        <v>455.63451762147412</v>
      </c>
      <c r="CY35" s="342">
        <f>CX35*(1+(INDEX('Inputs &amp; Drivers'!$I$68:$I$78,MATCH(Model!CY$4,'Inputs &amp; Drivers'!$B$68:$B$78))/12))</f>
        <v>456.77360391552776</v>
      </c>
      <c r="CZ35" s="342">
        <f>CY35*(1+(INDEX('Inputs &amp; Drivers'!$I$68:$I$78,MATCH(Model!CZ$4,'Inputs &amp; Drivers'!$B$68:$B$78))/12))</f>
        <v>457.91553792531653</v>
      </c>
      <c r="DA35" s="342">
        <f>CZ35*(1+(INDEX('Inputs &amp; Drivers'!$I$68:$I$78,MATCH(Model!DA$4,'Inputs &amp; Drivers'!$B$68:$B$78))/12))</f>
        <v>459.06032677012979</v>
      </c>
      <c r="DB35" s="342">
        <f>DA35*(1+(INDEX('Inputs &amp; Drivers'!$I$68:$I$78,MATCH(Model!DB$4,'Inputs &amp; Drivers'!$B$68:$B$78))/12))</f>
        <v>460.2079775870551</v>
      </c>
      <c r="DC35" s="342">
        <f>DB35*(1+(INDEX('Inputs &amp; Drivers'!$I$68:$I$78,MATCH(Model!DC$4,'Inputs &amp; Drivers'!$B$68:$B$78))/12))</f>
        <v>461.35849753102269</v>
      </c>
      <c r="DD35" s="342">
        <f>DC35*(1+(INDEX('Inputs &amp; Drivers'!$I$68:$I$78,MATCH(Model!DD$4,'Inputs &amp; Drivers'!$B$68:$B$78))/12))</f>
        <v>462.51189377485025</v>
      </c>
      <c r="DE35" s="342">
        <f>DD35*(1+(INDEX('Inputs &amp; Drivers'!$I$68:$I$78,MATCH(Model!DE$4,'Inputs &amp; Drivers'!$B$68:$B$78))/12))</f>
        <v>463.66817350928733</v>
      </c>
      <c r="DF35" s="342">
        <f>DE35*(1+(INDEX('Inputs &amp; Drivers'!$I$68:$I$78,MATCH(Model!DF$4,'Inputs &amp; Drivers'!$B$68:$B$78))/12))</f>
        <v>464.8273439430605</v>
      </c>
      <c r="DG35" s="342">
        <f>DF35*(1+(INDEX('Inputs &amp; Drivers'!$I$68:$I$78,MATCH(Model!DG$4,'Inputs &amp; Drivers'!$B$68:$B$78))/12))</f>
        <v>465.98941230291814</v>
      </c>
      <c r="DH35" s="342">
        <f>DG35*(1+(INDEX('Inputs &amp; Drivers'!$I$68:$I$78,MATCH(Model!DH$4,'Inputs &amp; Drivers'!$B$68:$B$78))/12))</f>
        <v>467.15438583367541</v>
      </c>
      <c r="DI35" s="342">
        <f>DH35*(1+(INDEX('Inputs &amp; Drivers'!$I$68:$I$78,MATCH(Model!DI$4,'Inputs &amp; Drivers'!$B$68:$B$78))/12))</f>
        <v>468.32227179825958</v>
      </c>
      <c r="DJ35" s="342">
        <f>DI35*(1+(INDEX('Inputs &amp; Drivers'!$I$68:$I$78,MATCH(Model!DJ$4,'Inputs &amp; Drivers'!$B$68:$B$78))/12))</f>
        <v>469.49307747775521</v>
      </c>
      <c r="DK35" s="342">
        <f>DJ35*(1+(INDEX('Inputs &amp; Drivers'!$I$68:$I$78,MATCH(Model!DK$4,'Inputs &amp; Drivers'!$B$68:$B$78))/12))</f>
        <v>470.66681017144958</v>
      </c>
      <c r="DL35" s="342">
        <f>DK35*(1+(INDEX('Inputs &amp; Drivers'!$I$68:$I$78,MATCH(Model!DL$4,'Inputs &amp; Drivers'!$B$68:$B$78))/12))</f>
        <v>471.84347719687815</v>
      </c>
      <c r="DM35" s="342">
        <f>DL35*(1+(INDEX('Inputs &amp; Drivers'!$I$68:$I$78,MATCH(Model!DM$4,'Inputs &amp; Drivers'!$B$68:$B$78))/12))</f>
        <v>473.02308588987034</v>
      </c>
      <c r="DN35" s="342">
        <f>DM35*(1+(INDEX('Inputs &amp; Drivers'!$I$68:$I$78,MATCH(Model!DN$4,'Inputs &amp; Drivers'!$B$68:$B$78))/12))</f>
        <v>474.20564360459497</v>
      </c>
      <c r="DO35" s="342">
        <f>DN35*(1+(INDEX('Inputs &amp; Drivers'!$I$68:$I$78,MATCH(Model!DO$4,'Inputs &amp; Drivers'!$B$68:$B$78))/12))</f>
        <v>475.39115771360645</v>
      </c>
      <c r="DP35" s="342">
        <f>DO35*(1+(INDEX('Inputs &amp; Drivers'!$I$68:$I$78,MATCH(Model!DP$4,'Inputs &amp; Drivers'!$B$68:$B$78))/12))</f>
        <v>476.57963560789045</v>
      </c>
      <c r="DQ35" s="342">
        <f>DP35*(1+(INDEX('Inputs &amp; Drivers'!$I$68:$I$78,MATCH(Model!DQ$4,'Inputs &amp; Drivers'!$B$68:$B$78))/12))</f>
        <v>477.77108469691018</v>
      </c>
      <c r="DR35" s="342">
        <f>DQ35*(1+(INDEX('Inputs &amp; Drivers'!$I$68:$I$78,MATCH(Model!DR$4,'Inputs &amp; Drivers'!$B$68:$B$78))/12))</f>
        <v>478.96551240865244</v>
      </c>
      <c r="DS35" s="342">
        <f>DR35*(1+(INDEX('Inputs &amp; Drivers'!$I$68:$I$78,MATCH(Model!DS$4,'Inputs &amp; Drivers'!$B$68:$B$78))/12))</f>
        <v>480.16292618967407</v>
      </c>
      <c r="DT35" s="342">
        <f>DS35*(1+(INDEX('Inputs &amp; Drivers'!$I$68:$I$78,MATCH(Model!DT$4,'Inputs &amp; Drivers'!$B$68:$B$78))/12))</f>
        <v>481.3633335051482</v>
      </c>
      <c r="DU35" s="342">
        <f>DT35*(1+(INDEX('Inputs &amp; Drivers'!$I$68:$I$78,MATCH(Model!DU$4,'Inputs &amp; Drivers'!$B$68:$B$78))/12))</f>
        <v>482.56674183891107</v>
      </c>
      <c r="DV35" s="342">
        <f>DU35*(1+(INDEX('Inputs &amp; Drivers'!$I$68:$I$78,MATCH(Model!DV$4,'Inputs &amp; Drivers'!$B$68:$B$78))/12))</f>
        <v>483.77315869350832</v>
      </c>
      <c r="DW35" s="342">
        <f>DV35*(1+(INDEX('Inputs &amp; Drivers'!$I$68:$I$78,MATCH(Model!DW$4,'Inputs &amp; Drivers'!$B$68:$B$78))/12))</f>
        <v>484.98259159024207</v>
      </c>
      <c r="DX35" s="342">
        <f>DW35*(1+(INDEX('Inputs &amp; Drivers'!$I$68:$I$78,MATCH(Model!DX$4,'Inputs &amp; Drivers'!$B$68:$B$78))/12))</f>
        <v>486.19504806921765</v>
      </c>
      <c r="DY35" s="342">
        <f>DX35*(1+(INDEX('Inputs &amp; Drivers'!$I$68:$I$78,MATCH(Model!DY$4,'Inputs &amp; Drivers'!$B$68:$B$78))/12))</f>
        <v>487.41053568939066</v>
      </c>
      <c r="DZ35" s="342">
        <f>DY35*(1+(INDEX('Inputs &amp; Drivers'!$I$68:$I$78,MATCH(Model!DZ$4,'Inputs &amp; Drivers'!$B$68:$B$78))/12))</f>
        <v>488.6290620286141</v>
      </c>
      <c r="EA35" s="342">
        <f>DZ35*(1+(INDEX('Inputs &amp; Drivers'!$I$68:$I$78,MATCH(Model!EA$4,'Inputs &amp; Drivers'!$B$68:$B$78))/12))</f>
        <v>489.8506346836856</v>
      </c>
      <c r="EB35" s="342">
        <f>EA35*(1+(INDEX('Inputs &amp; Drivers'!$I$68:$I$78,MATCH(Model!EB$4,'Inputs &amp; Drivers'!$B$68:$B$78))/12))</f>
        <v>491.07526127039478</v>
      </c>
      <c r="EC35" s="342">
        <f>EB35*(1+(INDEX('Inputs &amp; Drivers'!$I$68:$I$78,MATCH(Model!EC$4,'Inputs &amp; Drivers'!$B$68:$B$78))/12))</f>
        <v>492.30294942357074</v>
      </c>
      <c r="ED35" s="342">
        <f>EC35*(1+(INDEX('Inputs &amp; Drivers'!$I$68:$I$78,MATCH(Model!ED$4,'Inputs &amp; Drivers'!$B$68:$B$78))/12))</f>
        <v>493.53370679712964</v>
      </c>
      <c r="EE35" s="342">
        <f>ED35*(1+(INDEX('Inputs &amp; Drivers'!$I$68:$I$78,MATCH(Model!EE$4,'Inputs &amp; Drivers'!$B$68:$B$78))/12))</f>
        <v>494.76754106412244</v>
      </c>
      <c r="EF35" s="342">
        <f>EE35*(1+(INDEX('Inputs &amp; Drivers'!$I$68:$I$78,MATCH(Model!EF$4,'Inputs &amp; Drivers'!$B$68:$B$78))/12))</f>
        <v>496.00445991678271</v>
      </c>
      <c r="EG35" s="342">
        <f>EF35*(1+(INDEX('Inputs &amp; Drivers'!$I$68:$I$78,MATCH(Model!EG$4,'Inputs &amp; Drivers'!$B$68:$B$78))/12))</f>
        <v>497.24447106657465</v>
      </c>
      <c r="EH35" s="342">
        <f>EG35*(1+(INDEX('Inputs &amp; Drivers'!$I$68:$I$78,MATCH(Model!EH$4,'Inputs &amp; Drivers'!$B$68:$B$78))/12))</f>
        <v>498.48758224424108</v>
      </c>
      <c r="EI35" s="342">
        <f>EH35*(1+(INDEX('Inputs &amp; Drivers'!$I$68:$I$78,MATCH(Model!EI$4,'Inputs &amp; Drivers'!$B$68:$B$78))/12))</f>
        <v>499.73380119985165</v>
      </c>
      <c r="EJ35" s="342">
        <f>EI35*(1+(INDEX('Inputs &amp; Drivers'!$I$68:$I$78,MATCH(Model!EJ$4,'Inputs &amp; Drivers'!$B$68:$B$78))/12))</f>
        <v>500.98313570285126</v>
      </c>
      <c r="EL35" s="12">
        <f t="shared" si="149"/>
        <v>375</v>
      </c>
      <c r="EM35" s="12">
        <f t="shared" si="149"/>
        <v>375</v>
      </c>
      <c r="EN35" s="12">
        <f t="shared" si="149"/>
        <v>382.56913338056313</v>
      </c>
      <c r="EO35" s="12">
        <f t="shared" si="149"/>
        <v>394.20533965790389</v>
      </c>
      <c r="EP35" s="12">
        <f t="shared" si="149"/>
        <v>406.19547228401291</v>
      </c>
      <c r="EQ35" s="12">
        <f t="shared" si="149"/>
        <v>418.55029626746494</v>
      </c>
      <c r="ER35" s="12">
        <f t="shared" si="149"/>
        <v>431.28090404487165</v>
      </c>
      <c r="ES35" s="12">
        <f t="shared" si="149"/>
        <v>444.39872543991868</v>
      </c>
      <c r="ET35" s="12">
        <f t="shared" si="149"/>
        <v>457.91553792531653</v>
      </c>
      <c r="EU35" s="12">
        <f t="shared" si="149"/>
        <v>471.84347719687815</v>
      </c>
      <c r="EV35" s="12">
        <f t="shared" si="149"/>
        <v>486.19504806921765</v>
      </c>
      <c r="EW35" s="12">
        <f t="shared" si="149"/>
        <v>500.98313570285126</v>
      </c>
    </row>
    <row r="36" spans="2:153" outlineLevel="1" x14ac:dyDescent="0.4">
      <c r="B36" s="1" t="s">
        <v>44</v>
      </c>
      <c r="H36" s="254">
        <f>'Inputs &amp; Drivers'!I53</f>
        <v>1100</v>
      </c>
      <c r="I36" s="342">
        <f>H36*(1+(INDEX('Inputs &amp; Drivers'!$I$68:$I$78,MATCH(Model!I$4,'Inputs &amp; Drivers'!$B$68:$B$78))/12))</f>
        <v>1100</v>
      </c>
      <c r="J36" s="342">
        <f>I36*(1+(INDEX('Inputs &amp; Drivers'!$I$68:$I$78,MATCH(Model!J$4,'Inputs &amp; Drivers'!$B$68:$B$78))/12))</f>
        <v>1100</v>
      </c>
      <c r="K36" s="342">
        <f>J36*(1+(INDEX('Inputs &amp; Drivers'!$I$68:$I$78,MATCH(Model!K$4,'Inputs &amp; Drivers'!$B$68:$B$78))/12))</f>
        <v>1100</v>
      </c>
      <c r="L36" s="342">
        <f>K36*(1+(INDEX('Inputs &amp; Drivers'!$I$68:$I$78,MATCH(Model!L$4,'Inputs &amp; Drivers'!$B$68:$B$78))/12))</f>
        <v>1100</v>
      </c>
      <c r="M36" s="342">
        <f>L36*(1+(INDEX('Inputs &amp; Drivers'!$I$68:$I$78,MATCH(Model!M$4,'Inputs &amp; Drivers'!$B$68:$B$78))/12))</f>
        <v>1100</v>
      </c>
      <c r="N36" s="342">
        <f>M36*(1+(INDEX('Inputs &amp; Drivers'!$I$68:$I$78,MATCH(Model!N$4,'Inputs &amp; Drivers'!$B$68:$B$78))/12))</f>
        <v>1100</v>
      </c>
      <c r="O36" s="342">
        <f>N36*(1+(INDEX('Inputs &amp; Drivers'!$I$68:$I$78,MATCH(Model!O$4,'Inputs &amp; Drivers'!$B$68:$B$78))/12))</f>
        <v>1100</v>
      </c>
      <c r="P36" s="342">
        <f>O36*(1+(INDEX('Inputs &amp; Drivers'!$I$68:$I$78,MATCH(Model!P$4,'Inputs &amp; Drivers'!$B$68:$B$78))/12))</f>
        <v>1100</v>
      </c>
      <c r="Q36" s="342">
        <f>P36*(1+(INDEX('Inputs &amp; Drivers'!$I$68:$I$78,MATCH(Model!Q$4,'Inputs &amp; Drivers'!$B$68:$B$78))/12))</f>
        <v>1100</v>
      </c>
      <c r="R36" s="342">
        <f>Q36*(1+(INDEX('Inputs &amp; Drivers'!$I$68:$I$78,MATCH(Model!R$4,'Inputs &amp; Drivers'!$B$68:$B$78))/12))</f>
        <v>1100</v>
      </c>
      <c r="S36" s="342">
        <f>R36*(1+(INDEX('Inputs &amp; Drivers'!$I$68:$I$78,MATCH(Model!S$4,'Inputs &amp; Drivers'!$B$68:$B$78))/12))</f>
        <v>1100</v>
      </c>
      <c r="T36" s="342">
        <f>S36*(1+(INDEX('Inputs &amp; Drivers'!$I$68:$I$78,MATCH(Model!T$4,'Inputs &amp; Drivers'!$B$68:$B$78))/12))</f>
        <v>1100</v>
      </c>
      <c r="U36" s="342">
        <f>T36*(1+(INDEX('Inputs &amp; Drivers'!$I$68:$I$78,MATCH(Model!U$4,'Inputs &amp; Drivers'!$B$68:$B$78))/12))</f>
        <v>1101.8333333333335</v>
      </c>
      <c r="V36" s="342">
        <f>U36*(1+(INDEX('Inputs &amp; Drivers'!$I$68:$I$78,MATCH(Model!V$4,'Inputs &amp; Drivers'!$B$68:$B$78))/12))</f>
        <v>1103.6697222222224</v>
      </c>
      <c r="W36" s="342">
        <f>V36*(1+(INDEX('Inputs &amp; Drivers'!$I$68:$I$78,MATCH(Model!W$4,'Inputs &amp; Drivers'!$B$68:$B$78))/12))</f>
        <v>1105.5091717592595</v>
      </c>
      <c r="X36" s="342">
        <f>W36*(1+(INDEX('Inputs &amp; Drivers'!$I$68:$I$78,MATCH(Model!X$4,'Inputs &amp; Drivers'!$B$68:$B$78))/12))</f>
        <v>1107.3516870455251</v>
      </c>
      <c r="Y36" s="342">
        <f>X36*(1+(INDEX('Inputs &amp; Drivers'!$I$68:$I$78,MATCH(Model!Y$4,'Inputs &amp; Drivers'!$B$68:$B$78))/12))</f>
        <v>1109.197273190601</v>
      </c>
      <c r="Z36" s="342">
        <f>Y36*(1+(INDEX('Inputs &amp; Drivers'!$I$68:$I$78,MATCH(Model!Z$4,'Inputs &amp; Drivers'!$B$68:$B$78))/12))</f>
        <v>1111.0459353125855</v>
      </c>
      <c r="AA36" s="342">
        <f>Z36*(1+(INDEX('Inputs &amp; Drivers'!$I$68:$I$78,MATCH(Model!AA$4,'Inputs &amp; Drivers'!$B$68:$B$78))/12))</f>
        <v>1112.8976785381064</v>
      </c>
      <c r="AB36" s="342">
        <f>AA36*(1+(INDEX('Inputs &amp; Drivers'!$I$68:$I$78,MATCH(Model!AB$4,'Inputs &amp; Drivers'!$B$68:$B$78))/12))</f>
        <v>1114.7525080023368</v>
      </c>
      <c r="AC36" s="342">
        <f>AB36*(1+(INDEX('Inputs &amp; Drivers'!$I$68:$I$78,MATCH(Model!AC$4,'Inputs &amp; Drivers'!$B$68:$B$78))/12))</f>
        <v>1116.6104288490073</v>
      </c>
      <c r="AD36" s="342">
        <f>AC36*(1+(INDEX('Inputs &amp; Drivers'!$I$68:$I$78,MATCH(Model!AD$4,'Inputs &amp; Drivers'!$B$68:$B$78))/12))</f>
        <v>1118.4714462304223</v>
      </c>
      <c r="AE36" s="342">
        <f>AD36*(1+(INDEX('Inputs &amp; Drivers'!$I$68:$I$78,MATCH(Model!AE$4,'Inputs &amp; Drivers'!$B$68:$B$78))/12))</f>
        <v>1120.335565307473</v>
      </c>
      <c r="AF36" s="342">
        <f>AE36*(1+(INDEX('Inputs &amp; Drivers'!$I$68:$I$78,MATCH(Model!AF$4,'Inputs &amp; Drivers'!$B$68:$B$78))/12))</f>
        <v>1122.2027912496521</v>
      </c>
      <c r="AG36" s="342">
        <f>AF36*(1+(INDEX('Inputs &amp; Drivers'!$I$68:$I$78,MATCH(Model!AG$4,'Inputs &amp; Drivers'!$B$68:$B$78))/12))</f>
        <v>1125.0082982277761</v>
      </c>
      <c r="AH36" s="342">
        <f>AG36*(1+(INDEX('Inputs &amp; Drivers'!$I$68:$I$78,MATCH(Model!AH$4,'Inputs &amp; Drivers'!$B$68:$B$78))/12))</f>
        <v>1127.8208189733455</v>
      </c>
      <c r="AI36" s="342">
        <f>AH36*(1+(INDEX('Inputs &amp; Drivers'!$I$68:$I$78,MATCH(Model!AI$4,'Inputs &amp; Drivers'!$B$68:$B$78))/12))</f>
        <v>1130.6403710207787</v>
      </c>
      <c r="AJ36" s="342">
        <f>AI36*(1+(INDEX('Inputs &amp; Drivers'!$I$68:$I$78,MATCH(Model!AJ$4,'Inputs &amp; Drivers'!$B$68:$B$78))/12))</f>
        <v>1133.4669719483306</v>
      </c>
      <c r="AK36" s="342">
        <f>AJ36*(1+(INDEX('Inputs &amp; Drivers'!$I$68:$I$78,MATCH(Model!AK$4,'Inputs &amp; Drivers'!$B$68:$B$78))/12))</f>
        <v>1136.3006393782014</v>
      </c>
      <c r="AL36" s="342">
        <f>AK36*(1+(INDEX('Inputs &amp; Drivers'!$I$68:$I$78,MATCH(Model!AL$4,'Inputs &amp; Drivers'!$B$68:$B$78))/12))</f>
        <v>1139.1413909766468</v>
      </c>
      <c r="AM36" s="342">
        <f>AL36*(1+(INDEX('Inputs &amp; Drivers'!$I$68:$I$78,MATCH(Model!AM$4,'Inputs &amp; Drivers'!$B$68:$B$78))/12))</f>
        <v>1141.9892444540883</v>
      </c>
      <c r="AN36" s="342">
        <f>AM36*(1+(INDEX('Inputs &amp; Drivers'!$I$68:$I$78,MATCH(Model!AN$4,'Inputs &amp; Drivers'!$B$68:$B$78))/12))</f>
        <v>1144.8442175652235</v>
      </c>
      <c r="AO36" s="342">
        <f>AN36*(1+(INDEX('Inputs &amp; Drivers'!$I$68:$I$78,MATCH(Model!AO$4,'Inputs &amp; Drivers'!$B$68:$B$78))/12))</f>
        <v>1147.7063281091366</v>
      </c>
      <c r="AP36" s="342">
        <f>AO36*(1+(INDEX('Inputs &amp; Drivers'!$I$68:$I$78,MATCH(Model!AP$4,'Inputs &amp; Drivers'!$B$68:$B$78))/12))</f>
        <v>1150.5755939294095</v>
      </c>
      <c r="AQ36" s="342">
        <f>AP36*(1+(INDEX('Inputs &amp; Drivers'!$I$68:$I$78,MATCH(Model!AQ$4,'Inputs &amp; Drivers'!$B$68:$B$78))/12))</f>
        <v>1153.4520329142329</v>
      </c>
      <c r="AR36" s="342">
        <f>AQ36*(1+(INDEX('Inputs &amp; Drivers'!$I$68:$I$78,MATCH(Model!AR$4,'Inputs &amp; Drivers'!$B$68:$B$78))/12))</f>
        <v>1156.3356629965183</v>
      </c>
      <c r="AS36" s="342">
        <f>AR36*(1+(INDEX('Inputs &amp; Drivers'!$I$68:$I$78,MATCH(Model!AS$4,'Inputs &amp; Drivers'!$B$68:$B$78))/12))</f>
        <v>1159.2265021540095</v>
      </c>
      <c r="AT36" s="342">
        <f>AS36*(1+(INDEX('Inputs &amp; Drivers'!$I$68:$I$78,MATCH(Model!AT$4,'Inputs &amp; Drivers'!$B$68:$B$78))/12))</f>
        <v>1162.1245684093944</v>
      </c>
      <c r="AU36" s="342">
        <f>AT36*(1+(INDEX('Inputs &amp; Drivers'!$I$68:$I$78,MATCH(Model!AU$4,'Inputs &amp; Drivers'!$B$68:$B$78))/12))</f>
        <v>1165.0298798304179</v>
      </c>
      <c r="AV36" s="342">
        <f>AU36*(1+(INDEX('Inputs &amp; Drivers'!$I$68:$I$78,MATCH(Model!AV$4,'Inputs &amp; Drivers'!$B$68:$B$78))/12))</f>
        <v>1167.9424545299939</v>
      </c>
      <c r="AW36" s="342">
        <f>AV36*(1+(INDEX('Inputs &amp; Drivers'!$I$68:$I$78,MATCH(Model!AW$4,'Inputs &amp; Drivers'!$B$68:$B$78))/12))</f>
        <v>1170.8623106663188</v>
      </c>
      <c r="AX36" s="342">
        <f>AW36*(1+(INDEX('Inputs &amp; Drivers'!$I$68:$I$78,MATCH(Model!AX$4,'Inputs &amp; Drivers'!$B$68:$B$78))/12))</f>
        <v>1173.7894664429846</v>
      </c>
      <c r="AY36" s="342">
        <f>AX36*(1+(INDEX('Inputs &amp; Drivers'!$I$68:$I$78,MATCH(Model!AY$4,'Inputs &amp; Drivers'!$B$68:$B$78))/12))</f>
        <v>1176.7239401090919</v>
      </c>
      <c r="AZ36" s="342">
        <f>AY36*(1+(INDEX('Inputs &amp; Drivers'!$I$68:$I$78,MATCH(Model!AZ$4,'Inputs &amp; Drivers'!$B$68:$B$78))/12))</f>
        <v>1179.6657499593646</v>
      </c>
      <c r="BA36" s="342">
        <f>AZ36*(1+(INDEX('Inputs &amp; Drivers'!$I$68:$I$78,MATCH(Model!BA$4,'Inputs &amp; Drivers'!$B$68:$B$78))/12))</f>
        <v>1182.6149143342629</v>
      </c>
      <c r="BB36" s="342">
        <f>BA36*(1+(INDEX('Inputs &amp; Drivers'!$I$68:$I$78,MATCH(Model!BB$4,'Inputs &amp; Drivers'!$B$68:$B$78))/12))</f>
        <v>1185.5714516200985</v>
      </c>
      <c r="BC36" s="342">
        <f>BB36*(1+(INDEX('Inputs &amp; Drivers'!$I$68:$I$78,MATCH(Model!BC$4,'Inputs &amp; Drivers'!$B$68:$B$78))/12))</f>
        <v>1188.5353802491486</v>
      </c>
      <c r="BD36" s="342">
        <f>BC36*(1+(INDEX('Inputs &amp; Drivers'!$I$68:$I$78,MATCH(Model!BD$4,'Inputs &amp; Drivers'!$B$68:$B$78))/12))</f>
        <v>1191.5067186997715</v>
      </c>
      <c r="BE36" s="342">
        <f>BD36*(1+(INDEX('Inputs &amp; Drivers'!$I$68:$I$78,MATCH(Model!BE$4,'Inputs &amp; Drivers'!$B$68:$B$78))/12))</f>
        <v>1194.4854854965208</v>
      </c>
      <c r="BF36" s="342">
        <f>BE36*(1+(INDEX('Inputs &amp; Drivers'!$I$68:$I$78,MATCH(Model!BF$4,'Inputs &amp; Drivers'!$B$68:$B$78))/12))</f>
        <v>1197.4716992102622</v>
      </c>
      <c r="BG36" s="342">
        <f>BF36*(1+(INDEX('Inputs &amp; Drivers'!$I$68:$I$78,MATCH(Model!BG$4,'Inputs &amp; Drivers'!$B$68:$B$78))/12))</f>
        <v>1200.4653784582877</v>
      </c>
      <c r="BH36" s="342">
        <f>BG36*(1+(INDEX('Inputs &amp; Drivers'!$I$68:$I$78,MATCH(Model!BH$4,'Inputs &amp; Drivers'!$B$68:$B$78))/12))</f>
        <v>1203.4665419044334</v>
      </c>
      <c r="BI36" s="342">
        <f>BH36*(1+(INDEX('Inputs &amp; Drivers'!$I$68:$I$78,MATCH(Model!BI$4,'Inputs &amp; Drivers'!$B$68:$B$78))/12))</f>
        <v>1206.4752082591945</v>
      </c>
      <c r="BJ36" s="342">
        <f>BI36*(1+(INDEX('Inputs &amp; Drivers'!$I$68:$I$78,MATCH(Model!BJ$4,'Inputs &amp; Drivers'!$B$68:$B$78))/12))</f>
        <v>1209.4913962798423</v>
      </c>
      <c r="BK36" s="342">
        <f>BJ36*(1+(INDEX('Inputs &amp; Drivers'!$I$68:$I$78,MATCH(Model!BK$4,'Inputs &amp; Drivers'!$B$68:$B$78))/12))</f>
        <v>1212.5151247705419</v>
      </c>
      <c r="BL36" s="342">
        <f>BK36*(1+(INDEX('Inputs &amp; Drivers'!$I$68:$I$78,MATCH(Model!BL$4,'Inputs &amp; Drivers'!$B$68:$B$78))/12))</f>
        <v>1215.5464125824681</v>
      </c>
      <c r="BM36" s="342">
        <f>BL36*(1+(INDEX('Inputs &amp; Drivers'!$I$68:$I$78,MATCH(Model!BM$4,'Inputs &amp; Drivers'!$B$68:$B$78))/12))</f>
        <v>1218.5852786139242</v>
      </c>
      <c r="BN36" s="342">
        <f>BM36*(1+(INDEX('Inputs &amp; Drivers'!$I$68:$I$78,MATCH(Model!BN$4,'Inputs &amp; Drivers'!$B$68:$B$78))/12))</f>
        <v>1221.6317418104588</v>
      </c>
      <c r="BO36" s="342">
        <f>BN36*(1+(INDEX('Inputs &amp; Drivers'!$I$68:$I$78,MATCH(Model!BO$4,'Inputs &amp; Drivers'!$B$68:$B$78))/12))</f>
        <v>1224.6858211649849</v>
      </c>
      <c r="BP36" s="342">
        <f>BO36*(1+(INDEX('Inputs &amp; Drivers'!$I$68:$I$78,MATCH(Model!BP$4,'Inputs &amp; Drivers'!$B$68:$B$78))/12))</f>
        <v>1227.7475357178973</v>
      </c>
      <c r="BQ36" s="342">
        <f>BP36*(1+(INDEX('Inputs &amp; Drivers'!$I$68:$I$78,MATCH(Model!BQ$4,'Inputs &amp; Drivers'!$B$68:$B$78))/12))</f>
        <v>1230.8169045571919</v>
      </c>
      <c r="BR36" s="342">
        <f>BQ36*(1+(INDEX('Inputs &amp; Drivers'!$I$68:$I$78,MATCH(Model!BR$4,'Inputs &amp; Drivers'!$B$68:$B$78))/12))</f>
        <v>1233.8939468185849</v>
      </c>
      <c r="BS36" s="342">
        <f>BR36*(1+(INDEX('Inputs &amp; Drivers'!$I$68:$I$78,MATCH(Model!BS$4,'Inputs &amp; Drivers'!$B$68:$B$78))/12))</f>
        <v>1236.9786816856313</v>
      </c>
      <c r="BT36" s="342">
        <f>BS36*(1+(INDEX('Inputs &amp; Drivers'!$I$68:$I$78,MATCH(Model!BT$4,'Inputs &amp; Drivers'!$B$68:$B$78))/12))</f>
        <v>1240.0711283898454</v>
      </c>
      <c r="BU36" s="342">
        <f>BT36*(1+(INDEX('Inputs &amp; Drivers'!$I$68:$I$78,MATCH(Model!BU$4,'Inputs &amp; Drivers'!$B$68:$B$78))/12))</f>
        <v>1243.1713062108199</v>
      </c>
      <c r="BV36" s="342">
        <f>BU36*(1+(INDEX('Inputs &amp; Drivers'!$I$68:$I$78,MATCH(Model!BV$4,'Inputs &amp; Drivers'!$B$68:$B$78))/12))</f>
        <v>1246.2792344763468</v>
      </c>
      <c r="BW36" s="342">
        <f>BV36*(1+(INDEX('Inputs &amp; Drivers'!$I$68:$I$78,MATCH(Model!BW$4,'Inputs &amp; Drivers'!$B$68:$B$78))/12))</f>
        <v>1249.3949325625376</v>
      </c>
      <c r="BX36" s="342">
        <f>BW36*(1+(INDEX('Inputs &amp; Drivers'!$I$68:$I$78,MATCH(Model!BX$4,'Inputs &amp; Drivers'!$B$68:$B$78))/12))</f>
        <v>1252.5184198939439</v>
      </c>
      <c r="BY36" s="342">
        <f>BX36*(1+(INDEX('Inputs &amp; Drivers'!$I$68:$I$78,MATCH(Model!BY$4,'Inputs &amp; Drivers'!$B$68:$B$78))/12))</f>
        <v>1255.6497159436788</v>
      </c>
      <c r="BZ36" s="342">
        <f>BY36*(1+(INDEX('Inputs &amp; Drivers'!$I$68:$I$78,MATCH(Model!BZ$4,'Inputs &amp; Drivers'!$B$68:$B$78))/12))</f>
        <v>1258.7888402335379</v>
      </c>
      <c r="CA36" s="342">
        <f>BZ36*(1+(INDEX('Inputs &amp; Drivers'!$I$68:$I$78,MATCH(Model!CA$4,'Inputs &amp; Drivers'!$B$68:$B$78))/12))</f>
        <v>1261.9358123341217</v>
      </c>
      <c r="CB36" s="342">
        <f>CA36*(1+(INDEX('Inputs &amp; Drivers'!$I$68:$I$78,MATCH(Model!CB$4,'Inputs &amp; Drivers'!$B$68:$B$78))/12))</f>
        <v>1265.090651864957</v>
      </c>
      <c r="CC36" s="342">
        <f>CB36*(1+(INDEX('Inputs &amp; Drivers'!$I$68:$I$78,MATCH(Model!CC$4,'Inputs &amp; Drivers'!$B$68:$B$78))/12))</f>
        <v>1268.2533784946193</v>
      </c>
      <c r="CD36" s="342">
        <f>CC36*(1+(INDEX('Inputs &amp; Drivers'!$I$68:$I$78,MATCH(Model!CD$4,'Inputs &amp; Drivers'!$B$68:$B$78))/12))</f>
        <v>1271.4240119408557</v>
      </c>
      <c r="CE36" s="342">
        <f>CD36*(1+(INDEX('Inputs &amp; Drivers'!$I$68:$I$78,MATCH(Model!CE$4,'Inputs &amp; Drivers'!$B$68:$B$78))/12))</f>
        <v>1274.6025719707079</v>
      </c>
      <c r="CF36" s="342">
        <f>CE36*(1+(INDEX('Inputs &amp; Drivers'!$I$68:$I$78,MATCH(Model!CF$4,'Inputs &amp; Drivers'!$B$68:$B$78))/12))</f>
        <v>1277.7890784006347</v>
      </c>
      <c r="CG36" s="342">
        <f>CF36*(1+(INDEX('Inputs &amp; Drivers'!$I$68:$I$78,MATCH(Model!CG$4,'Inputs &amp; Drivers'!$B$68:$B$78))/12))</f>
        <v>1280.9835510966361</v>
      </c>
      <c r="CH36" s="342">
        <f>CG36*(1+(INDEX('Inputs &amp; Drivers'!$I$68:$I$78,MATCH(Model!CH$4,'Inputs &amp; Drivers'!$B$68:$B$78))/12))</f>
        <v>1284.1860099743776</v>
      </c>
      <c r="CI36" s="342">
        <f>CH36*(1+(INDEX('Inputs &amp; Drivers'!$I$68:$I$78,MATCH(Model!CI$4,'Inputs &amp; Drivers'!$B$68:$B$78))/12))</f>
        <v>1287.3964749993136</v>
      </c>
      <c r="CJ36" s="342">
        <f>CI36*(1+(INDEX('Inputs &amp; Drivers'!$I$68:$I$78,MATCH(Model!CJ$4,'Inputs &amp; Drivers'!$B$68:$B$78))/12))</f>
        <v>1290.6149661868117</v>
      </c>
      <c r="CK36" s="342">
        <f>CJ36*(1+(INDEX('Inputs &amp; Drivers'!$I$68:$I$78,MATCH(Model!CK$4,'Inputs &amp; Drivers'!$B$68:$B$78))/12))</f>
        <v>1293.8415036022786</v>
      </c>
      <c r="CL36" s="342">
        <f>CK36*(1+(INDEX('Inputs &amp; Drivers'!$I$68:$I$78,MATCH(Model!CL$4,'Inputs &amp; Drivers'!$B$68:$B$78))/12))</f>
        <v>1297.0761073612844</v>
      </c>
      <c r="CM36" s="342">
        <f>CL36*(1+(INDEX('Inputs &amp; Drivers'!$I$68:$I$78,MATCH(Model!CM$4,'Inputs &amp; Drivers'!$B$68:$B$78))/12))</f>
        <v>1300.3187976296874</v>
      </c>
      <c r="CN36" s="342">
        <f>CM36*(1+(INDEX('Inputs &amp; Drivers'!$I$68:$I$78,MATCH(Model!CN$4,'Inputs &amp; Drivers'!$B$68:$B$78))/12))</f>
        <v>1303.5695946237615</v>
      </c>
      <c r="CO36" s="342">
        <f>CN36*(1+(INDEX('Inputs &amp; Drivers'!$I$68:$I$78,MATCH(Model!CO$4,'Inputs &amp; Drivers'!$B$68:$B$78))/12))</f>
        <v>1306.8285186103208</v>
      </c>
      <c r="CP36" s="342">
        <f>CO36*(1+(INDEX('Inputs &amp; Drivers'!$I$68:$I$78,MATCH(Model!CP$4,'Inputs &amp; Drivers'!$B$68:$B$78))/12))</f>
        <v>1310.0955899068465</v>
      </c>
      <c r="CQ36" s="342">
        <f>CP36*(1+(INDEX('Inputs &amp; Drivers'!$I$68:$I$78,MATCH(Model!CQ$4,'Inputs &amp; Drivers'!$B$68:$B$78))/12))</f>
        <v>1313.3708288816135</v>
      </c>
      <c r="CR36" s="342">
        <f>CQ36*(1+(INDEX('Inputs &amp; Drivers'!$I$68:$I$78,MATCH(Model!CR$4,'Inputs &amp; Drivers'!$B$68:$B$78))/12))</f>
        <v>1316.6542559538175</v>
      </c>
      <c r="CS36" s="342">
        <f>CR36*(1+(INDEX('Inputs &amp; Drivers'!$I$68:$I$78,MATCH(Model!CS$4,'Inputs &amp; Drivers'!$B$68:$B$78))/12))</f>
        <v>1319.9458915937018</v>
      </c>
      <c r="CT36" s="342">
        <f>CS36*(1+(INDEX('Inputs &amp; Drivers'!$I$68:$I$78,MATCH(Model!CT$4,'Inputs &amp; Drivers'!$B$68:$B$78))/12))</f>
        <v>1323.245756322686</v>
      </c>
      <c r="CU36" s="342">
        <f>CT36*(1+(INDEX('Inputs &amp; Drivers'!$I$68:$I$78,MATCH(Model!CU$4,'Inputs &amp; Drivers'!$B$68:$B$78))/12))</f>
        <v>1326.5538707134926</v>
      </c>
      <c r="CV36" s="342">
        <f>CU36*(1+(INDEX('Inputs &amp; Drivers'!$I$68:$I$78,MATCH(Model!CV$4,'Inputs &amp; Drivers'!$B$68:$B$78))/12))</f>
        <v>1329.8702553902763</v>
      </c>
      <c r="CW36" s="342">
        <f>CV36*(1+(INDEX('Inputs &amp; Drivers'!$I$68:$I$78,MATCH(Model!CW$4,'Inputs &amp; Drivers'!$B$68:$B$78))/12))</f>
        <v>1333.1949310287519</v>
      </c>
      <c r="CX36" s="342">
        <f>CW36*(1+(INDEX('Inputs &amp; Drivers'!$I$68:$I$78,MATCH(Model!CX$4,'Inputs &amp; Drivers'!$B$68:$B$78))/12))</f>
        <v>1336.5279183563237</v>
      </c>
      <c r="CY36" s="342">
        <f>CX36*(1+(INDEX('Inputs &amp; Drivers'!$I$68:$I$78,MATCH(Model!CY$4,'Inputs &amp; Drivers'!$B$68:$B$78))/12))</f>
        <v>1339.8692381522144</v>
      </c>
      <c r="CZ36" s="342">
        <f>CY36*(1+(INDEX('Inputs &amp; Drivers'!$I$68:$I$78,MATCH(Model!CZ$4,'Inputs &amp; Drivers'!$B$68:$B$78))/12))</f>
        <v>1343.2189112475949</v>
      </c>
      <c r="DA36" s="342">
        <f>CZ36*(1+(INDEX('Inputs &amp; Drivers'!$I$68:$I$78,MATCH(Model!DA$4,'Inputs &amp; Drivers'!$B$68:$B$78))/12))</f>
        <v>1346.5769585257137</v>
      </c>
      <c r="DB36" s="342">
        <f>DA36*(1+(INDEX('Inputs &amp; Drivers'!$I$68:$I$78,MATCH(Model!DB$4,'Inputs &amp; Drivers'!$B$68:$B$78))/12))</f>
        <v>1349.9434009220279</v>
      </c>
      <c r="DC36" s="342">
        <f>DB36*(1+(INDEX('Inputs &amp; Drivers'!$I$68:$I$78,MATCH(Model!DC$4,'Inputs &amp; Drivers'!$B$68:$B$78))/12))</f>
        <v>1353.3182594243328</v>
      </c>
      <c r="DD36" s="342">
        <f>DC36*(1+(INDEX('Inputs &amp; Drivers'!$I$68:$I$78,MATCH(Model!DD$4,'Inputs &amp; Drivers'!$B$68:$B$78))/12))</f>
        <v>1356.7015550728936</v>
      </c>
      <c r="DE36" s="342">
        <f>DD36*(1+(INDEX('Inputs &amp; Drivers'!$I$68:$I$78,MATCH(Model!DE$4,'Inputs &amp; Drivers'!$B$68:$B$78))/12))</f>
        <v>1360.0933089605758</v>
      </c>
      <c r="DF36" s="342">
        <f>DE36*(1+(INDEX('Inputs &amp; Drivers'!$I$68:$I$78,MATCH(Model!DF$4,'Inputs &amp; Drivers'!$B$68:$B$78))/12))</f>
        <v>1363.4935422329772</v>
      </c>
      <c r="DG36" s="342">
        <f>DF36*(1+(INDEX('Inputs &amp; Drivers'!$I$68:$I$78,MATCH(Model!DG$4,'Inputs &amp; Drivers'!$B$68:$B$78))/12))</f>
        <v>1366.9022760885596</v>
      </c>
      <c r="DH36" s="342">
        <f>DG36*(1+(INDEX('Inputs &amp; Drivers'!$I$68:$I$78,MATCH(Model!DH$4,'Inputs &amp; Drivers'!$B$68:$B$78))/12))</f>
        <v>1370.3195317787809</v>
      </c>
      <c r="DI36" s="342">
        <f>DH36*(1+(INDEX('Inputs &amp; Drivers'!$I$68:$I$78,MATCH(Model!DI$4,'Inputs &amp; Drivers'!$B$68:$B$78))/12))</f>
        <v>1373.7453306082277</v>
      </c>
      <c r="DJ36" s="342">
        <f>DI36*(1+(INDEX('Inputs &amp; Drivers'!$I$68:$I$78,MATCH(Model!DJ$4,'Inputs &amp; Drivers'!$B$68:$B$78))/12))</f>
        <v>1377.1796939347482</v>
      </c>
      <c r="DK36" s="342">
        <f>DJ36*(1+(INDEX('Inputs &amp; Drivers'!$I$68:$I$78,MATCH(Model!DK$4,'Inputs &amp; Drivers'!$B$68:$B$78))/12))</f>
        <v>1380.622643169585</v>
      </c>
      <c r="DL36" s="342">
        <f>DK36*(1+(INDEX('Inputs &amp; Drivers'!$I$68:$I$78,MATCH(Model!DL$4,'Inputs &amp; Drivers'!$B$68:$B$78))/12))</f>
        <v>1384.074199777509</v>
      </c>
      <c r="DM36" s="342">
        <f>DL36*(1+(INDEX('Inputs &amp; Drivers'!$I$68:$I$78,MATCH(Model!DM$4,'Inputs &amp; Drivers'!$B$68:$B$78))/12))</f>
        <v>1387.5343852769527</v>
      </c>
      <c r="DN36" s="342">
        <f>DM36*(1+(INDEX('Inputs &amp; Drivers'!$I$68:$I$78,MATCH(Model!DN$4,'Inputs &amp; Drivers'!$B$68:$B$78))/12))</f>
        <v>1391.003221240145</v>
      </c>
      <c r="DO36" s="342">
        <f>DN36*(1+(INDEX('Inputs &amp; Drivers'!$I$68:$I$78,MATCH(Model!DO$4,'Inputs &amp; Drivers'!$B$68:$B$78))/12))</f>
        <v>1394.4807292932453</v>
      </c>
      <c r="DP36" s="342">
        <f>DO36*(1+(INDEX('Inputs &amp; Drivers'!$I$68:$I$78,MATCH(Model!DP$4,'Inputs &amp; Drivers'!$B$68:$B$78))/12))</f>
        <v>1397.9669311164782</v>
      </c>
      <c r="DQ36" s="342">
        <f>DP36*(1+(INDEX('Inputs &amp; Drivers'!$I$68:$I$78,MATCH(Model!DQ$4,'Inputs &amp; Drivers'!$B$68:$B$78))/12))</f>
        <v>1401.4618484442694</v>
      </c>
      <c r="DR36" s="342">
        <f>DQ36*(1+(INDEX('Inputs &amp; Drivers'!$I$68:$I$78,MATCH(Model!DR$4,'Inputs &amp; Drivers'!$B$68:$B$78))/12))</f>
        <v>1404.9655030653801</v>
      </c>
      <c r="DS36" s="342">
        <f>DR36*(1+(INDEX('Inputs &amp; Drivers'!$I$68:$I$78,MATCH(Model!DS$4,'Inputs &amp; Drivers'!$B$68:$B$78))/12))</f>
        <v>1408.4779168230434</v>
      </c>
      <c r="DT36" s="342">
        <f>DS36*(1+(INDEX('Inputs &amp; Drivers'!$I$68:$I$78,MATCH(Model!DT$4,'Inputs &amp; Drivers'!$B$68:$B$78))/12))</f>
        <v>1411.9991116151009</v>
      </c>
      <c r="DU36" s="342">
        <f>DT36*(1+(INDEX('Inputs &amp; Drivers'!$I$68:$I$78,MATCH(Model!DU$4,'Inputs &amp; Drivers'!$B$68:$B$78))/12))</f>
        <v>1415.5291093941387</v>
      </c>
      <c r="DV36" s="342">
        <f>DU36*(1+(INDEX('Inputs &amp; Drivers'!$I$68:$I$78,MATCH(Model!DV$4,'Inputs &amp; Drivers'!$B$68:$B$78))/12))</f>
        <v>1419.0679321676239</v>
      </c>
      <c r="DW36" s="342">
        <f>DV36*(1+(INDEX('Inputs &amp; Drivers'!$I$68:$I$78,MATCH(Model!DW$4,'Inputs &amp; Drivers'!$B$68:$B$78))/12))</f>
        <v>1422.6156019980428</v>
      </c>
      <c r="DX36" s="342">
        <f>DW36*(1+(INDEX('Inputs &amp; Drivers'!$I$68:$I$78,MATCH(Model!DX$4,'Inputs &amp; Drivers'!$B$68:$B$78))/12))</f>
        <v>1426.172141003038</v>
      </c>
      <c r="DY36" s="342">
        <f>DX36*(1+(INDEX('Inputs &amp; Drivers'!$I$68:$I$78,MATCH(Model!DY$4,'Inputs &amp; Drivers'!$B$68:$B$78))/12))</f>
        <v>1429.7375713555455</v>
      </c>
      <c r="DZ36" s="342">
        <f>DY36*(1+(INDEX('Inputs &amp; Drivers'!$I$68:$I$78,MATCH(Model!DZ$4,'Inputs &amp; Drivers'!$B$68:$B$78))/12))</f>
        <v>1433.3119152839342</v>
      </c>
      <c r="EA36" s="342">
        <f>DZ36*(1+(INDEX('Inputs &amp; Drivers'!$I$68:$I$78,MATCH(Model!EA$4,'Inputs &amp; Drivers'!$B$68:$B$78))/12))</f>
        <v>1436.8951950721439</v>
      </c>
      <c r="EB36" s="342">
        <f>EA36*(1+(INDEX('Inputs &amp; Drivers'!$I$68:$I$78,MATCH(Model!EB$4,'Inputs &amp; Drivers'!$B$68:$B$78))/12))</f>
        <v>1440.4874330598243</v>
      </c>
      <c r="EC36" s="342">
        <f>EB36*(1+(INDEX('Inputs &amp; Drivers'!$I$68:$I$78,MATCH(Model!EC$4,'Inputs &amp; Drivers'!$B$68:$B$78))/12))</f>
        <v>1444.0886516424737</v>
      </c>
      <c r="ED36" s="342">
        <f>EC36*(1+(INDEX('Inputs &amp; Drivers'!$I$68:$I$78,MATCH(Model!ED$4,'Inputs &amp; Drivers'!$B$68:$B$78))/12))</f>
        <v>1447.6988732715797</v>
      </c>
      <c r="EE36" s="342">
        <f>ED36*(1+(INDEX('Inputs &amp; Drivers'!$I$68:$I$78,MATCH(Model!EE$4,'Inputs &amp; Drivers'!$B$68:$B$78))/12))</f>
        <v>1451.3181204547586</v>
      </c>
      <c r="EF36" s="342">
        <f>EE36*(1+(INDEX('Inputs &amp; Drivers'!$I$68:$I$78,MATCH(Model!EF$4,'Inputs &amp; Drivers'!$B$68:$B$78))/12))</f>
        <v>1454.9464157558955</v>
      </c>
      <c r="EG36" s="342">
        <f>EF36*(1+(INDEX('Inputs &amp; Drivers'!$I$68:$I$78,MATCH(Model!EG$4,'Inputs &amp; Drivers'!$B$68:$B$78))/12))</f>
        <v>1458.5837817952852</v>
      </c>
      <c r="EH36" s="342">
        <f>EG36*(1+(INDEX('Inputs &amp; Drivers'!$I$68:$I$78,MATCH(Model!EH$4,'Inputs &amp; Drivers'!$B$68:$B$78))/12))</f>
        <v>1462.2302412497734</v>
      </c>
      <c r="EI36" s="342">
        <f>EH36*(1+(INDEX('Inputs &amp; Drivers'!$I$68:$I$78,MATCH(Model!EI$4,'Inputs &amp; Drivers'!$B$68:$B$78))/12))</f>
        <v>1465.8858168528977</v>
      </c>
      <c r="EJ36" s="342">
        <f>EI36*(1+(INDEX('Inputs &amp; Drivers'!$I$68:$I$78,MATCH(Model!EJ$4,'Inputs &amp; Drivers'!$B$68:$B$78))/12))</f>
        <v>1469.5505313950298</v>
      </c>
      <c r="EL36" s="12">
        <f t="shared" si="149"/>
        <v>1100</v>
      </c>
      <c r="EM36" s="12">
        <f t="shared" si="149"/>
        <v>1100</v>
      </c>
      <c r="EN36" s="12">
        <f t="shared" si="149"/>
        <v>1122.2027912496521</v>
      </c>
      <c r="EO36" s="12">
        <f t="shared" si="149"/>
        <v>1156.3356629965183</v>
      </c>
      <c r="EP36" s="12">
        <f t="shared" si="149"/>
        <v>1191.5067186997715</v>
      </c>
      <c r="EQ36" s="12">
        <f t="shared" si="149"/>
        <v>1227.7475357178973</v>
      </c>
      <c r="ER36" s="12">
        <f t="shared" si="149"/>
        <v>1265.090651864957</v>
      </c>
      <c r="ES36" s="12">
        <f t="shared" si="149"/>
        <v>1303.5695946237615</v>
      </c>
      <c r="ET36" s="12">
        <f t="shared" si="149"/>
        <v>1343.2189112475949</v>
      </c>
      <c r="EU36" s="12">
        <f t="shared" si="149"/>
        <v>1384.074199777509</v>
      </c>
      <c r="EV36" s="12">
        <f t="shared" si="149"/>
        <v>1426.172141003038</v>
      </c>
      <c r="EW36" s="12">
        <f t="shared" si="149"/>
        <v>1469.5505313950298</v>
      </c>
    </row>
    <row r="37" spans="2:153" outlineLevel="1" x14ac:dyDescent="0.4">
      <c r="B37" s="1" t="s">
        <v>45</v>
      </c>
      <c r="H37" s="254">
        <f>'Inputs &amp; Drivers'!I54</f>
        <v>448.10700000000003</v>
      </c>
      <c r="I37" s="342">
        <f>H37*(1+(INDEX('Inputs &amp; Drivers'!$I$68:$I$78,MATCH(Model!I$4,'Inputs &amp; Drivers'!$B$68:$B$78))/12))</f>
        <v>448.10700000000003</v>
      </c>
      <c r="J37" s="342">
        <f>I37*(1+(INDEX('Inputs &amp; Drivers'!$I$68:$I$78,MATCH(Model!J$4,'Inputs &amp; Drivers'!$B$68:$B$78))/12))</f>
        <v>448.10700000000003</v>
      </c>
      <c r="K37" s="342">
        <f>J37*(1+(INDEX('Inputs &amp; Drivers'!$I$68:$I$78,MATCH(Model!K$4,'Inputs &amp; Drivers'!$B$68:$B$78))/12))</f>
        <v>448.10700000000003</v>
      </c>
      <c r="L37" s="342">
        <f>K37*(1+(INDEX('Inputs &amp; Drivers'!$I$68:$I$78,MATCH(Model!L$4,'Inputs &amp; Drivers'!$B$68:$B$78))/12))</f>
        <v>448.10700000000003</v>
      </c>
      <c r="M37" s="342">
        <f>L37*(1+(INDEX('Inputs &amp; Drivers'!$I$68:$I$78,MATCH(Model!M$4,'Inputs &amp; Drivers'!$B$68:$B$78))/12))</f>
        <v>448.10700000000003</v>
      </c>
      <c r="N37" s="342">
        <f>M37*(1+(INDEX('Inputs &amp; Drivers'!$I$68:$I$78,MATCH(Model!N$4,'Inputs &amp; Drivers'!$B$68:$B$78))/12))</f>
        <v>448.10700000000003</v>
      </c>
      <c r="O37" s="342">
        <f>N37*(1+(INDEX('Inputs &amp; Drivers'!$I$68:$I$78,MATCH(Model!O$4,'Inputs &amp; Drivers'!$B$68:$B$78))/12))</f>
        <v>448.10700000000003</v>
      </c>
      <c r="P37" s="342">
        <f>O37*(1+(INDEX('Inputs &amp; Drivers'!$I$68:$I$78,MATCH(Model!P$4,'Inputs &amp; Drivers'!$B$68:$B$78))/12))</f>
        <v>448.10700000000003</v>
      </c>
      <c r="Q37" s="342">
        <f>P37*(1+(INDEX('Inputs &amp; Drivers'!$I$68:$I$78,MATCH(Model!Q$4,'Inputs &amp; Drivers'!$B$68:$B$78))/12))</f>
        <v>448.10700000000003</v>
      </c>
      <c r="R37" s="342">
        <f>Q37*(1+(INDEX('Inputs &amp; Drivers'!$I$68:$I$78,MATCH(Model!R$4,'Inputs &amp; Drivers'!$B$68:$B$78))/12))</f>
        <v>448.10700000000003</v>
      </c>
      <c r="S37" s="342">
        <f>R37*(1+(INDEX('Inputs &amp; Drivers'!$I$68:$I$78,MATCH(Model!S$4,'Inputs &amp; Drivers'!$B$68:$B$78))/12))</f>
        <v>448.10700000000003</v>
      </c>
      <c r="T37" s="342">
        <f>S37*(1+(INDEX('Inputs &amp; Drivers'!$I$68:$I$78,MATCH(Model!T$4,'Inputs &amp; Drivers'!$B$68:$B$78))/12))</f>
        <v>448.10700000000003</v>
      </c>
      <c r="U37" s="342">
        <f>T37*(1+(INDEX('Inputs &amp; Drivers'!$I$68:$I$78,MATCH(Model!U$4,'Inputs &amp; Drivers'!$B$68:$B$78))/12))</f>
        <v>448.85384500000004</v>
      </c>
      <c r="V37" s="342">
        <f>U37*(1+(INDEX('Inputs &amp; Drivers'!$I$68:$I$78,MATCH(Model!V$4,'Inputs &amp; Drivers'!$B$68:$B$78))/12))</f>
        <v>449.6019347416667</v>
      </c>
      <c r="W37" s="342">
        <f>V37*(1+(INDEX('Inputs &amp; Drivers'!$I$68:$I$78,MATCH(Model!W$4,'Inputs &amp; Drivers'!$B$68:$B$78))/12))</f>
        <v>450.35127129956948</v>
      </c>
      <c r="X37" s="342">
        <f>W37*(1+(INDEX('Inputs &amp; Drivers'!$I$68:$I$78,MATCH(Model!X$4,'Inputs &amp; Drivers'!$B$68:$B$78))/12))</f>
        <v>451.10185675173545</v>
      </c>
      <c r="Y37" s="342">
        <f>X37*(1+(INDEX('Inputs &amp; Drivers'!$I$68:$I$78,MATCH(Model!Y$4,'Inputs &amp; Drivers'!$B$68:$B$78))/12))</f>
        <v>451.85369317965501</v>
      </c>
      <c r="Z37" s="342">
        <f>Y37*(1+(INDEX('Inputs &amp; Drivers'!$I$68:$I$78,MATCH(Model!Z$4,'Inputs &amp; Drivers'!$B$68:$B$78))/12))</f>
        <v>452.60678266828779</v>
      </c>
      <c r="AA37" s="342">
        <f>Z37*(1+(INDEX('Inputs &amp; Drivers'!$I$68:$I$78,MATCH(Model!AA$4,'Inputs &amp; Drivers'!$B$68:$B$78))/12))</f>
        <v>453.36112730606828</v>
      </c>
      <c r="AB37" s="342">
        <f>AA37*(1+(INDEX('Inputs &amp; Drivers'!$I$68:$I$78,MATCH(Model!AB$4,'Inputs &amp; Drivers'!$B$68:$B$78))/12))</f>
        <v>454.11672918491178</v>
      </c>
      <c r="AC37" s="342">
        <f>AB37*(1+(INDEX('Inputs &amp; Drivers'!$I$68:$I$78,MATCH(Model!AC$4,'Inputs &amp; Drivers'!$B$68:$B$78))/12))</f>
        <v>454.87359040022</v>
      </c>
      <c r="AD37" s="342">
        <f>AC37*(1+(INDEX('Inputs &amp; Drivers'!$I$68:$I$78,MATCH(Model!AD$4,'Inputs &amp; Drivers'!$B$68:$B$78))/12))</f>
        <v>455.63171305088707</v>
      </c>
      <c r="AE37" s="342">
        <f>AD37*(1+(INDEX('Inputs &amp; Drivers'!$I$68:$I$78,MATCH(Model!AE$4,'Inputs &amp; Drivers'!$B$68:$B$78))/12))</f>
        <v>456.39109923930522</v>
      </c>
      <c r="AF37" s="342">
        <f>AE37*(1+(INDEX('Inputs &amp; Drivers'!$I$68:$I$78,MATCH(Model!AF$4,'Inputs &amp; Drivers'!$B$68:$B$78))/12))</f>
        <v>457.15175107137077</v>
      </c>
      <c r="AG37" s="342">
        <f>AF37*(1+(INDEX('Inputs &amp; Drivers'!$I$68:$I$78,MATCH(Model!AG$4,'Inputs &amp; Drivers'!$B$68:$B$78))/12))</f>
        <v>458.29463044904918</v>
      </c>
      <c r="AH37" s="342">
        <f>AG37*(1+(INDEX('Inputs &amp; Drivers'!$I$68:$I$78,MATCH(Model!AH$4,'Inputs &amp; Drivers'!$B$68:$B$78))/12))</f>
        <v>459.44036702517178</v>
      </c>
      <c r="AI37" s="342">
        <f>AH37*(1+(INDEX('Inputs &amp; Drivers'!$I$68:$I$78,MATCH(Model!AI$4,'Inputs &amp; Drivers'!$B$68:$B$78))/12))</f>
        <v>460.58896794273471</v>
      </c>
      <c r="AJ37" s="342">
        <f>AI37*(1+(INDEX('Inputs &amp; Drivers'!$I$68:$I$78,MATCH(Model!AJ$4,'Inputs &amp; Drivers'!$B$68:$B$78))/12))</f>
        <v>461.74044036259153</v>
      </c>
      <c r="AK37" s="342">
        <f>AJ37*(1+(INDEX('Inputs &amp; Drivers'!$I$68:$I$78,MATCH(Model!AK$4,'Inputs &amp; Drivers'!$B$68:$B$78))/12))</f>
        <v>462.894791463498</v>
      </c>
      <c r="AL37" s="342">
        <f>AK37*(1+(INDEX('Inputs &amp; Drivers'!$I$68:$I$78,MATCH(Model!AL$4,'Inputs &amp; Drivers'!$B$68:$B$78))/12))</f>
        <v>464.05202844215671</v>
      </c>
      <c r="AM37" s="342">
        <f>AL37*(1+(INDEX('Inputs &amp; Drivers'!$I$68:$I$78,MATCH(Model!AM$4,'Inputs &amp; Drivers'!$B$68:$B$78))/12))</f>
        <v>465.21215851326207</v>
      </c>
      <c r="AN37" s="342">
        <f>AM37*(1+(INDEX('Inputs &amp; Drivers'!$I$68:$I$78,MATCH(Model!AN$4,'Inputs &amp; Drivers'!$B$68:$B$78))/12))</f>
        <v>466.37518890954522</v>
      </c>
      <c r="AO37" s="342">
        <f>AN37*(1+(INDEX('Inputs &amp; Drivers'!$I$68:$I$78,MATCH(Model!AO$4,'Inputs &amp; Drivers'!$B$68:$B$78))/12))</f>
        <v>467.54112688181908</v>
      </c>
      <c r="AP37" s="342">
        <f>AO37*(1+(INDEX('Inputs &amp; Drivers'!$I$68:$I$78,MATCH(Model!AP$4,'Inputs &amp; Drivers'!$B$68:$B$78))/12))</f>
        <v>468.70997969902362</v>
      </c>
      <c r="AQ37" s="342">
        <f>AP37*(1+(INDEX('Inputs &amp; Drivers'!$I$68:$I$78,MATCH(Model!AQ$4,'Inputs &amp; Drivers'!$B$68:$B$78))/12))</f>
        <v>469.88175464827117</v>
      </c>
      <c r="AR37" s="342">
        <f>AQ37*(1+(INDEX('Inputs &amp; Drivers'!$I$68:$I$78,MATCH(Model!AR$4,'Inputs &amp; Drivers'!$B$68:$B$78))/12))</f>
        <v>471.05645903489182</v>
      </c>
      <c r="AS37" s="342">
        <f>AR37*(1+(INDEX('Inputs &amp; Drivers'!$I$68:$I$78,MATCH(Model!AS$4,'Inputs &amp; Drivers'!$B$68:$B$78))/12))</f>
        <v>472.23410018247904</v>
      </c>
      <c r="AT37" s="342">
        <f>AS37*(1+(INDEX('Inputs &amp; Drivers'!$I$68:$I$78,MATCH(Model!AT$4,'Inputs &amp; Drivers'!$B$68:$B$78))/12))</f>
        <v>473.41468543293519</v>
      </c>
      <c r="AU37" s="342">
        <f>AT37*(1+(INDEX('Inputs &amp; Drivers'!$I$68:$I$78,MATCH(Model!AU$4,'Inputs &amp; Drivers'!$B$68:$B$78))/12))</f>
        <v>474.59822214651751</v>
      </c>
      <c r="AV37" s="342">
        <f>AU37*(1+(INDEX('Inputs &amp; Drivers'!$I$68:$I$78,MATCH(Model!AV$4,'Inputs &amp; Drivers'!$B$68:$B$78))/12))</f>
        <v>475.78471770188378</v>
      </c>
      <c r="AW37" s="342">
        <f>AV37*(1+(INDEX('Inputs &amp; Drivers'!$I$68:$I$78,MATCH(Model!AW$4,'Inputs &amp; Drivers'!$B$68:$B$78))/12))</f>
        <v>476.97417949613845</v>
      </c>
      <c r="AX37" s="342">
        <f>AW37*(1+(INDEX('Inputs &amp; Drivers'!$I$68:$I$78,MATCH(Model!AX$4,'Inputs &amp; Drivers'!$B$68:$B$78))/12))</f>
        <v>478.16661494487875</v>
      </c>
      <c r="AY37" s="342">
        <f>AX37*(1+(INDEX('Inputs &amp; Drivers'!$I$68:$I$78,MATCH(Model!AY$4,'Inputs &amp; Drivers'!$B$68:$B$78))/12))</f>
        <v>479.36203148224092</v>
      </c>
      <c r="AZ37" s="342">
        <f>AY37*(1+(INDEX('Inputs &amp; Drivers'!$I$68:$I$78,MATCH(Model!AZ$4,'Inputs &amp; Drivers'!$B$68:$B$78))/12))</f>
        <v>480.56043656094653</v>
      </c>
      <c r="BA37" s="342">
        <f>AZ37*(1+(INDEX('Inputs &amp; Drivers'!$I$68:$I$78,MATCH(Model!BA$4,'Inputs &amp; Drivers'!$B$68:$B$78))/12))</f>
        <v>481.76183765234885</v>
      </c>
      <c r="BB37" s="342">
        <f>BA37*(1+(INDEX('Inputs &amp; Drivers'!$I$68:$I$78,MATCH(Model!BB$4,'Inputs &amp; Drivers'!$B$68:$B$78))/12))</f>
        <v>482.96624224647968</v>
      </c>
      <c r="BC37" s="342">
        <f>BB37*(1+(INDEX('Inputs &amp; Drivers'!$I$68:$I$78,MATCH(Model!BC$4,'Inputs &amp; Drivers'!$B$68:$B$78))/12))</f>
        <v>484.17365785209586</v>
      </c>
      <c r="BD37" s="342">
        <f>BC37*(1+(INDEX('Inputs &amp; Drivers'!$I$68:$I$78,MATCH(Model!BD$4,'Inputs &amp; Drivers'!$B$68:$B$78))/12))</f>
        <v>485.38409199672606</v>
      </c>
      <c r="BE37" s="342">
        <f>BD37*(1+(INDEX('Inputs &amp; Drivers'!$I$68:$I$78,MATCH(Model!BE$4,'Inputs &amp; Drivers'!$B$68:$B$78))/12))</f>
        <v>486.59755222671782</v>
      </c>
      <c r="BF37" s="342">
        <f>BE37*(1+(INDEX('Inputs &amp; Drivers'!$I$68:$I$78,MATCH(Model!BF$4,'Inputs &amp; Drivers'!$B$68:$B$78))/12))</f>
        <v>487.81404610728458</v>
      </c>
      <c r="BG37" s="342">
        <f>BF37*(1+(INDEX('Inputs &amp; Drivers'!$I$68:$I$78,MATCH(Model!BG$4,'Inputs &amp; Drivers'!$B$68:$B$78))/12))</f>
        <v>489.03358122255275</v>
      </c>
      <c r="BH37" s="342">
        <f>BG37*(1+(INDEX('Inputs &amp; Drivers'!$I$68:$I$78,MATCH(Model!BH$4,'Inputs &amp; Drivers'!$B$68:$B$78))/12))</f>
        <v>490.25616517560911</v>
      </c>
      <c r="BI37" s="342">
        <f>BH37*(1+(INDEX('Inputs &amp; Drivers'!$I$68:$I$78,MATCH(Model!BI$4,'Inputs &amp; Drivers'!$B$68:$B$78))/12))</f>
        <v>491.48180558854813</v>
      </c>
      <c r="BJ37" s="342">
        <f>BI37*(1+(INDEX('Inputs &amp; Drivers'!$I$68:$I$78,MATCH(Model!BJ$4,'Inputs &amp; Drivers'!$B$68:$B$78))/12))</f>
        <v>492.71051010251949</v>
      </c>
      <c r="BK37" s="342">
        <f>BJ37*(1+(INDEX('Inputs &amp; Drivers'!$I$68:$I$78,MATCH(Model!BK$4,'Inputs &amp; Drivers'!$B$68:$B$78))/12))</f>
        <v>493.94228637777576</v>
      </c>
      <c r="BL37" s="342">
        <f>BK37*(1+(INDEX('Inputs &amp; Drivers'!$I$68:$I$78,MATCH(Model!BL$4,'Inputs &amp; Drivers'!$B$68:$B$78))/12))</f>
        <v>495.17714209372019</v>
      </c>
      <c r="BM37" s="342">
        <f>BL37*(1+(INDEX('Inputs &amp; Drivers'!$I$68:$I$78,MATCH(Model!BM$4,'Inputs &amp; Drivers'!$B$68:$B$78))/12))</f>
        <v>496.41508494895447</v>
      </c>
      <c r="BN37" s="342">
        <f>BM37*(1+(INDEX('Inputs &amp; Drivers'!$I$68:$I$78,MATCH(Model!BN$4,'Inputs &amp; Drivers'!$B$68:$B$78))/12))</f>
        <v>497.65612266132683</v>
      </c>
      <c r="BO37" s="342">
        <f>BN37*(1+(INDEX('Inputs &amp; Drivers'!$I$68:$I$78,MATCH(Model!BO$4,'Inputs &amp; Drivers'!$B$68:$B$78))/12))</f>
        <v>498.9002629679801</v>
      </c>
      <c r="BP37" s="342">
        <f>BO37*(1+(INDEX('Inputs &amp; Drivers'!$I$68:$I$78,MATCH(Model!BP$4,'Inputs &amp; Drivers'!$B$68:$B$78))/12))</f>
        <v>500.14751362539999</v>
      </c>
      <c r="BQ37" s="342">
        <f>BP37*(1+(INDEX('Inputs &amp; Drivers'!$I$68:$I$78,MATCH(Model!BQ$4,'Inputs &amp; Drivers'!$B$68:$B$78))/12))</f>
        <v>501.39788240946348</v>
      </c>
      <c r="BR37" s="342">
        <f>BQ37*(1+(INDEX('Inputs &amp; Drivers'!$I$68:$I$78,MATCH(Model!BR$4,'Inputs &amp; Drivers'!$B$68:$B$78))/12))</f>
        <v>502.65137711548709</v>
      </c>
      <c r="BS37" s="342">
        <f>BR37*(1+(INDEX('Inputs &amp; Drivers'!$I$68:$I$78,MATCH(Model!BS$4,'Inputs &amp; Drivers'!$B$68:$B$78))/12))</f>
        <v>503.90800555827576</v>
      </c>
      <c r="BT37" s="342">
        <f>BS37*(1+(INDEX('Inputs &amp; Drivers'!$I$68:$I$78,MATCH(Model!BT$4,'Inputs &amp; Drivers'!$B$68:$B$78))/12))</f>
        <v>505.16777557217142</v>
      </c>
      <c r="BU37" s="342">
        <f>BT37*(1+(INDEX('Inputs &amp; Drivers'!$I$68:$I$78,MATCH(Model!BU$4,'Inputs &amp; Drivers'!$B$68:$B$78))/12))</f>
        <v>506.43069501110182</v>
      </c>
      <c r="BV37" s="342">
        <f>BU37*(1+(INDEX('Inputs &amp; Drivers'!$I$68:$I$78,MATCH(Model!BV$4,'Inputs &amp; Drivers'!$B$68:$B$78))/12))</f>
        <v>507.69677174862954</v>
      </c>
      <c r="BW37" s="342">
        <f>BV37*(1+(INDEX('Inputs &amp; Drivers'!$I$68:$I$78,MATCH(Model!BW$4,'Inputs &amp; Drivers'!$B$68:$B$78))/12))</f>
        <v>508.9660136780011</v>
      </c>
      <c r="BX37" s="342">
        <f>BW37*(1+(INDEX('Inputs &amp; Drivers'!$I$68:$I$78,MATCH(Model!BX$4,'Inputs &amp; Drivers'!$B$68:$B$78))/12))</f>
        <v>510.23842871219608</v>
      </c>
      <c r="BY37" s="342">
        <f>BX37*(1+(INDEX('Inputs &amp; Drivers'!$I$68:$I$78,MATCH(Model!BY$4,'Inputs &amp; Drivers'!$B$68:$B$78))/12))</f>
        <v>511.51402478397654</v>
      </c>
      <c r="BZ37" s="342">
        <f>BY37*(1+(INDEX('Inputs &amp; Drivers'!$I$68:$I$78,MATCH(Model!BZ$4,'Inputs &amp; Drivers'!$B$68:$B$78))/12))</f>
        <v>512.7928098459364</v>
      </c>
      <c r="CA37" s="342">
        <f>BZ37*(1+(INDEX('Inputs &amp; Drivers'!$I$68:$I$78,MATCH(Model!CA$4,'Inputs &amp; Drivers'!$B$68:$B$78))/12))</f>
        <v>514.07479187055117</v>
      </c>
      <c r="CB37" s="342">
        <f>CA37*(1+(INDEX('Inputs &amp; Drivers'!$I$68:$I$78,MATCH(Model!CB$4,'Inputs &amp; Drivers'!$B$68:$B$78))/12))</f>
        <v>515.35997885022755</v>
      </c>
      <c r="CC37" s="342">
        <f>CB37*(1+(INDEX('Inputs &amp; Drivers'!$I$68:$I$78,MATCH(Model!CC$4,'Inputs &amp; Drivers'!$B$68:$B$78))/12))</f>
        <v>516.64837879735308</v>
      </c>
      <c r="CD37" s="342">
        <f>CC37*(1+(INDEX('Inputs &amp; Drivers'!$I$68:$I$78,MATCH(Model!CD$4,'Inputs &amp; Drivers'!$B$68:$B$78))/12))</f>
        <v>517.93999974434644</v>
      </c>
      <c r="CE37" s="342">
        <f>CD37*(1+(INDEX('Inputs &amp; Drivers'!$I$68:$I$78,MATCH(Model!CE$4,'Inputs &amp; Drivers'!$B$68:$B$78))/12))</f>
        <v>519.23484974370729</v>
      </c>
      <c r="CF37" s="342">
        <f>CE37*(1+(INDEX('Inputs &amp; Drivers'!$I$68:$I$78,MATCH(Model!CF$4,'Inputs &amp; Drivers'!$B$68:$B$78))/12))</f>
        <v>520.53293686806649</v>
      </c>
      <c r="CG37" s="342">
        <f>CF37*(1+(INDEX('Inputs &amp; Drivers'!$I$68:$I$78,MATCH(Model!CG$4,'Inputs &amp; Drivers'!$B$68:$B$78))/12))</f>
        <v>521.83426921023658</v>
      </c>
      <c r="CH37" s="342">
        <f>CG37*(1+(INDEX('Inputs &amp; Drivers'!$I$68:$I$78,MATCH(Model!CH$4,'Inputs &amp; Drivers'!$B$68:$B$78))/12))</f>
        <v>523.13885488326218</v>
      </c>
      <c r="CI37" s="342">
        <f>CH37*(1+(INDEX('Inputs &amp; Drivers'!$I$68:$I$78,MATCH(Model!CI$4,'Inputs &amp; Drivers'!$B$68:$B$78))/12))</f>
        <v>524.4467020204703</v>
      </c>
      <c r="CJ37" s="342">
        <f>CI37*(1+(INDEX('Inputs &amp; Drivers'!$I$68:$I$78,MATCH(Model!CJ$4,'Inputs &amp; Drivers'!$B$68:$B$78))/12))</f>
        <v>525.7578187755214</v>
      </c>
      <c r="CK37" s="342">
        <f>CJ37*(1+(INDEX('Inputs &amp; Drivers'!$I$68:$I$78,MATCH(Model!CK$4,'Inputs &amp; Drivers'!$B$68:$B$78))/12))</f>
        <v>527.07221332246013</v>
      </c>
      <c r="CL37" s="342">
        <f>CK37*(1+(INDEX('Inputs &amp; Drivers'!$I$68:$I$78,MATCH(Model!CL$4,'Inputs &amp; Drivers'!$B$68:$B$78))/12))</f>
        <v>528.38989385576622</v>
      </c>
      <c r="CM37" s="342">
        <f>CL37*(1+(INDEX('Inputs &amp; Drivers'!$I$68:$I$78,MATCH(Model!CM$4,'Inputs &amp; Drivers'!$B$68:$B$78))/12))</f>
        <v>529.71086859040565</v>
      </c>
      <c r="CN37" s="342">
        <f>CM37*(1+(INDEX('Inputs &amp; Drivers'!$I$68:$I$78,MATCH(Model!CN$4,'Inputs &amp; Drivers'!$B$68:$B$78))/12))</f>
        <v>531.03514576188161</v>
      </c>
      <c r="CO37" s="342">
        <f>CN37*(1+(INDEX('Inputs &amp; Drivers'!$I$68:$I$78,MATCH(Model!CO$4,'Inputs &amp; Drivers'!$B$68:$B$78))/12))</f>
        <v>532.36273362628629</v>
      </c>
      <c r="CP37" s="342">
        <f>CO37*(1+(INDEX('Inputs &amp; Drivers'!$I$68:$I$78,MATCH(Model!CP$4,'Inputs &amp; Drivers'!$B$68:$B$78))/12))</f>
        <v>533.69364046035196</v>
      </c>
      <c r="CQ37" s="342">
        <f>CP37*(1+(INDEX('Inputs &amp; Drivers'!$I$68:$I$78,MATCH(Model!CQ$4,'Inputs &amp; Drivers'!$B$68:$B$78))/12))</f>
        <v>535.02787456150281</v>
      </c>
      <c r="CR37" s="342">
        <f>CQ37*(1+(INDEX('Inputs &amp; Drivers'!$I$68:$I$78,MATCH(Model!CR$4,'Inputs &amp; Drivers'!$B$68:$B$78))/12))</f>
        <v>536.36544424790657</v>
      </c>
      <c r="CS37" s="342">
        <f>CR37*(1+(INDEX('Inputs &amp; Drivers'!$I$68:$I$78,MATCH(Model!CS$4,'Inputs &amp; Drivers'!$B$68:$B$78))/12))</f>
        <v>537.7063578585263</v>
      </c>
      <c r="CT37" s="342">
        <f>CS37*(1+(INDEX('Inputs &amp; Drivers'!$I$68:$I$78,MATCH(Model!CT$4,'Inputs &amp; Drivers'!$B$68:$B$78))/12))</f>
        <v>539.05062375317254</v>
      </c>
      <c r="CU37" s="342">
        <f>CT37*(1+(INDEX('Inputs &amp; Drivers'!$I$68:$I$78,MATCH(Model!CU$4,'Inputs &amp; Drivers'!$B$68:$B$78))/12))</f>
        <v>540.39825031255543</v>
      </c>
      <c r="CV37" s="342">
        <f>CU37*(1+(INDEX('Inputs &amp; Drivers'!$I$68:$I$78,MATCH(Model!CV$4,'Inputs &amp; Drivers'!$B$68:$B$78))/12))</f>
        <v>541.7492459383368</v>
      </c>
      <c r="CW37" s="342">
        <f>CV37*(1+(INDEX('Inputs &amp; Drivers'!$I$68:$I$78,MATCH(Model!CW$4,'Inputs &amp; Drivers'!$B$68:$B$78))/12))</f>
        <v>543.10361905318257</v>
      </c>
      <c r="CX37" s="342">
        <f>CW37*(1+(INDEX('Inputs &amp; Drivers'!$I$68:$I$78,MATCH(Model!CX$4,'Inputs &amp; Drivers'!$B$68:$B$78))/12))</f>
        <v>544.46137810081552</v>
      </c>
      <c r="CY37" s="342">
        <f>CX37*(1+(INDEX('Inputs &amp; Drivers'!$I$68:$I$78,MATCH(Model!CY$4,'Inputs &amp; Drivers'!$B$68:$B$78))/12))</f>
        <v>545.82253154606758</v>
      </c>
      <c r="CZ37" s="342">
        <f>CY37*(1+(INDEX('Inputs &amp; Drivers'!$I$68:$I$78,MATCH(Model!CZ$4,'Inputs &amp; Drivers'!$B$68:$B$78))/12))</f>
        <v>547.18708787493267</v>
      </c>
      <c r="DA37" s="342">
        <f>CZ37*(1+(INDEX('Inputs &amp; Drivers'!$I$68:$I$78,MATCH(Model!DA$4,'Inputs &amp; Drivers'!$B$68:$B$78))/12))</f>
        <v>548.55505559461994</v>
      </c>
      <c r="DB37" s="342">
        <f>DA37*(1+(INDEX('Inputs &amp; Drivers'!$I$68:$I$78,MATCH(Model!DB$4,'Inputs &amp; Drivers'!$B$68:$B$78))/12))</f>
        <v>549.92644323360651</v>
      </c>
      <c r="DC37" s="342">
        <f>DB37*(1+(INDEX('Inputs &amp; Drivers'!$I$68:$I$78,MATCH(Model!DC$4,'Inputs &amp; Drivers'!$B$68:$B$78))/12))</f>
        <v>551.30125934169052</v>
      </c>
      <c r="DD37" s="342">
        <f>DC37*(1+(INDEX('Inputs &amp; Drivers'!$I$68:$I$78,MATCH(Model!DD$4,'Inputs &amp; Drivers'!$B$68:$B$78))/12))</f>
        <v>552.67951249004477</v>
      </c>
      <c r="DE37" s="342">
        <f>DD37*(1+(INDEX('Inputs &amp; Drivers'!$I$68:$I$78,MATCH(Model!DE$4,'Inputs &amp; Drivers'!$B$68:$B$78))/12))</f>
        <v>554.06121127126983</v>
      </c>
      <c r="DF37" s="342">
        <f>DE37*(1+(INDEX('Inputs &amp; Drivers'!$I$68:$I$78,MATCH(Model!DF$4,'Inputs &amp; Drivers'!$B$68:$B$78))/12))</f>
        <v>555.44636429944796</v>
      </c>
      <c r="DG37" s="342">
        <f>DF37*(1+(INDEX('Inputs &amp; Drivers'!$I$68:$I$78,MATCH(Model!DG$4,'Inputs &amp; Drivers'!$B$68:$B$78))/12))</f>
        <v>556.83498021019659</v>
      </c>
      <c r="DH37" s="342">
        <f>DG37*(1+(INDEX('Inputs &amp; Drivers'!$I$68:$I$78,MATCH(Model!DH$4,'Inputs &amp; Drivers'!$B$68:$B$78))/12))</f>
        <v>558.22706766072201</v>
      </c>
      <c r="DI37" s="342">
        <f>DH37*(1+(INDEX('Inputs &amp; Drivers'!$I$68:$I$78,MATCH(Model!DI$4,'Inputs &amp; Drivers'!$B$68:$B$78))/12))</f>
        <v>559.62263532987379</v>
      </c>
      <c r="DJ37" s="342">
        <f>DI37*(1+(INDEX('Inputs &amp; Drivers'!$I$68:$I$78,MATCH(Model!DJ$4,'Inputs &amp; Drivers'!$B$68:$B$78))/12))</f>
        <v>561.02169191819848</v>
      </c>
      <c r="DK37" s="342">
        <f>DJ37*(1+(INDEX('Inputs &amp; Drivers'!$I$68:$I$78,MATCH(Model!DK$4,'Inputs &amp; Drivers'!$B$68:$B$78))/12))</f>
        <v>562.42424614799393</v>
      </c>
      <c r="DL37" s="342">
        <f>DK37*(1+(INDEX('Inputs &amp; Drivers'!$I$68:$I$78,MATCH(Model!DL$4,'Inputs &amp; Drivers'!$B$68:$B$78))/12))</f>
        <v>563.83030676336386</v>
      </c>
      <c r="DM37" s="342">
        <f>DL37*(1+(INDEX('Inputs &amp; Drivers'!$I$68:$I$78,MATCH(Model!DM$4,'Inputs &amp; Drivers'!$B$68:$B$78))/12))</f>
        <v>565.23988253027221</v>
      </c>
      <c r="DN37" s="342">
        <f>DM37*(1+(INDEX('Inputs &amp; Drivers'!$I$68:$I$78,MATCH(Model!DN$4,'Inputs &amp; Drivers'!$B$68:$B$78))/12))</f>
        <v>566.65298223659784</v>
      </c>
      <c r="DO37" s="342">
        <f>DN37*(1+(INDEX('Inputs &amp; Drivers'!$I$68:$I$78,MATCH(Model!DO$4,'Inputs &amp; Drivers'!$B$68:$B$78))/12))</f>
        <v>568.06961469218925</v>
      </c>
      <c r="DP37" s="342">
        <f>DO37*(1+(INDEX('Inputs &amp; Drivers'!$I$68:$I$78,MATCH(Model!DP$4,'Inputs &amp; Drivers'!$B$68:$B$78))/12))</f>
        <v>569.48978872891973</v>
      </c>
      <c r="DQ37" s="342">
        <f>DP37*(1+(INDEX('Inputs &amp; Drivers'!$I$68:$I$78,MATCH(Model!DQ$4,'Inputs &amp; Drivers'!$B$68:$B$78))/12))</f>
        <v>570.91351320074205</v>
      </c>
      <c r="DR37" s="342">
        <f>DQ37*(1+(INDEX('Inputs &amp; Drivers'!$I$68:$I$78,MATCH(Model!DR$4,'Inputs &amp; Drivers'!$B$68:$B$78))/12))</f>
        <v>572.34079698374387</v>
      </c>
      <c r="DS37" s="342">
        <f>DR37*(1+(INDEX('Inputs &amp; Drivers'!$I$68:$I$78,MATCH(Model!DS$4,'Inputs &amp; Drivers'!$B$68:$B$78))/12))</f>
        <v>573.77164897620321</v>
      </c>
      <c r="DT37" s="342">
        <f>DS37*(1+(INDEX('Inputs &amp; Drivers'!$I$68:$I$78,MATCH(Model!DT$4,'Inputs &amp; Drivers'!$B$68:$B$78))/12))</f>
        <v>575.20607809864373</v>
      </c>
      <c r="DU37" s="342">
        <f>DT37*(1+(INDEX('Inputs &amp; Drivers'!$I$68:$I$78,MATCH(Model!DU$4,'Inputs &amp; Drivers'!$B$68:$B$78))/12))</f>
        <v>576.64409329389036</v>
      </c>
      <c r="DV37" s="342">
        <f>DU37*(1+(INDEX('Inputs &amp; Drivers'!$I$68:$I$78,MATCH(Model!DV$4,'Inputs &amp; Drivers'!$B$68:$B$78))/12))</f>
        <v>578.08570352712502</v>
      </c>
      <c r="DW37" s="342">
        <f>DV37*(1+(INDEX('Inputs &amp; Drivers'!$I$68:$I$78,MATCH(Model!DW$4,'Inputs &amp; Drivers'!$B$68:$B$78))/12))</f>
        <v>579.53091778594285</v>
      </c>
      <c r="DX37" s="342">
        <f>DW37*(1+(INDEX('Inputs &amp; Drivers'!$I$68:$I$78,MATCH(Model!DX$4,'Inputs &amp; Drivers'!$B$68:$B$78))/12))</f>
        <v>580.97974508040772</v>
      </c>
      <c r="DY37" s="342">
        <f>DX37*(1+(INDEX('Inputs &amp; Drivers'!$I$68:$I$78,MATCH(Model!DY$4,'Inputs &amp; Drivers'!$B$68:$B$78))/12))</f>
        <v>582.43219444310876</v>
      </c>
      <c r="DZ37" s="342">
        <f>DY37*(1+(INDEX('Inputs &amp; Drivers'!$I$68:$I$78,MATCH(Model!DZ$4,'Inputs &amp; Drivers'!$B$68:$B$78))/12))</f>
        <v>583.88827492921655</v>
      </c>
      <c r="EA37" s="342">
        <f>DZ37*(1+(INDEX('Inputs &amp; Drivers'!$I$68:$I$78,MATCH(Model!EA$4,'Inputs &amp; Drivers'!$B$68:$B$78))/12))</f>
        <v>585.34799561653961</v>
      </c>
      <c r="EB37" s="342">
        <f>EA37*(1+(INDEX('Inputs &amp; Drivers'!$I$68:$I$78,MATCH(Model!EB$4,'Inputs &amp; Drivers'!$B$68:$B$78))/12))</f>
        <v>586.81136560558093</v>
      </c>
      <c r="EC37" s="342">
        <f>EB37*(1+(INDEX('Inputs &amp; Drivers'!$I$68:$I$78,MATCH(Model!EC$4,'Inputs &amp; Drivers'!$B$68:$B$78))/12))</f>
        <v>588.27839401959488</v>
      </c>
      <c r="ED37" s="342">
        <f>EC37*(1+(INDEX('Inputs &amp; Drivers'!$I$68:$I$78,MATCH(Model!ED$4,'Inputs &amp; Drivers'!$B$68:$B$78))/12))</f>
        <v>589.74909000464379</v>
      </c>
      <c r="EE37" s="342">
        <f>ED37*(1+(INDEX('Inputs &amp; Drivers'!$I$68:$I$78,MATCH(Model!EE$4,'Inputs &amp; Drivers'!$B$68:$B$78))/12))</f>
        <v>591.22346272965535</v>
      </c>
      <c r="EF37" s="342">
        <f>EE37*(1+(INDEX('Inputs &amp; Drivers'!$I$68:$I$78,MATCH(Model!EF$4,'Inputs &amp; Drivers'!$B$68:$B$78))/12))</f>
        <v>592.7015213864795</v>
      </c>
      <c r="EG37" s="342">
        <f>EF37*(1+(INDEX('Inputs &amp; Drivers'!$I$68:$I$78,MATCH(Model!EG$4,'Inputs &amp; Drivers'!$B$68:$B$78))/12))</f>
        <v>594.18327518994568</v>
      </c>
      <c r="EH37" s="342">
        <f>EG37*(1+(INDEX('Inputs &amp; Drivers'!$I$68:$I$78,MATCH(Model!EH$4,'Inputs &amp; Drivers'!$B$68:$B$78))/12))</f>
        <v>595.66873337792049</v>
      </c>
      <c r="EI37" s="342">
        <f>EH37*(1+(INDEX('Inputs &amp; Drivers'!$I$68:$I$78,MATCH(Model!EI$4,'Inputs &amp; Drivers'!$B$68:$B$78))/12))</f>
        <v>597.15790521136523</v>
      </c>
      <c r="EJ37" s="342">
        <f>EI37*(1+(INDEX('Inputs &amp; Drivers'!$I$68:$I$78,MATCH(Model!EJ$4,'Inputs &amp; Drivers'!$B$68:$B$78))/12))</f>
        <v>598.65079997439364</v>
      </c>
      <c r="EL37" s="12">
        <f t="shared" si="149"/>
        <v>448.10700000000003</v>
      </c>
      <c r="EM37" s="12">
        <f t="shared" si="149"/>
        <v>448.10700000000003</v>
      </c>
      <c r="EN37" s="12">
        <f t="shared" si="149"/>
        <v>457.15175107137077</v>
      </c>
      <c r="EO37" s="12">
        <f t="shared" si="149"/>
        <v>471.05645903489182</v>
      </c>
      <c r="EP37" s="12">
        <f t="shared" si="149"/>
        <v>485.38409199672606</v>
      </c>
      <c r="EQ37" s="12">
        <f t="shared" si="149"/>
        <v>500.14751362539999</v>
      </c>
      <c r="ER37" s="12">
        <f t="shared" si="149"/>
        <v>515.35997885022755</v>
      </c>
      <c r="ES37" s="12">
        <f t="shared" si="149"/>
        <v>531.03514576188161</v>
      </c>
      <c r="ET37" s="12">
        <f t="shared" si="149"/>
        <v>547.18708787493267</v>
      </c>
      <c r="EU37" s="12">
        <f t="shared" si="149"/>
        <v>563.83030676336386</v>
      </c>
      <c r="EV37" s="12">
        <f t="shared" si="149"/>
        <v>580.97974508040772</v>
      </c>
      <c r="EW37" s="12">
        <f t="shared" si="149"/>
        <v>598.65079997439364</v>
      </c>
    </row>
    <row r="38" spans="2:153" outlineLevel="1" x14ac:dyDescent="0.4">
      <c r="B38" s="1" t="s">
        <v>46</v>
      </c>
      <c r="H38" s="254">
        <f>'Inputs &amp; Drivers'!I55</f>
        <v>175</v>
      </c>
      <c r="I38" s="342">
        <f>H38*(1+(INDEX('Inputs &amp; Drivers'!$I$68:$I$78,MATCH(Model!I$4,'Inputs &amp; Drivers'!$B$68:$B$78))/12))</f>
        <v>175</v>
      </c>
      <c r="J38" s="342">
        <f>I38*(1+(INDEX('Inputs &amp; Drivers'!$I$68:$I$78,MATCH(Model!J$4,'Inputs &amp; Drivers'!$B$68:$B$78))/12))</f>
        <v>175</v>
      </c>
      <c r="K38" s="342">
        <f>J38*(1+(INDEX('Inputs &amp; Drivers'!$I$68:$I$78,MATCH(Model!K$4,'Inputs &amp; Drivers'!$B$68:$B$78))/12))</f>
        <v>175</v>
      </c>
      <c r="L38" s="342">
        <f>K38*(1+(INDEX('Inputs &amp; Drivers'!$I$68:$I$78,MATCH(Model!L$4,'Inputs &amp; Drivers'!$B$68:$B$78))/12))</f>
        <v>175</v>
      </c>
      <c r="M38" s="342">
        <f>L38*(1+(INDEX('Inputs &amp; Drivers'!$I$68:$I$78,MATCH(Model!M$4,'Inputs &amp; Drivers'!$B$68:$B$78))/12))</f>
        <v>175</v>
      </c>
      <c r="N38" s="342">
        <f>M38*(1+(INDEX('Inputs &amp; Drivers'!$I$68:$I$78,MATCH(Model!N$4,'Inputs &amp; Drivers'!$B$68:$B$78))/12))</f>
        <v>175</v>
      </c>
      <c r="O38" s="342">
        <f>N38*(1+(INDEX('Inputs &amp; Drivers'!$I$68:$I$78,MATCH(Model!O$4,'Inputs &amp; Drivers'!$B$68:$B$78))/12))</f>
        <v>175</v>
      </c>
      <c r="P38" s="342">
        <f>O38*(1+(INDEX('Inputs &amp; Drivers'!$I$68:$I$78,MATCH(Model!P$4,'Inputs &amp; Drivers'!$B$68:$B$78))/12))</f>
        <v>175</v>
      </c>
      <c r="Q38" s="342">
        <f>P38*(1+(INDEX('Inputs &amp; Drivers'!$I$68:$I$78,MATCH(Model!Q$4,'Inputs &amp; Drivers'!$B$68:$B$78))/12))</f>
        <v>175</v>
      </c>
      <c r="R38" s="342">
        <f>Q38*(1+(INDEX('Inputs &amp; Drivers'!$I$68:$I$78,MATCH(Model!R$4,'Inputs &amp; Drivers'!$B$68:$B$78))/12))</f>
        <v>175</v>
      </c>
      <c r="S38" s="342">
        <f>R38*(1+(INDEX('Inputs &amp; Drivers'!$I$68:$I$78,MATCH(Model!S$4,'Inputs &amp; Drivers'!$B$68:$B$78))/12))</f>
        <v>175</v>
      </c>
      <c r="T38" s="342">
        <f>S38*(1+(INDEX('Inputs &amp; Drivers'!$I$68:$I$78,MATCH(Model!T$4,'Inputs &amp; Drivers'!$B$68:$B$78))/12))</f>
        <v>175</v>
      </c>
      <c r="U38" s="342">
        <f>T38*(1+(INDEX('Inputs &amp; Drivers'!$I$68:$I$78,MATCH(Model!U$4,'Inputs &amp; Drivers'!$B$68:$B$78))/12))</f>
        <v>175.29166666666669</v>
      </c>
      <c r="V38" s="342">
        <f>U38*(1+(INDEX('Inputs &amp; Drivers'!$I$68:$I$78,MATCH(Model!V$4,'Inputs &amp; Drivers'!$B$68:$B$78))/12))</f>
        <v>175.58381944444446</v>
      </c>
      <c r="W38" s="342">
        <f>V38*(1+(INDEX('Inputs &amp; Drivers'!$I$68:$I$78,MATCH(Model!W$4,'Inputs &amp; Drivers'!$B$68:$B$78))/12))</f>
        <v>175.87645914351853</v>
      </c>
      <c r="X38" s="342">
        <f>W38*(1+(INDEX('Inputs &amp; Drivers'!$I$68:$I$78,MATCH(Model!X$4,'Inputs &amp; Drivers'!$B$68:$B$78))/12))</f>
        <v>176.1695865754244</v>
      </c>
      <c r="Y38" s="342">
        <f>X38*(1+(INDEX('Inputs &amp; Drivers'!$I$68:$I$78,MATCH(Model!Y$4,'Inputs &amp; Drivers'!$B$68:$B$78))/12))</f>
        <v>176.46320255305011</v>
      </c>
      <c r="Z38" s="342">
        <f>Y38*(1+(INDEX('Inputs &amp; Drivers'!$I$68:$I$78,MATCH(Model!Z$4,'Inputs &amp; Drivers'!$B$68:$B$78))/12))</f>
        <v>176.75730789063854</v>
      </c>
      <c r="AA38" s="342">
        <f>Z38*(1+(INDEX('Inputs &amp; Drivers'!$I$68:$I$78,MATCH(Model!AA$4,'Inputs &amp; Drivers'!$B$68:$B$78))/12))</f>
        <v>177.05190340378962</v>
      </c>
      <c r="AB38" s="342">
        <f>AA38*(1+(INDEX('Inputs &amp; Drivers'!$I$68:$I$78,MATCH(Model!AB$4,'Inputs &amp; Drivers'!$B$68:$B$78))/12))</f>
        <v>177.34698990946262</v>
      </c>
      <c r="AC38" s="342">
        <f>AB38*(1+(INDEX('Inputs &amp; Drivers'!$I$68:$I$78,MATCH(Model!AC$4,'Inputs &amp; Drivers'!$B$68:$B$78))/12))</f>
        <v>177.64256822597841</v>
      </c>
      <c r="AD38" s="342">
        <f>AC38*(1+(INDEX('Inputs &amp; Drivers'!$I$68:$I$78,MATCH(Model!AD$4,'Inputs &amp; Drivers'!$B$68:$B$78))/12))</f>
        <v>177.9386391730217</v>
      </c>
      <c r="AE38" s="342">
        <f>AD38*(1+(INDEX('Inputs &amp; Drivers'!$I$68:$I$78,MATCH(Model!AE$4,'Inputs &amp; Drivers'!$B$68:$B$78))/12))</f>
        <v>178.23520357164341</v>
      </c>
      <c r="AF38" s="342">
        <f>AE38*(1+(INDEX('Inputs &amp; Drivers'!$I$68:$I$78,MATCH(Model!AF$4,'Inputs &amp; Drivers'!$B$68:$B$78))/12))</f>
        <v>178.53226224426282</v>
      </c>
      <c r="AG38" s="342">
        <f>AF38*(1+(INDEX('Inputs &amp; Drivers'!$I$68:$I$78,MATCH(Model!AG$4,'Inputs &amp; Drivers'!$B$68:$B$78))/12))</f>
        <v>178.97859289987346</v>
      </c>
      <c r="AH38" s="342">
        <f>AG38*(1+(INDEX('Inputs &amp; Drivers'!$I$68:$I$78,MATCH(Model!AH$4,'Inputs &amp; Drivers'!$B$68:$B$78))/12))</f>
        <v>179.42603938212312</v>
      </c>
      <c r="AI38" s="342">
        <f>AH38*(1+(INDEX('Inputs &amp; Drivers'!$I$68:$I$78,MATCH(Model!AI$4,'Inputs &amp; Drivers'!$B$68:$B$78))/12))</f>
        <v>179.87460448057843</v>
      </c>
      <c r="AJ38" s="342">
        <f>AI38*(1+(INDEX('Inputs &amp; Drivers'!$I$68:$I$78,MATCH(Model!AJ$4,'Inputs &amp; Drivers'!$B$68:$B$78))/12))</f>
        <v>180.32429099177986</v>
      </c>
      <c r="AK38" s="342">
        <f>AJ38*(1+(INDEX('Inputs &amp; Drivers'!$I$68:$I$78,MATCH(Model!AK$4,'Inputs &amp; Drivers'!$B$68:$B$78))/12))</f>
        <v>180.77510171925931</v>
      </c>
      <c r="AL38" s="342">
        <f>AK38*(1+(INDEX('Inputs &amp; Drivers'!$I$68:$I$78,MATCH(Model!AL$4,'Inputs &amp; Drivers'!$B$68:$B$78))/12))</f>
        <v>181.22703947355745</v>
      </c>
      <c r="AM38" s="342">
        <f>AL38*(1+(INDEX('Inputs &amp; Drivers'!$I$68:$I$78,MATCH(Model!AM$4,'Inputs &amp; Drivers'!$B$68:$B$78))/12))</f>
        <v>181.68010707224133</v>
      </c>
      <c r="AN38" s="342">
        <f>AM38*(1+(INDEX('Inputs &amp; Drivers'!$I$68:$I$78,MATCH(Model!AN$4,'Inputs &amp; Drivers'!$B$68:$B$78))/12))</f>
        <v>182.13430733992192</v>
      </c>
      <c r="AO38" s="342">
        <f>AN38*(1+(INDEX('Inputs &amp; Drivers'!$I$68:$I$78,MATCH(Model!AO$4,'Inputs &amp; Drivers'!$B$68:$B$78))/12))</f>
        <v>182.5896431082717</v>
      </c>
      <c r="AP38" s="342">
        <f>AO38*(1+(INDEX('Inputs &amp; Drivers'!$I$68:$I$78,MATCH(Model!AP$4,'Inputs &amp; Drivers'!$B$68:$B$78))/12))</f>
        <v>183.04611721604238</v>
      </c>
      <c r="AQ38" s="342">
        <f>AP38*(1+(INDEX('Inputs &amp; Drivers'!$I$68:$I$78,MATCH(Model!AQ$4,'Inputs &amp; Drivers'!$B$68:$B$78))/12))</f>
        <v>183.50373250908248</v>
      </c>
      <c r="AR38" s="342">
        <f>AQ38*(1+(INDEX('Inputs &amp; Drivers'!$I$68:$I$78,MATCH(Model!AR$4,'Inputs &amp; Drivers'!$B$68:$B$78))/12))</f>
        <v>183.96249184035517</v>
      </c>
      <c r="AS38" s="342">
        <f>AR38*(1+(INDEX('Inputs &amp; Drivers'!$I$68:$I$78,MATCH(Model!AS$4,'Inputs &amp; Drivers'!$B$68:$B$78))/12))</f>
        <v>184.42239806995605</v>
      </c>
      <c r="AT38" s="342">
        <f>AS38*(1+(INDEX('Inputs &amp; Drivers'!$I$68:$I$78,MATCH(Model!AT$4,'Inputs &amp; Drivers'!$B$68:$B$78))/12))</f>
        <v>184.88345406513093</v>
      </c>
      <c r="AU38" s="342">
        <f>AT38*(1+(INDEX('Inputs &amp; Drivers'!$I$68:$I$78,MATCH(Model!AU$4,'Inputs &amp; Drivers'!$B$68:$B$78))/12))</f>
        <v>185.34566270029376</v>
      </c>
      <c r="AV38" s="342">
        <f>AU38*(1+(INDEX('Inputs &amp; Drivers'!$I$68:$I$78,MATCH(Model!AV$4,'Inputs &amp; Drivers'!$B$68:$B$78))/12))</f>
        <v>185.80902685704447</v>
      </c>
      <c r="AW38" s="342">
        <f>AV38*(1+(INDEX('Inputs &amp; Drivers'!$I$68:$I$78,MATCH(Model!AW$4,'Inputs &amp; Drivers'!$B$68:$B$78))/12))</f>
        <v>186.27354942418708</v>
      </c>
      <c r="AX38" s="342">
        <f>AW38*(1+(INDEX('Inputs &amp; Drivers'!$I$68:$I$78,MATCH(Model!AX$4,'Inputs &amp; Drivers'!$B$68:$B$78))/12))</f>
        <v>186.73923329774755</v>
      </c>
      <c r="AY38" s="342">
        <f>AX38*(1+(INDEX('Inputs &amp; Drivers'!$I$68:$I$78,MATCH(Model!AY$4,'Inputs &amp; Drivers'!$B$68:$B$78))/12))</f>
        <v>187.20608138099192</v>
      </c>
      <c r="AZ38" s="342">
        <f>AY38*(1+(INDEX('Inputs &amp; Drivers'!$I$68:$I$78,MATCH(Model!AZ$4,'Inputs &amp; Drivers'!$B$68:$B$78))/12))</f>
        <v>187.67409658444438</v>
      </c>
      <c r="BA38" s="342">
        <f>AZ38*(1+(INDEX('Inputs &amp; Drivers'!$I$68:$I$78,MATCH(Model!BA$4,'Inputs &amp; Drivers'!$B$68:$B$78))/12))</f>
        <v>188.14328182590549</v>
      </c>
      <c r="BB38" s="342">
        <f>BA38*(1+(INDEX('Inputs &amp; Drivers'!$I$68:$I$78,MATCH(Model!BB$4,'Inputs &amp; Drivers'!$B$68:$B$78))/12))</f>
        <v>188.61364003047024</v>
      </c>
      <c r="BC38" s="342">
        <f>BB38*(1+(INDEX('Inputs &amp; Drivers'!$I$68:$I$78,MATCH(Model!BC$4,'Inputs &amp; Drivers'!$B$68:$B$78))/12))</f>
        <v>189.08517413054639</v>
      </c>
      <c r="BD38" s="342">
        <f>BC38*(1+(INDEX('Inputs &amp; Drivers'!$I$68:$I$78,MATCH(Model!BD$4,'Inputs &amp; Drivers'!$B$68:$B$78))/12))</f>
        <v>189.55788706587273</v>
      </c>
      <c r="BE38" s="342">
        <f>BD38*(1+(INDEX('Inputs &amp; Drivers'!$I$68:$I$78,MATCH(Model!BE$4,'Inputs &amp; Drivers'!$B$68:$B$78))/12))</f>
        <v>190.03178178353741</v>
      </c>
      <c r="BF38" s="342">
        <f>BE38*(1+(INDEX('Inputs &amp; Drivers'!$I$68:$I$78,MATCH(Model!BF$4,'Inputs &amp; Drivers'!$B$68:$B$78))/12))</f>
        <v>190.50686123799625</v>
      </c>
      <c r="BG38" s="342">
        <f>BF38*(1+(INDEX('Inputs &amp; Drivers'!$I$68:$I$78,MATCH(Model!BG$4,'Inputs &amp; Drivers'!$B$68:$B$78))/12))</f>
        <v>190.98312839109124</v>
      </c>
      <c r="BH38" s="342">
        <f>BG38*(1+(INDEX('Inputs &amp; Drivers'!$I$68:$I$78,MATCH(Model!BH$4,'Inputs &amp; Drivers'!$B$68:$B$78))/12))</f>
        <v>191.46058621206896</v>
      </c>
      <c r="BI38" s="342">
        <f>BH38*(1+(INDEX('Inputs &amp; Drivers'!$I$68:$I$78,MATCH(Model!BI$4,'Inputs &amp; Drivers'!$B$68:$B$78))/12))</f>
        <v>191.93923767759912</v>
      </c>
      <c r="BJ38" s="342">
        <f>BI38*(1+(INDEX('Inputs &amp; Drivers'!$I$68:$I$78,MATCH(Model!BJ$4,'Inputs &amp; Drivers'!$B$68:$B$78))/12))</f>
        <v>192.41908577179311</v>
      </c>
      <c r="BK38" s="342">
        <f>BJ38*(1+(INDEX('Inputs &amp; Drivers'!$I$68:$I$78,MATCH(Model!BK$4,'Inputs &amp; Drivers'!$B$68:$B$78))/12))</f>
        <v>192.90013348622259</v>
      </c>
      <c r="BL38" s="342">
        <f>BK38*(1+(INDEX('Inputs &amp; Drivers'!$I$68:$I$78,MATCH(Model!BL$4,'Inputs &amp; Drivers'!$B$68:$B$78))/12))</f>
        <v>193.38238381993813</v>
      </c>
      <c r="BM38" s="342">
        <f>BL38*(1+(INDEX('Inputs &amp; Drivers'!$I$68:$I$78,MATCH(Model!BM$4,'Inputs &amp; Drivers'!$B$68:$B$78))/12))</f>
        <v>193.86583977948797</v>
      </c>
      <c r="BN38" s="342">
        <f>BM38*(1+(INDEX('Inputs &amp; Drivers'!$I$68:$I$78,MATCH(Model!BN$4,'Inputs &amp; Drivers'!$B$68:$B$78))/12))</f>
        <v>194.35050437893668</v>
      </c>
      <c r="BO38" s="342">
        <f>BN38*(1+(INDEX('Inputs &amp; Drivers'!$I$68:$I$78,MATCH(Model!BO$4,'Inputs &amp; Drivers'!$B$68:$B$78))/12))</f>
        <v>194.836380639884</v>
      </c>
      <c r="BP38" s="342">
        <f>BO38*(1+(INDEX('Inputs &amp; Drivers'!$I$68:$I$78,MATCH(Model!BP$4,'Inputs &amp; Drivers'!$B$68:$B$78))/12))</f>
        <v>195.3234715914837</v>
      </c>
      <c r="BQ38" s="342">
        <f>BP38*(1+(INDEX('Inputs &amp; Drivers'!$I$68:$I$78,MATCH(Model!BQ$4,'Inputs &amp; Drivers'!$B$68:$B$78))/12))</f>
        <v>195.81178027046241</v>
      </c>
      <c r="BR38" s="342">
        <f>BQ38*(1+(INDEX('Inputs &amp; Drivers'!$I$68:$I$78,MATCH(Model!BR$4,'Inputs &amp; Drivers'!$B$68:$B$78))/12))</f>
        <v>196.30130972113855</v>
      </c>
      <c r="BS38" s="342">
        <f>BR38*(1+(INDEX('Inputs &amp; Drivers'!$I$68:$I$78,MATCH(Model!BS$4,'Inputs &amp; Drivers'!$B$68:$B$78))/12))</f>
        <v>196.7920629954414</v>
      </c>
      <c r="BT38" s="342">
        <f>BS38*(1+(INDEX('Inputs &amp; Drivers'!$I$68:$I$78,MATCH(Model!BT$4,'Inputs &amp; Drivers'!$B$68:$B$78))/12))</f>
        <v>197.28404315293</v>
      </c>
      <c r="BU38" s="342">
        <f>BT38*(1+(INDEX('Inputs &amp; Drivers'!$I$68:$I$78,MATCH(Model!BU$4,'Inputs &amp; Drivers'!$B$68:$B$78))/12))</f>
        <v>197.7772532608123</v>
      </c>
      <c r="BV38" s="342">
        <f>BU38*(1+(INDEX('Inputs &amp; Drivers'!$I$68:$I$78,MATCH(Model!BV$4,'Inputs &amp; Drivers'!$B$68:$B$78))/12))</f>
        <v>198.27169639396433</v>
      </c>
      <c r="BW38" s="342">
        <f>BV38*(1+(INDEX('Inputs &amp; Drivers'!$I$68:$I$78,MATCH(Model!BW$4,'Inputs &amp; Drivers'!$B$68:$B$78))/12))</f>
        <v>198.76737563494925</v>
      </c>
      <c r="BX38" s="342">
        <f>BW38*(1+(INDEX('Inputs &amp; Drivers'!$I$68:$I$78,MATCH(Model!BX$4,'Inputs &amp; Drivers'!$B$68:$B$78))/12))</f>
        <v>199.2642940740366</v>
      </c>
      <c r="BY38" s="342">
        <f>BX38*(1+(INDEX('Inputs &amp; Drivers'!$I$68:$I$78,MATCH(Model!BY$4,'Inputs &amp; Drivers'!$B$68:$B$78))/12))</f>
        <v>199.76245480922168</v>
      </c>
      <c r="BZ38" s="342">
        <f>BY38*(1+(INDEX('Inputs &amp; Drivers'!$I$68:$I$78,MATCH(Model!BZ$4,'Inputs &amp; Drivers'!$B$68:$B$78))/12))</f>
        <v>200.26186094624472</v>
      </c>
      <c r="CA38" s="342">
        <f>BZ38*(1+(INDEX('Inputs &amp; Drivers'!$I$68:$I$78,MATCH(Model!CA$4,'Inputs &amp; Drivers'!$B$68:$B$78))/12))</f>
        <v>200.76251559861032</v>
      </c>
      <c r="CB38" s="342">
        <f>CA38*(1+(INDEX('Inputs &amp; Drivers'!$I$68:$I$78,MATCH(Model!CB$4,'Inputs &amp; Drivers'!$B$68:$B$78))/12))</f>
        <v>201.26442188760683</v>
      </c>
      <c r="CC38" s="342">
        <f>CB38*(1+(INDEX('Inputs &amp; Drivers'!$I$68:$I$78,MATCH(Model!CC$4,'Inputs &amp; Drivers'!$B$68:$B$78))/12))</f>
        <v>201.76758294232584</v>
      </c>
      <c r="CD38" s="342">
        <f>CC38*(1+(INDEX('Inputs &amp; Drivers'!$I$68:$I$78,MATCH(Model!CD$4,'Inputs &amp; Drivers'!$B$68:$B$78))/12))</f>
        <v>202.27200189968164</v>
      </c>
      <c r="CE38" s="342">
        <f>CD38*(1+(INDEX('Inputs &amp; Drivers'!$I$68:$I$78,MATCH(Model!CE$4,'Inputs &amp; Drivers'!$B$68:$B$78))/12))</f>
        <v>202.77768190443084</v>
      </c>
      <c r="CF38" s="342">
        <f>CE38*(1+(INDEX('Inputs &amp; Drivers'!$I$68:$I$78,MATCH(Model!CF$4,'Inputs &amp; Drivers'!$B$68:$B$78))/12))</f>
        <v>203.28462610919189</v>
      </c>
      <c r="CG38" s="342">
        <f>CF38*(1+(INDEX('Inputs &amp; Drivers'!$I$68:$I$78,MATCH(Model!CG$4,'Inputs &amp; Drivers'!$B$68:$B$78))/12))</f>
        <v>203.79283767446486</v>
      </c>
      <c r="CH38" s="342">
        <f>CG38*(1+(INDEX('Inputs &amp; Drivers'!$I$68:$I$78,MATCH(Model!CH$4,'Inputs &amp; Drivers'!$B$68:$B$78))/12))</f>
        <v>204.30231976865102</v>
      </c>
      <c r="CI38" s="342">
        <f>CH38*(1+(INDEX('Inputs &amp; Drivers'!$I$68:$I$78,MATCH(Model!CI$4,'Inputs &amp; Drivers'!$B$68:$B$78))/12))</f>
        <v>204.81307556807263</v>
      </c>
      <c r="CJ38" s="342">
        <f>CI38*(1+(INDEX('Inputs &amp; Drivers'!$I$68:$I$78,MATCH(Model!CJ$4,'Inputs &amp; Drivers'!$B$68:$B$78))/12))</f>
        <v>205.32510825699279</v>
      </c>
      <c r="CK38" s="342">
        <f>CJ38*(1+(INDEX('Inputs &amp; Drivers'!$I$68:$I$78,MATCH(Model!CK$4,'Inputs &amp; Drivers'!$B$68:$B$78))/12))</f>
        <v>205.83842102763526</v>
      </c>
      <c r="CL38" s="342">
        <f>CK38*(1+(INDEX('Inputs &amp; Drivers'!$I$68:$I$78,MATCH(Model!CL$4,'Inputs &amp; Drivers'!$B$68:$B$78))/12))</f>
        <v>206.35301708020435</v>
      </c>
      <c r="CM38" s="342">
        <f>CL38*(1+(INDEX('Inputs &amp; Drivers'!$I$68:$I$78,MATCH(Model!CM$4,'Inputs &amp; Drivers'!$B$68:$B$78))/12))</f>
        <v>206.86889962290485</v>
      </c>
      <c r="CN38" s="342">
        <f>CM38*(1+(INDEX('Inputs &amp; Drivers'!$I$68:$I$78,MATCH(Model!CN$4,'Inputs &amp; Drivers'!$B$68:$B$78))/12))</f>
        <v>207.38607187196209</v>
      </c>
      <c r="CO38" s="342">
        <f>CN38*(1+(INDEX('Inputs &amp; Drivers'!$I$68:$I$78,MATCH(Model!CO$4,'Inputs &amp; Drivers'!$B$68:$B$78))/12))</f>
        <v>207.904537051642</v>
      </c>
      <c r="CP38" s="342">
        <f>CO38*(1+(INDEX('Inputs &amp; Drivers'!$I$68:$I$78,MATCH(Model!CP$4,'Inputs &amp; Drivers'!$B$68:$B$78))/12))</f>
        <v>208.42429839427109</v>
      </c>
      <c r="CQ38" s="342">
        <f>CP38*(1+(INDEX('Inputs &amp; Drivers'!$I$68:$I$78,MATCH(Model!CQ$4,'Inputs &amp; Drivers'!$B$68:$B$78))/12))</f>
        <v>208.94535914025676</v>
      </c>
      <c r="CR38" s="342">
        <f>CQ38*(1+(INDEX('Inputs &amp; Drivers'!$I$68:$I$78,MATCH(Model!CR$4,'Inputs &amp; Drivers'!$B$68:$B$78))/12))</f>
        <v>209.46772253810738</v>
      </c>
      <c r="CS38" s="342">
        <f>CR38*(1+(INDEX('Inputs &amp; Drivers'!$I$68:$I$78,MATCH(Model!CS$4,'Inputs &amp; Drivers'!$B$68:$B$78))/12))</f>
        <v>209.99139184445264</v>
      </c>
      <c r="CT38" s="342">
        <f>CS38*(1+(INDEX('Inputs &amp; Drivers'!$I$68:$I$78,MATCH(Model!CT$4,'Inputs &amp; Drivers'!$B$68:$B$78))/12))</f>
        <v>210.51637032406376</v>
      </c>
      <c r="CU38" s="342">
        <f>CT38*(1+(INDEX('Inputs &amp; Drivers'!$I$68:$I$78,MATCH(Model!CU$4,'Inputs &amp; Drivers'!$B$68:$B$78))/12))</f>
        <v>211.0426612498739</v>
      </c>
      <c r="CV38" s="342">
        <f>CU38*(1+(INDEX('Inputs &amp; Drivers'!$I$68:$I$78,MATCH(Model!CV$4,'Inputs &amp; Drivers'!$B$68:$B$78))/12))</f>
        <v>211.57026790299858</v>
      </c>
      <c r="CW38" s="342">
        <f>CV38*(1+(INDEX('Inputs &amp; Drivers'!$I$68:$I$78,MATCH(Model!CW$4,'Inputs &amp; Drivers'!$B$68:$B$78))/12))</f>
        <v>212.09919357275606</v>
      </c>
      <c r="CX38" s="342">
        <f>CW38*(1+(INDEX('Inputs &amp; Drivers'!$I$68:$I$78,MATCH(Model!CX$4,'Inputs &amp; Drivers'!$B$68:$B$78))/12))</f>
        <v>212.62944155668794</v>
      </c>
      <c r="CY38" s="342">
        <f>CX38*(1+(INDEX('Inputs &amp; Drivers'!$I$68:$I$78,MATCH(Model!CY$4,'Inputs &amp; Drivers'!$B$68:$B$78))/12))</f>
        <v>213.16101516057964</v>
      </c>
      <c r="CZ38" s="342">
        <f>CY38*(1+(INDEX('Inputs &amp; Drivers'!$I$68:$I$78,MATCH(Model!CZ$4,'Inputs &amp; Drivers'!$B$68:$B$78))/12))</f>
        <v>213.69391769848107</v>
      </c>
      <c r="DA38" s="342">
        <f>CZ38*(1+(INDEX('Inputs &amp; Drivers'!$I$68:$I$78,MATCH(Model!DA$4,'Inputs &amp; Drivers'!$B$68:$B$78))/12))</f>
        <v>214.22815249272728</v>
      </c>
      <c r="DB38" s="342">
        <f>DA38*(1+(INDEX('Inputs &amp; Drivers'!$I$68:$I$78,MATCH(Model!DB$4,'Inputs &amp; Drivers'!$B$68:$B$78))/12))</f>
        <v>214.76372287395907</v>
      </c>
      <c r="DC38" s="342">
        <f>DB38*(1+(INDEX('Inputs &amp; Drivers'!$I$68:$I$78,MATCH(Model!DC$4,'Inputs &amp; Drivers'!$B$68:$B$78))/12))</f>
        <v>215.30063218114395</v>
      </c>
      <c r="DD38" s="342">
        <f>DC38*(1+(INDEX('Inputs &amp; Drivers'!$I$68:$I$78,MATCH(Model!DD$4,'Inputs &amp; Drivers'!$B$68:$B$78))/12))</f>
        <v>215.8388837615968</v>
      </c>
      <c r="DE38" s="342">
        <f>DD38*(1+(INDEX('Inputs &amp; Drivers'!$I$68:$I$78,MATCH(Model!DE$4,'Inputs &amp; Drivers'!$B$68:$B$78))/12))</f>
        <v>216.37848097100078</v>
      </c>
      <c r="DF38" s="342">
        <f>DE38*(1+(INDEX('Inputs &amp; Drivers'!$I$68:$I$78,MATCH(Model!DF$4,'Inputs &amp; Drivers'!$B$68:$B$78))/12))</f>
        <v>216.91942717342826</v>
      </c>
      <c r="DG38" s="342">
        <f>DF38*(1+(INDEX('Inputs &amp; Drivers'!$I$68:$I$78,MATCH(Model!DG$4,'Inputs &amp; Drivers'!$B$68:$B$78))/12))</f>
        <v>217.46172574136182</v>
      </c>
      <c r="DH38" s="342">
        <f>DG38*(1+(INDEX('Inputs &amp; Drivers'!$I$68:$I$78,MATCH(Model!DH$4,'Inputs &amp; Drivers'!$B$68:$B$78))/12))</f>
        <v>218.00538005571522</v>
      </c>
      <c r="DI38" s="342">
        <f>DH38*(1+(INDEX('Inputs &amp; Drivers'!$I$68:$I$78,MATCH(Model!DI$4,'Inputs &amp; Drivers'!$B$68:$B$78))/12))</f>
        <v>218.55039350585449</v>
      </c>
      <c r="DJ38" s="342">
        <f>DI38*(1+(INDEX('Inputs &amp; Drivers'!$I$68:$I$78,MATCH(Model!DJ$4,'Inputs &amp; Drivers'!$B$68:$B$78))/12))</f>
        <v>219.09676948961911</v>
      </c>
      <c r="DK38" s="342">
        <f>DJ38*(1+(INDEX('Inputs &amp; Drivers'!$I$68:$I$78,MATCH(Model!DK$4,'Inputs &amp; Drivers'!$B$68:$B$78))/12))</f>
        <v>219.64451141334314</v>
      </c>
      <c r="DL38" s="342">
        <f>DK38*(1+(INDEX('Inputs &amp; Drivers'!$I$68:$I$78,MATCH(Model!DL$4,'Inputs &amp; Drivers'!$B$68:$B$78))/12))</f>
        <v>220.1936226918765</v>
      </c>
      <c r="DM38" s="342">
        <f>DL38*(1+(INDEX('Inputs &amp; Drivers'!$I$68:$I$78,MATCH(Model!DM$4,'Inputs &amp; Drivers'!$B$68:$B$78))/12))</f>
        <v>220.74410674860619</v>
      </c>
      <c r="DN38" s="342">
        <f>DM38*(1+(INDEX('Inputs &amp; Drivers'!$I$68:$I$78,MATCH(Model!DN$4,'Inputs &amp; Drivers'!$B$68:$B$78))/12))</f>
        <v>221.29596701547769</v>
      </c>
      <c r="DO38" s="342">
        <f>DN38*(1+(INDEX('Inputs &amp; Drivers'!$I$68:$I$78,MATCH(Model!DO$4,'Inputs &amp; Drivers'!$B$68:$B$78))/12))</f>
        <v>221.84920693301638</v>
      </c>
      <c r="DP38" s="342">
        <f>DO38*(1+(INDEX('Inputs &amp; Drivers'!$I$68:$I$78,MATCH(Model!DP$4,'Inputs &amp; Drivers'!$B$68:$B$78))/12))</f>
        <v>222.40382995034889</v>
      </c>
      <c r="DQ38" s="342">
        <f>DP38*(1+(INDEX('Inputs &amp; Drivers'!$I$68:$I$78,MATCH(Model!DQ$4,'Inputs &amp; Drivers'!$B$68:$B$78))/12))</f>
        <v>222.95983952522477</v>
      </c>
      <c r="DR38" s="342">
        <f>DQ38*(1+(INDEX('Inputs &amp; Drivers'!$I$68:$I$78,MATCH(Model!DR$4,'Inputs &amp; Drivers'!$B$68:$B$78))/12))</f>
        <v>223.51723912403781</v>
      </c>
      <c r="DS38" s="342">
        <f>DR38*(1+(INDEX('Inputs &amp; Drivers'!$I$68:$I$78,MATCH(Model!DS$4,'Inputs &amp; Drivers'!$B$68:$B$78))/12))</f>
        <v>224.0760322218479</v>
      </c>
      <c r="DT38" s="342">
        <f>DS38*(1+(INDEX('Inputs &amp; Drivers'!$I$68:$I$78,MATCH(Model!DT$4,'Inputs &amp; Drivers'!$B$68:$B$78))/12))</f>
        <v>224.6362223024025</v>
      </c>
      <c r="DU38" s="342">
        <f>DT38*(1+(INDEX('Inputs &amp; Drivers'!$I$68:$I$78,MATCH(Model!DU$4,'Inputs &amp; Drivers'!$B$68:$B$78))/12))</f>
        <v>225.1978128581585</v>
      </c>
      <c r="DV38" s="342">
        <f>DU38*(1+(INDEX('Inputs &amp; Drivers'!$I$68:$I$78,MATCH(Model!DV$4,'Inputs &amp; Drivers'!$B$68:$B$78))/12))</f>
        <v>225.76080739030388</v>
      </c>
      <c r="DW38" s="342">
        <f>DV38*(1+(INDEX('Inputs &amp; Drivers'!$I$68:$I$78,MATCH(Model!DW$4,'Inputs &amp; Drivers'!$B$68:$B$78))/12))</f>
        <v>226.32520940877964</v>
      </c>
      <c r="DX38" s="342">
        <f>DW38*(1+(INDEX('Inputs &amp; Drivers'!$I$68:$I$78,MATCH(Model!DX$4,'Inputs &amp; Drivers'!$B$68:$B$78))/12))</f>
        <v>226.89102243230158</v>
      </c>
      <c r="DY38" s="342">
        <f>DX38*(1+(INDEX('Inputs &amp; Drivers'!$I$68:$I$78,MATCH(Model!DY$4,'Inputs &amp; Drivers'!$B$68:$B$78))/12))</f>
        <v>227.45824998838233</v>
      </c>
      <c r="DZ38" s="342">
        <f>DY38*(1+(INDEX('Inputs &amp; Drivers'!$I$68:$I$78,MATCH(Model!DZ$4,'Inputs &amp; Drivers'!$B$68:$B$78))/12))</f>
        <v>228.02689561335328</v>
      </c>
      <c r="EA38" s="342">
        <f>DZ38*(1+(INDEX('Inputs &amp; Drivers'!$I$68:$I$78,MATCH(Model!EA$4,'Inputs &amp; Drivers'!$B$68:$B$78))/12))</f>
        <v>228.59696285238664</v>
      </c>
      <c r="EB38" s="342">
        <f>EA38*(1+(INDEX('Inputs &amp; Drivers'!$I$68:$I$78,MATCH(Model!EB$4,'Inputs &amp; Drivers'!$B$68:$B$78))/12))</f>
        <v>229.1684552595176</v>
      </c>
      <c r="EC38" s="342">
        <f>EB38*(1+(INDEX('Inputs &amp; Drivers'!$I$68:$I$78,MATCH(Model!EC$4,'Inputs &amp; Drivers'!$B$68:$B$78))/12))</f>
        <v>229.74137639766639</v>
      </c>
      <c r="ED38" s="342">
        <f>EC38*(1+(INDEX('Inputs &amp; Drivers'!$I$68:$I$78,MATCH(Model!ED$4,'Inputs &amp; Drivers'!$B$68:$B$78))/12))</f>
        <v>230.31572983866053</v>
      </c>
      <c r="EE38" s="342">
        <f>ED38*(1+(INDEX('Inputs &amp; Drivers'!$I$68:$I$78,MATCH(Model!EE$4,'Inputs &amp; Drivers'!$B$68:$B$78))/12))</f>
        <v>230.89151916325716</v>
      </c>
      <c r="EF38" s="342">
        <f>EE38*(1+(INDEX('Inputs &amp; Drivers'!$I$68:$I$78,MATCH(Model!EF$4,'Inputs &amp; Drivers'!$B$68:$B$78))/12))</f>
        <v>231.46874796116529</v>
      </c>
      <c r="EG38" s="342">
        <f>EF38*(1+(INDEX('Inputs &amp; Drivers'!$I$68:$I$78,MATCH(Model!EG$4,'Inputs &amp; Drivers'!$B$68:$B$78))/12))</f>
        <v>232.0474198310682</v>
      </c>
      <c r="EH38" s="342">
        <f>EG38*(1+(INDEX('Inputs &amp; Drivers'!$I$68:$I$78,MATCH(Model!EH$4,'Inputs &amp; Drivers'!$B$68:$B$78))/12))</f>
        <v>232.62753838064586</v>
      </c>
      <c r="EI38" s="342">
        <f>EH38*(1+(INDEX('Inputs &amp; Drivers'!$I$68:$I$78,MATCH(Model!EI$4,'Inputs &amp; Drivers'!$B$68:$B$78))/12))</f>
        <v>233.20910722659747</v>
      </c>
      <c r="EJ38" s="342">
        <f>EI38*(1+(INDEX('Inputs &amp; Drivers'!$I$68:$I$78,MATCH(Model!EJ$4,'Inputs &amp; Drivers'!$B$68:$B$78))/12))</f>
        <v>233.79212999466395</v>
      </c>
      <c r="EL38" s="12">
        <f t="shared" si="149"/>
        <v>175</v>
      </c>
      <c r="EM38" s="12">
        <f t="shared" si="149"/>
        <v>175</v>
      </c>
      <c r="EN38" s="12">
        <f t="shared" si="149"/>
        <v>178.53226224426282</v>
      </c>
      <c r="EO38" s="12">
        <f t="shared" si="149"/>
        <v>183.96249184035517</v>
      </c>
      <c r="EP38" s="12">
        <f t="shared" si="149"/>
        <v>189.55788706587273</v>
      </c>
      <c r="EQ38" s="12">
        <f t="shared" si="149"/>
        <v>195.3234715914837</v>
      </c>
      <c r="ER38" s="12">
        <f t="shared" si="149"/>
        <v>201.26442188760683</v>
      </c>
      <c r="ES38" s="12">
        <f t="shared" si="149"/>
        <v>207.38607187196209</v>
      </c>
      <c r="ET38" s="12">
        <f t="shared" si="149"/>
        <v>213.69391769848107</v>
      </c>
      <c r="EU38" s="12">
        <f t="shared" si="149"/>
        <v>220.1936226918765</v>
      </c>
      <c r="EV38" s="12">
        <f t="shared" si="149"/>
        <v>226.89102243230158</v>
      </c>
      <c r="EW38" s="12">
        <f t="shared" si="149"/>
        <v>233.79212999466395</v>
      </c>
    </row>
    <row r="39" spans="2:153" outlineLevel="1" x14ac:dyDescent="0.4">
      <c r="B39" s="1" t="s">
        <v>47</v>
      </c>
      <c r="H39" s="254">
        <f>'Inputs &amp; Drivers'!I56</f>
        <v>2166.6666666666665</v>
      </c>
      <c r="I39" s="342">
        <f>H39*(1+(INDEX('Inputs &amp; Drivers'!$J$68:$J$78,MATCH(Model!I$4,'Inputs &amp; Drivers'!$B$68:$B$78))/12))</f>
        <v>2166.6666666666665</v>
      </c>
      <c r="J39" s="342">
        <f>I39*(1+(INDEX('Inputs &amp; Drivers'!$J$68:$J$78,MATCH(Model!J$4,'Inputs &amp; Drivers'!$B$68:$B$78))/12))</f>
        <v>2166.6666666666665</v>
      </c>
      <c r="K39" s="342">
        <f>J39*(1+(INDEX('Inputs &amp; Drivers'!$J$68:$J$78,MATCH(Model!K$4,'Inputs &amp; Drivers'!$B$68:$B$78))/12))</f>
        <v>2166.6666666666665</v>
      </c>
      <c r="L39" s="342">
        <f>K39*(1+(INDEX('Inputs &amp; Drivers'!$J$68:$J$78,MATCH(Model!L$4,'Inputs &amp; Drivers'!$B$68:$B$78))/12))</f>
        <v>2166.6666666666665</v>
      </c>
      <c r="M39" s="342">
        <f>L39*(1+(INDEX('Inputs &amp; Drivers'!$J$68:$J$78,MATCH(Model!M$4,'Inputs &amp; Drivers'!$B$68:$B$78))/12))</f>
        <v>2166.6666666666665</v>
      </c>
      <c r="N39" s="342">
        <f>M39*(1+(INDEX('Inputs &amp; Drivers'!$J$68:$J$78,MATCH(Model!N$4,'Inputs &amp; Drivers'!$B$68:$B$78))/12))</f>
        <v>2166.6666666666665</v>
      </c>
      <c r="O39" s="342">
        <f>N39*(1+(INDEX('Inputs &amp; Drivers'!$J$68:$J$78,MATCH(Model!O$4,'Inputs &amp; Drivers'!$B$68:$B$78))/12))</f>
        <v>2166.6666666666665</v>
      </c>
      <c r="P39" s="342">
        <f>O39*(1+(INDEX('Inputs &amp; Drivers'!$J$68:$J$78,MATCH(Model!P$4,'Inputs &amp; Drivers'!$B$68:$B$78))/12))</f>
        <v>2166.6666666666665</v>
      </c>
      <c r="Q39" s="342">
        <f>P39*(1+(INDEX('Inputs &amp; Drivers'!$J$68:$J$78,MATCH(Model!Q$4,'Inputs &amp; Drivers'!$B$68:$B$78))/12))</f>
        <v>2166.6666666666665</v>
      </c>
      <c r="R39" s="342">
        <f>Q39*(1+(INDEX('Inputs &amp; Drivers'!$J$68:$J$78,MATCH(Model!R$4,'Inputs &amp; Drivers'!$B$68:$B$78))/12))</f>
        <v>2166.6666666666665</v>
      </c>
      <c r="S39" s="342">
        <f>R39*(1+(INDEX('Inputs &amp; Drivers'!$J$68:$J$78,MATCH(Model!S$4,'Inputs &amp; Drivers'!$B$68:$B$78))/12))</f>
        <v>2166.6666666666665</v>
      </c>
      <c r="T39" s="342">
        <f>S39*(1+(INDEX('Inputs &amp; Drivers'!$J$68:$J$78,MATCH(Model!T$4,'Inputs &amp; Drivers'!$B$68:$B$78))/12))</f>
        <v>2166.6666666666665</v>
      </c>
      <c r="U39" s="342">
        <f>T39*(1+(INDEX('Inputs &amp; Drivers'!$J$68:$J$78,MATCH(Model!U$4,'Inputs &amp; Drivers'!$B$68:$B$78))/12))</f>
        <v>2170.2777777777778</v>
      </c>
      <c r="V39" s="342">
        <f>U39*(1+(INDEX('Inputs &amp; Drivers'!$J$68:$J$78,MATCH(Model!V$4,'Inputs &amp; Drivers'!$B$68:$B$78))/12))</f>
        <v>2173.8949074074076</v>
      </c>
      <c r="W39" s="342">
        <f>V39*(1+(INDEX('Inputs &amp; Drivers'!$J$68:$J$78,MATCH(Model!W$4,'Inputs &amp; Drivers'!$B$68:$B$78))/12))</f>
        <v>2177.5180655864201</v>
      </c>
      <c r="X39" s="342">
        <f>W39*(1+(INDEX('Inputs &amp; Drivers'!$J$68:$J$78,MATCH(Model!X$4,'Inputs &amp; Drivers'!$B$68:$B$78))/12))</f>
        <v>2181.1472623623977</v>
      </c>
      <c r="Y39" s="342">
        <f>X39*(1+(INDEX('Inputs &amp; Drivers'!$J$68:$J$78,MATCH(Model!Y$4,'Inputs &amp; Drivers'!$B$68:$B$78))/12))</f>
        <v>2184.7825077996686</v>
      </c>
      <c r="Z39" s="342">
        <f>Y39*(1+(INDEX('Inputs &amp; Drivers'!$J$68:$J$78,MATCH(Model!Z$4,'Inputs &amp; Drivers'!$B$68:$B$78))/12))</f>
        <v>2188.4238119793349</v>
      </c>
      <c r="AA39" s="342">
        <f>Z39*(1+(INDEX('Inputs &amp; Drivers'!$J$68:$J$78,MATCH(Model!AA$4,'Inputs &amp; Drivers'!$B$68:$B$78))/12))</f>
        <v>2192.0711849993004</v>
      </c>
      <c r="AB39" s="342">
        <f>AA39*(1+(INDEX('Inputs &amp; Drivers'!$J$68:$J$78,MATCH(Model!AB$4,'Inputs &amp; Drivers'!$B$68:$B$78))/12))</f>
        <v>2195.7246369742993</v>
      </c>
      <c r="AC39" s="342">
        <f>AB39*(1+(INDEX('Inputs &amp; Drivers'!$J$68:$J$78,MATCH(Model!AC$4,'Inputs &amp; Drivers'!$B$68:$B$78))/12))</f>
        <v>2199.384178035923</v>
      </c>
      <c r="AD39" s="342">
        <f>AC39*(1+(INDEX('Inputs &amp; Drivers'!$J$68:$J$78,MATCH(Model!AD$4,'Inputs &amp; Drivers'!$B$68:$B$78))/12))</f>
        <v>2203.0498183326495</v>
      </c>
      <c r="AE39" s="342">
        <f>AD39*(1+(INDEX('Inputs &amp; Drivers'!$J$68:$J$78,MATCH(Model!AE$4,'Inputs &amp; Drivers'!$B$68:$B$78))/12))</f>
        <v>2206.7215680298705</v>
      </c>
      <c r="AF39" s="342">
        <f>AE39*(1+(INDEX('Inputs &amp; Drivers'!$J$68:$J$78,MATCH(Model!AF$4,'Inputs &amp; Drivers'!$B$68:$B$78))/12))</f>
        <v>2210.3994373099204</v>
      </c>
      <c r="AG39" s="342">
        <f>AF39*(1+(INDEX('Inputs &amp; Drivers'!$J$68:$J$78,MATCH(Model!AG$4,'Inputs &amp; Drivers'!$B$68:$B$78))/12))</f>
        <v>2214.0834363721037</v>
      </c>
      <c r="AH39" s="342">
        <f>AG39*(1+(INDEX('Inputs &amp; Drivers'!$J$68:$J$78,MATCH(Model!AH$4,'Inputs &amp; Drivers'!$B$68:$B$78))/12))</f>
        <v>2217.7735754327241</v>
      </c>
      <c r="AI39" s="342">
        <f>AH39*(1+(INDEX('Inputs &amp; Drivers'!$J$68:$J$78,MATCH(Model!AI$4,'Inputs &amp; Drivers'!$B$68:$B$78))/12))</f>
        <v>2221.4698647251121</v>
      </c>
      <c r="AJ39" s="342">
        <f>AI39*(1+(INDEX('Inputs &amp; Drivers'!$J$68:$J$78,MATCH(Model!AJ$4,'Inputs &amp; Drivers'!$B$68:$B$78))/12))</f>
        <v>2225.172314499654</v>
      </c>
      <c r="AK39" s="342">
        <f>AJ39*(1+(INDEX('Inputs &amp; Drivers'!$J$68:$J$78,MATCH(Model!AK$4,'Inputs &amp; Drivers'!$B$68:$B$78))/12))</f>
        <v>2228.8809350238203</v>
      </c>
      <c r="AL39" s="342">
        <f>AK39*(1+(INDEX('Inputs &amp; Drivers'!$J$68:$J$78,MATCH(Model!AL$4,'Inputs &amp; Drivers'!$B$68:$B$78))/12))</f>
        <v>2232.5957365821932</v>
      </c>
      <c r="AM39" s="342">
        <f>AL39*(1+(INDEX('Inputs &amp; Drivers'!$J$68:$J$78,MATCH(Model!AM$4,'Inputs &amp; Drivers'!$B$68:$B$78))/12))</f>
        <v>2236.3167294764971</v>
      </c>
      <c r="AN39" s="342">
        <f>AM39*(1+(INDEX('Inputs &amp; Drivers'!$J$68:$J$78,MATCH(Model!AN$4,'Inputs &amp; Drivers'!$B$68:$B$78))/12))</f>
        <v>2240.0439240256246</v>
      </c>
      <c r="AO39" s="342">
        <f>AN39*(1+(INDEX('Inputs &amp; Drivers'!$J$68:$J$78,MATCH(Model!AO$4,'Inputs &amp; Drivers'!$B$68:$B$78))/12))</f>
        <v>2243.7773305656674</v>
      </c>
      <c r="AP39" s="342">
        <f>AO39*(1+(INDEX('Inputs &amp; Drivers'!$J$68:$J$78,MATCH(Model!AP$4,'Inputs &amp; Drivers'!$B$68:$B$78))/12))</f>
        <v>2247.5169594499434</v>
      </c>
      <c r="AQ39" s="342">
        <f>AP39*(1+(INDEX('Inputs &amp; Drivers'!$J$68:$J$78,MATCH(Model!AQ$4,'Inputs &amp; Drivers'!$B$68:$B$78))/12))</f>
        <v>2251.2628210490266</v>
      </c>
      <c r="AR39" s="342">
        <f>AQ39*(1+(INDEX('Inputs &amp; Drivers'!$J$68:$J$78,MATCH(Model!AR$4,'Inputs &amp; Drivers'!$B$68:$B$78))/12))</f>
        <v>2255.0149257507751</v>
      </c>
      <c r="AS39" s="342">
        <f>AR39*(1+(INDEX('Inputs &amp; Drivers'!$J$68:$J$78,MATCH(Model!AS$4,'Inputs &amp; Drivers'!$B$68:$B$78))/12))</f>
        <v>2258.77328396036</v>
      </c>
      <c r="AT39" s="342">
        <f>AS39*(1+(INDEX('Inputs &amp; Drivers'!$J$68:$J$78,MATCH(Model!AT$4,'Inputs &amp; Drivers'!$B$68:$B$78))/12))</f>
        <v>2262.5379061002941</v>
      </c>
      <c r="AU39" s="342">
        <f>AT39*(1+(INDEX('Inputs &amp; Drivers'!$J$68:$J$78,MATCH(Model!AU$4,'Inputs &amp; Drivers'!$B$68:$B$78))/12))</f>
        <v>2266.3088026104615</v>
      </c>
      <c r="AV39" s="342">
        <f>AU39*(1+(INDEX('Inputs &amp; Drivers'!$J$68:$J$78,MATCH(Model!AV$4,'Inputs &amp; Drivers'!$B$68:$B$78))/12))</f>
        <v>2270.0859839481459</v>
      </c>
      <c r="AW39" s="342">
        <f>AV39*(1+(INDEX('Inputs &amp; Drivers'!$J$68:$J$78,MATCH(Model!AW$4,'Inputs &amp; Drivers'!$B$68:$B$78))/12))</f>
        <v>2273.8694605880596</v>
      </c>
      <c r="AX39" s="342">
        <f>AW39*(1+(INDEX('Inputs &amp; Drivers'!$J$68:$J$78,MATCH(Model!AX$4,'Inputs &amp; Drivers'!$B$68:$B$78))/12))</f>
        <v>2277.6592430223732</v>
      </c>
      <c r="AY39" s="342">
        <f>AX39*(1+(INDEX('Inputs &amp; Drivers'!$J$68:$J$78,MATCH(Model!AY$4,'Inputs &amp; Drivers'!$B$68:$B$78))/12))</f>
        <v>2281.455341760744</v>
      </c>
      <c r="AZ39" s="342">
        <f>AY39*(1+(INDEX('Inputs &amp; Drivers'!$J$68:$J$78,MATCH(Model!AZ$4,'Inputs &amp; Drivers'!$B$68:$B$78))/12))</f>
        <v>2285.2577673303454</v>
      </c>
      <c r="BA39" s="342">
        <f>AZ39*(1+(INDEX('Inputs &amp; Drivers'!$J$68:$J$78,MATCH(Model!BA$4,'Inputs &amp; Drivers'!$B$68:$B$78))/12))</f>
        <v>2289.0665302758962</v>
      </c>
      <c r="BB39" s="342">
        <f>BA39*(1+(INDEX('Inputs &amp; Drivers'!$J$68:$J$78,MATCH(Model!BB$4,'Inputs &amp; Drivers'!$B$68:$B$78))/12))</f>
        <v>2292.8816411596895</v>
      </c>
      <c r="BC39" s="342">
        <f>BB39*(1+(INDEX('Inputs &amp; Drivers'!$J$68:$J$78,MATCH(Model!BC$4,'Inputs &amp; Drivers'!$B$68:$B$78))/12))</f>
        <v>2296.7031105616225</v>
      </c>
      <c r="BD39" s="342">
        <f>BC39*(1+(INDEX('Inputs &amp; Drivers'!$J$68:$J$78,MATCH(Model!BD$4,'Inputs &amp; Drivers'!$B$68:$B$78))/12))</f>
        <v>2300.5309490792251</v>
      </c>
      <c r="BE39" s="342">
        <f>BD39*(1+(INDEX('Inputs &amp; Drivers'!$J$68:$J$78,MATCH(Model!BE$4,'Inputs &amp; Drivers'!$B$68:$B$78))/12))</f>
        <v>2304.3651673276904</v>
      </c>
      <c r="BF39" s="342">
        <f>BE39*(1+(INDEX('Inputs &amp; Drivers'!$J$68:$J$78,MATCH(Model!BF$4,'Inputs &amp; Drivers'!$B$68:$B$78))/12))</f>
        <v>2308.2057759399031</v>
      </c>
      <c r="BG39" s="342">
        <f>BF39*(1+(INDEX('Inputs &amp; Drivers'!$J$68:$J$78,MATCH(Model!BG$4,'Inputs &amp; Drivers'!$B$68:$B$78))/12))</f>
        <v>2312.0527855664695</v>
      </c>
      <c r="BH39" s="342">
        <f>BG39*(1+(INDEX('Inputs &amp; Drivers'!$J$68:$J$78,MATCH(Model!BH$4,'Inputs &amp; Drivers'!$B$68:$B$78))/12))</f>
        <v>2315.9062068757471</v>
      </c>
      <c r="BI39" s="342">
        <f>BH39*(1+(INDEX('Inputs &amp; Drivers'!$J$68:$J$78,MATCH(Model!BI$4,'Inputs &amp; Drivers'!$B$68:$B$78))/12))</f>
        <v>2319.7660505538734</v>
      </c>
      <c r="BJ39" s="342">
        <f>BI39*(1+(INDEX('Inputs &amp; Drivers'!$J$68:$J$78,MATCH(Model!BJ$4,'Inputs &amp; Drivers'!$B$68:$B$78))/12))</f>
        <v>2323.6323273047965</v>
      </c>
      <c r="BK39" s="342">
        <f>BJ39*(1+(INDEX('Inputs &amp; Drivers'!$J$68:$J$78,MATCH(Model!BK$4,'Inputs &amp; Drivers'!$B$68:$B$78))/12))</f>
        <v>2327.5050478503044</v>
      </c>
      <c r="BL39" s="342">
        <f>BK39*(1+(INDEX('Inputs &amp; Drivers'!$J$68:$J$78,MATCH(Model!BL$4,'Inputs &amp; Drivers'!$B$68:$B$78))/12))</f>
        <v>2331.3842229300549</v>
      </c>
      <c r="BM39" s="342">
        <f>BL39*(1+(INDEX('Inputs &amp; Drivers'!$J$68:$J$78,MATCH(Model!BM$4,'Inputs &amp; Drivers'!$B$68:$B$78))/12))</f>
        <v>2335.2698633016053</v>
      </c>
      <c r="BN39" s="342">
        <f>BM39*(1+(INDEX('Inputs &amp; Drivers'!$J$68:$J$78,MATCH(Model!BN$4,'Inputs &amp; Drivers'!$B$68:$B$78))/12))</f>
        <v>2339.1619797404414</v>
      </c>
      <c r="BO39" s="342">
        <f>BN39*(1+(INDEX('Inputs &amp; Drivers'!$J$68:$J$78,MATCH(Model!BO$4,'Inputs &amp; Drivers'!$B$68:$B$78))/12))</f>
        <v>2343.0605830400091</v>
      </c>
      <c r="BP39" s="342">
        <f>BO39*(1+(INDEX('Inputs &amp; Drivers'!$J$68:$J$78,MATCH(Model!BP$4,'Inputs &amp; Drivers'!$B$68:$B$78))/12))</f>
        <v>2346.9656840117427</v>
      </c>
      <c r="BQ39" s="342">
        <f>BP39*(1+(INDEX('Inputs &amp; Drivers'!$J$68:$J$78,MATCH(Model!BQ$4,'Inputs &amp; Drivers'!$B$68:$B$78))/12))</f>
        <v>2350.8772934850958</v>
      </c>
      <c r="BR39" s="342">
        <f>BQ39*(1+(INDEX('Inputs &amp; Drivers'!$J$68:$J$78,MATCH(Model!BR$4,'Inputs &amp; Drivers'!$B$68:$B$78))/12))</f>
        <v>2354.7954223075712</v>
      </c>
      <c r="BS39" s="342">
        <f>BR39*(1+(INDEX('Inputs &amp; Drivers'!$J$68:$J$78,MATCH(Model!BS$4,'Inputs &amp; Drivers'!$B$68:$B$78))/12))</f>
        <v>2358.7200813447507</v>
      </c>
      <c r="BT39" s="342">
        <f>BS39*(1+(INDEX('Inputs &amp; Drivers'!$J$68:$J$78,MATCH(Model!BT$4,'Inputs &amp; Drivers'!$B$68:$B$78))/12))</f>
        <v>2362.6512814803255</v>
      </c>
      <c r="BU39" s="342">
        <f>BT39*(1+(INDEX('Inputs &amp; Drivers'!$J$68:$J$78,MATCH(Model!BU$4,'Inputs &amp; Drivers'!$B$68:$B$78))/12))</f>
        <v>2366.589033616126</v>
      </c>
      <c r="BV39" s="342">
        <f>BU39*(1+(INDEX('Inputs &amp; Drivers'!$J$68:$J$78,MATCH(Model!BV$4,'Inputs &amp; Drivers'!$B$68:$B$78))/12))</f>
        <v>2370.5333486721529</v>
      </c>
      <c r="BW39" s="342">
        <f>BV39*(1+(INDEX('Inputs &amp; Drivers'!$J$68:$J$78,MATCH(Model!BW$4,'Inputs &amp; Drivers'!$B$68:$B$78))/12))</f>
        <v>2374.4842375866065</v>
      </c>
      <c r="BX39" s="342">
        <f>BW39*(1+(INDEX('Inputs &amp; Drivers'!$J$68:$J$78,MATCH(Model!BX$4,'Inputs &amp; Drivers'!$B$68:$B$78))/12))</f>
        <v>2378.4417113159175</v>
      </c>
      <c r="BY39" s="342">
        <f>BX39*(1+(INDEX('Inputs &amp; Drivers'!$J$68:$J$78,MATCH(Model!BY$4,'Inputs &amp; Drivers'!$B$68:$B$78))/12))</f>
        <v>2382.4057808347775</v>
      </c>
      <c r="BZ39" s="342">
        <f>BY39*(1+(INDEX('Inputs &amp; Drivers'!$J$68:$J$78,MATCH(Model!BZ$4,'Inputs &amp; Drivers'!$B$68:$B$78))/12))</f>
        <v>2386.3764571361689</v>
      </c>
      <c r="CA39" s="342">
        <f>BZ39*(1+(INDEX('Inputs &amp; Drivers'!$J$68:$J$78,MATCH(Model!CA$4,'Inputs &amp; Drivers'!$B$68:$B$78))/12))</f>
        <v>2390.353751231396</v>
      </c>
      <c r="CB39" s="342">
        <f>CA39*(1+(INDEX('Inputs &amp; Drivers'!$J$68:$J$78,MATCH(Model!CB$4,'Inputs &amp; Drivers'!$B$68:$B$78))/12))</f>
        <v>2394.3376741501152</v>
      </c>
      <c r="CC39" s="342">
        <f>CB39*(1+(INDEX('Inputs &amp; Drivers'!$J$68:$J$78,MATCH(Model!CC$4,'Inputs &amp; Drivers'!$B$68:$B$78))/12))</f>
        <v>2398.3282369403655</v>
      </c>
      <c r="CD39" s="342">
        <f>CC39*(1+(INDEX('Inputs &amp; Drivers'!$J$68:$J$78,MATCH(Model!CD$4,'Inputs &amp; Drivers'!$B$68:$B$78))/12))</f>
        <v>2402.3254506685994</v>
      </c>
      <c r="CE39" s="342">
        <f>CD39*(1+(INDEX('Inputs &amp; Drivers'!$J$68:$J$78,MATCH(Model!CE$4,'Inputs &amp; Drivers'!$B$68:$B$78))/12))</f>
        <v>2406.3293264197137</v>
      </c>
      <c r="CF39" s="342">
        <f>CE39*(1+(INDEX('Inputs &amp; Drivers'!$J$68:$J$78,MATCH(Model!CF$4,'Inputs &amp; Drivers'!$B$68:$B$78))/12))</f>
        <v>2410.3398752970797</v>
      </c>
      <c r="CG39" s="342">
        <f>CF39*(1+(INDEX('Inputs &amp; Drivers'!$J$68:$J$78,MATCH(Model!CG$4,'Inputs &amp; Drivers'!$B$68:$B$78))/12))</f>
        <v>2414.357108422575</v>
      </c>
      <c r="CH39" s="342">
        <f>CG39*(1+(INDEX('Inputs &amp; Drivers'!$J$68:$J$78,MATCH(Model!CH$4,'Inputs &amp; Drivers'!$B$68:$B$78))/12))</f>
        <v>2418.3810369366129</v>
      </c>
      <c r="CI39" s="342">
        <f>CH39*(1+(INDEX('Inputs &amp; Drivers'!$J$68:$J$78,MATCH(Model!CI$4,'Inputs &amp; Drivers'!$B$68:$B$78))/12))</f>
        <v>2422.4116719981739</v>
      </c>
      <c r="CJ39" s="342">
        <f>CI39*(1+(INDEX('Inputs &amp; Drivers'!$J$68:$J$78,MATCH(Model!CJ$4,'Inputs &amp; Drivers'!$B$68:$B$78))/12))</f>
        <v>2426.4490247848375</v>
      </c>
      <c r="CK39" s="342">
        <f>CJ39*(1+(INDEX('Inputs &amp; Drivers'!$J$68:$J$78,MATCH(Model!CK$4,'Inputs &amp; Drivers'!$B$68:$B$78))/12))</f>
        <v>2430.4931064928123</v>
      </c>
      <c r="CL39" s="342">
        <f>CK39*(1+(INDEX('Inputs &amp; Drivers'!$J$68:$J$78,MATCH(Model!CL$4,'Inputs &amp; Drivers'!$B$68:$B$78))/12))</f>
        <v>2434.5439283369669</v>
      </c>
      <c r="CM39" s="342">
        <f>CL39*(1+(INDEX('Inputs &amp; Drivers'!$J$68:$J$78,MATCH(Model!CM$4,'Inputs &amp; Drivers'!$B$68:$B$78))/12))</f>
        <v>2438.6015015508619</v>
      </c>
      <c r="CN39" s="342">
        <f>CM39*(1+(INDEX('Inputs &amp; Drivers'!$J$68:$J$78,MATCH(Model!CN$4,'Inputs &amp; Drivers'!$B$68:$B$78))/12))</f>
        <v>2442.6658373867799</v>
      </c>
      <c r="CO39" s="342">
        <f>CN39*(1+(INDEX('Inputs &amp; Drivers'!$J$68:$J$78,MATCH(Model!CO$4,'Inputs &amp; Drivers'!$B$68:$B$78))/12))</f>
        <v>2446.7369471157581</v>
      </c>
      <c r="CP39" s="342">
        <f>CO39*(1+(INDEX('Inputs &amp; Drivers'!$J$68:$J$78,MATCH(Model!CP$4,'Inputs &amp; Drivers'!$B$68:$B$78))/12))</f>
        <v>2450.8148420276179</v>
      </c>
      <c r="CQ39" s="342">
        <f>CP39*(1+(INDEX('Inputs &amp; Drivers'!$J$68:$J$78,MATCH(Model!CQ$4,'Inputs &amp; Drivers'!$B$68:$B$78))/12))</f>
        <v>2454.8995334309975</v>
      </c>
      <c r="CR39" s="342">
        <f>CQ39*(1+(INDEX('Inputs &amp; Drivers'!$J$68:$J$78,MATCH(Model!CR$4,'Inputs &amp; Drivers'!$B$68:$B$78))/12))</f>
        <v>2458.9910326533827</v>
      </c>
      <c r="CS39" s="342">
        <f>CR39*(1+(INDEX('Inputs &amp; Drivers'!$J$68:$J$78,MATCH(Model!CS$4,'Inputs &amp; Drivers'!$B$68:$B$78))/12))</f>
        <v>2463.0893510411383</v>
      </c>
      <c r="CT39" s="342">
        <f>CS39*(1+(INDEX('Inputs &amp; Drivers'!$J$68:$J$78,MATCH(Model!CT$4,'Inputs &amp; Drivers'!$B$68:$B$78))/12))</f>
        <v>2467.1944999595403</v>
      </c>
      <c r="CU39" s="342">
        <f>CT39*(1+(INDEX('Inputs &amp; Drivers'!$J$68:$J$78,MATCH(Model!CU$4,'Inputs &amp; Drivers'!$B$68:$B$78))/12))</f>
        <v>2471.3064907928065</v>
      </c>
      <c r="CV39" s="342">
        <f>CU39*(1+(INDEX('Inputs &amp; Drivers'!$J$68:$J$78,MATCH(Model!CV$4,'Inputs &amp; Drivers'!$B$68:$B$78))/12))</f>
        <v>2475.4253349441278</v>
      </c>
      <c r="CW39" s="342">
        <f>CV39*(1+(INDEX('Inputs &amp; Drivers'!$J$68:$J$78,MATCH(Model!CW$4,'Inputs &amp; Drivers'!$B$68:$B$78))/12))</f>
        <v>2479.5510438357014</v>
      </c>
      <c r="CX39" s="342">
        <f>CW39*(1+(INDEX('Inputs &amp; Drivers'!$J$68:$J$78,MATCH(Model!CX$4,'Inputs &amp; Drivers'!$B$68:$B$78))/12))</f>
        <v>2483.683628908761</v>
      </c>
      <c r="CY39" s="342">
        <f>CX39*(1+(INDEX('Inputs &amp; Drivers'!$J$68:$J$78,MATCH(Model!CY$4,'Inputs &amp; Drivers'!$B$68:$B$78))/12))</f>
        <v>2487.8231016236091</v>
      </c>
      <c r="CZ39" s="342">
        <f>CY39*(1+(INDEX('Inputs &amp; Drivers'!$J$68:$J$78,MATCH(Model!CZ$4,'Inputs &amp; Drivers'!$B$68:$B$78))/12))</f>
        <v>2491.9694734596487</v>
      </c>
      <c r="DA39" s="342">
        <f>CZ39*(1+(INDEX('Inputs &amp; Drivers'!$J$68:$J$78,MATCH(Model!DA$4,'Inputs &amp; Drivers'!$B$68:$B$78))/12))</f>
        <v>2496.1227559154149</v>
      </c>
      <c r="DB39" s="342">
        <f>DA39*(1+(INDEX('Inputs &amp; Drivers'!$J$68:$J$78,MATCH(Model!DB$4,'Inputs &amp; Drivers'!$B$68:$B$78))/12))</f>
        <v>2500.2829605086072</v>
      </c>
      <c r="DC39" s="342">
        <f>DB39*(1+(INDEX('Inputs &amp; Drivers'!$J$68:$J$78,MATCH(Model!DC$4,'Inputs &amp; Drivers'!$B$68:$B$78))/12))</f>
        <v>2504.4500987761216</v>
      </c>
      <c r="DD39" s="342">
        <f>DC39*(1+(INDEX('Inputs &amp; Drivers'!$J$68:$J$78,MATCH(Model!DD$4,'Inputs &amp; Drivers'!$B$68:$B$78))/12))</f>
        <v>2508.6241822740822</v>
      </c>
      <c r="DE39" s="342">
        <f>DD39*(1+(INDEX('Inputs &amp; Drivers'!$J$68:$J$78,MATCH(Model!DE$4,'Inputs &amp; Drivers'!$B$68:$B$78))/12))</f>
        <v>2512.8052225778724</v>
      </c>
      <c r="DF39" s="342">
        <f>DE39*(1+(INDEX('Inputs &amp; Drivers'!$J$68:$J$78,MATCH(Model!DF$4,'Inputs &amp; Drivers'!$B$68:$B$78))/12))</f>
        <v>2516.9932312821688</v>
      </c>
      <c r="DG39" s="342">
        <f>DF39*(1+(INDEX('Inputs &amp; Drivers'!$J$68:$J$78,MATCH(Model!DG$4,'Inputs &amp; Drivers'!$B$68:$B$78))/12))</f>
        <v>2521.1882200009727</v>
      </c>
      <c r="DH39" s="342">
        <f>DG39*(1+(INDEX('Inputs &amp; Drivers'!$J$68:$J$78,MATCH(Model!DH$4,'Inputs &amp; Drivers'!$B$68:$B$78))/12))</f>
        <v>2525.3902003676412</v>
      </c>
      <c r="DI39" s="342">
        <f>DH39*(1+(INDEX('Inputs &amp; Drivers'!$J$68:$J$78,MATCH(Model!DI$4,'Inputs &amp; Drivers'!$B$68:$B$78))/12))</f>
        <v>2529.5991840349207</v>
      </c>
      <c r="DJ39" s="342">
        <f>DI39*(1+(INDEX('Inputs &amp; Drivers'!$J$68:$J$78,MATCH(Model!DJ$4,'Inputs &amp; Drivers'!$B$68:$B$78))/12))</f>
        <v>2533.815182674979</v>
      </c>
      <c r="DK39" s="342">
        <f>DJ39*(1+(INDEX('Inputs &amp; Drivers'!$J$68:$J$78,MATCH(Model!DK$4,'Inputs &amp; Drivers'!$B$68:$B$78))/12))</f>
        <v>2538.0382079794376</v>
      </c>
      <c r="DL39" s="342">
        <f>DK39*(1+(INDEX('Inputs &amp; Drivers'!$J$68:$J$78,MATCH(Model!DL$4,'Inputs &amp; Drivers'!$B$68:$B$78))/12))</f>
        <v>2542.2682716594036</v>
      </c>
      <c r="DM39" s="342">
        <f>DL39*(1+(INDEX('Inputs &amp; Drivers'!$J$68:$J$78,MATCH(Model!DM$4,'Inputs &amp; Drivers'!$B$68:$B$78))/12))</f>
        <v>2546.5053854455027</v>
      </c>
      <c r="DN39" s="342">
        <f>DM39*(1+(INDEX('Inputs &amp; Drivers'!$J$68:$J$78,MATCH(Model!DN$4,'Inputs &amp; Drivers'!$B$68:$B$78))/12))</f>
        <v>2550.7495610879118</v>
      </c>
      <c r="DO39" s="342">
        <f>DN39*(1+(INDEX('Inputs &amp; Drivers'!$J$68:$J$78,MATCH(Model!DO$4,'Inputs &amp; Drivers'!$B$68:$B$78))/12))</f>
        <v>2555.0008103563919</v>
      </c>
      <c r="DP39" s="342">
        <f>DO39*(1+(INDEX('Inputs &amp; Drivers'!$J$68:$J$78,MATCH(Model!DP$4,'Inputs &amp; Drivers'!$B$68:$B$78))/12))</f>
        <v>2559.2591450403193</v>
      </c>
      <c r="DQ39" s="342">
        <f>DP39*(1+(INDEX('Inputs &amp; Drivers'!$J$68:$J$78,MATCH(Model!DQ$4,'Inputs &amp; Drivers'!$B$68:$B$78))/12))</f>
        <v>2563.5245769487201</v>
      </c>
      <c r="DR39" s="342">
        <f>DQ39*(1+(INDEX('Inputs &amp; Drivers'!$J$68:$J$78,MATCH(Model!DR$4,'Inputs &amp; Drivers'!$B$68:$B$78))/12))</f>
        <v>2567.7971179103015</v>
      </c>
      <c r="DS39" s="342">
        <f>DR39*(1+(INDEX('Inputs &amp; Drivers'!$J$68:$J$78,MATCH(Model!DS$4,'Inputs &amp; Drivers'!$B$68:$B$78))/12))</f>
        <v>2572.0767797734852</v>
      </c>
      <c r="DT39" s="342">
        <f>DS39*(1+(INDEX('Inputs &amp; Drivers'!$J$68:$J$78,MATCH(Model!DT$4,'Inputs &amp; Drivers'!$B$68:$B$78))/12))</f>
        <v>2576.3635744064413</v>
      </c>
      <c r="DU39" s="342">
        <f>DT39*(1+(INDEX('Inputs &amp; Drivers'!$J$68:$J$78,MATCH(Model!DU$4,'Inputs &amp; Drivers'!$B$68:$B$78))/12))</f>
        <v>2580.6575136971187</v>
      </c>
      <c r="DV39" s="342">
        <f>DU39*(1+(INDEX('Inputs &amp; Drivers'!$J$68:$J$78,MATCH(Model!DV$4,'Inputs &amp; Drivers'!$B$68:$B$78))/12))</f>
        <v>2584.9586095532804</v>
      </c>
      <c r="DW39" s="342">
        <f>DV39*(1+(INDEX('Inputs &amp; Drivers'!$J$68:$J$78,MATCH(Model!DW$4,'Inputs &amp; Drivers'!$B$68:$B$78))/12))</f>
        <v>2589.2668739025362</v>
      </c>
      <c r="DX39" s="342">
        <f>DW39*(1+(INDEX('Inputs &amp; Drivers'!$J$68:$J$78,MATCH(Model!DX$4,'Inputs &amp; Drivers'!$B$68:$B$78))/12))</f>
        <v>2593.582318692374</v>
      </c>
      <c r="DY39" s="342">
        <f>DX39*(1+(INDEX('Inputs &amp; Drivers'!$J$68:$J$78,MATCH(Model!DY$4,'Inputs &amp; Drivers'!$B$68:$B$78))/12))</f>
        <v>2597.9049558901947</v>
      </c>
      <c r="DZ39" s="342">
        <f>DY39*(1+(INDEX('Inputs &amp; Drivers'!$J$68:$J$78,MATCH(Model!DZ$4,'Inputs &amp; Drivers'!$B$68:$B$78))/12))</f>
        <v>2602.2347974833451</v>
      </c>
      <c r="EA39" s="342">
        <f>DZ39*(1+(INDEX('Inputs &amp; Drivers'!$J$68:$J$78,MATCH(Model!EA$4,'Inputs &amp; Drivers'!$B$68:$B$78))/12))</f>
        <v>2606.5718554791506</v>
      </c>
      <c r="EB39" s="342">
        <f>EA39*(1+(INDEX('Inputs &amp; Drivers'!$J$68:$J$78,MATCH(Model!EB$4,'Inputs &amp; Drivers'!$B$68:$B$78))/12))</f>
        <v>2610.9161419049492</v>
      </c>
      <c r="EC39" s="342">
        <f>EB39*(1+(INDEX('Inputs &amp; Drivers'!$J$68:$J$78,MATCH(Model!EC$4,'Inputs &amp; Drivers'!$B$68:$B$78))/12))</f>
        <v>2615.2676688081242</v>
      </c>
      <c r="ED39" s="342">
        <f>EC39*(1+(INDEX('Inputs &amp; Drivers'!$J$68:$J$78,MATCH(Model!ED$4,'Inputs &amp; Drivers'!$B$68:$B$78))/12))</f>
        <v>2619.6264482561378</v>
      </c>
      <c r="EE39" s="342">
        <f>ED39*(1+(INDEX('Inputs &amp; Drivers'!$J$68:$J$78,MATCH(Model!EE$4,'Inputs &amp; Drivers'!$B$68:$B$78))/12))</f>
        <v>2623.9924923365647</v>
      </c>
      <c r="EF39" s="342">
        <f>EE39*(1+(INDEX('Inputs &amp; Drivers'!$J$68:$J$78,MATCH(Model!EF$4,'Inputs &amp; Drivers'!$B$68:$B$78))/12))</f>
        <v>2628.3658131571256</v>
      </c>
      <c r="EG39" s="342">
        <f>EF39*(1+(INDEX('Inputs &amp; Drivers'!$J$68:$J$78,MATCH(Model!EG$4,'Inputs &amp; Drivers'!$B$68:$B$78))/12))</f>
        <v>2632.7464228457206</v>
      </c>
      <c r="EH39" s="342">
        <f>EG39*(1+(INDEX('Inputs &amp; Drivers'!$J$68:$J$78,MATCH(Model!EH$4,'Inputs &amp; Drivers'!$B$68:$B$78))/12))</f>
        <v>2637.1343335504635</v>
      </c>
      <c r="EI39" s="342">
        <f>EH39*(1+(INDEX('Inputs &amp; Drivers'!$J$68:$J$78,MATCH(Model!EI$4,'Inputs &amp; Drivers'!$B$68:$B$78))/12))</f>
        <v>2641.5295574397142</v>
      </c>
      <c r="EJ39" s="342">
        <f>EI39*(1+(INDEX('Inputs &amp; Drivers'!$J$68:$J$78,MATCH(Model!EJ$4,'Inputs &amp; Drivers'!$B$68:$B$78))/12))</f>
        <v>2645.9321067021137</v>
      </c>
      <c r="EL39" s="12">
        <f t="shared" si="149"/>
        <v>2166.6666666666665</v>
      </c>
      <c r="EM39" s="12">
        <f t="shared" si="149"/>
        <v>2166.6666666666665</v>
      </c>
      <c r="EN39" s="12">
        <f t="shared" si="149"/>
        <v>2210.3994373099204</v>
      </c>
      <c r="EO39" s="12">
        <f t="shared" si="149"/>
        <v>2255.0149257507751</v>
      </c>
      <c r="EP39" s="12">
        <f t="shared" si="149"/>
        <v>2300.5309490792251</v>
      </c>
      <c r="EQ39" s="12">
        <f t="shared" si="149"/>
        <v>2346.9656840117427</v>
      </c>
      <c r="ER39" s="12">
        <f t="shared" si="149"/>
        <v>2394.3376741501152</v>
      </c>
      <c r="ES39" s="12">
        <f t="shared" si="149"/>
        <v>2442.6658373867799</v>
      </c>
      <c r="ET39" s="12">
        <f t="shared" si="149"/>
        <v>2491.9694734596487</v>
      </c>
      <c r="EU39" s="12">
        <f t="shared" si="149"/>
        <v>2542.2682716594036</v>
      </c>
      <c r="EV39" s="12">
        <f t="shared" si="149"/>
        <v>2593.582318692374</v>
      </c>
      <c r="EW39" s="12">
        <f t="shared" si="149"/>
        <v>2645.9321067021137</v>
      </c>
    </row>
    <row r="40" spans="2:153" outlineLevel="1" x14ac:dyDescent="0.4">
      <c r="B40" s="1" t="s">
        <v>48</v>
      </c>
      <c r="H40" s="254">
        <f>'Inputs &amp; Drivers'!I57</f>
        <v>275</v>
      </c>
      <c r="I40" s="342">
        <f>H40*(1+(INDEX('Inputs &amp; Drivers'!$I$68:$I$78,MATCH(Model!I$4,'Inputs &amp; Drivers'!$B$68:$B$78))/12))</f>
        <v>275</v>
      </c>
      <c r="J40" s="342">
        <f>I40*(1+(INDEX('Inputs &amp; Drivers'!$I$68:$I$78,MATCH(Model!J$4,'Inputs &amp; Drivers'!$B$68:$B$78))/12))</f>
        <v>275</v>
      </c>
      <c r="K40" s="342">
        <f>J40*(1+(INDEX('Inputs &amp; Drivers'!$I$68:$I$78,MATCH(Model!K$4,'Inputs &amp; Drivers'!$B$68:$B$78))/12))</f>
        <v>275</v>
      </c>
      <c r="L40" s="342">
        <f>K40*(1+(INDEX('Inputs &amp; Drivers'!$I$68:$I$78,MATCH(Model!L$4,'Inputs &amp; Drivers'!$B$68:$B$78))/12))</f>
        <v>275</v>
      </c>
      <c r="M40" s="342">
        <f>L40*(1+(INDEX('Inputs &amp; Drivers'!$I$68:$I$78,MATCH(Model!M$4,'Inputs &amp; Drivers'!$B$68:$B$78))/12))</f>
        <v>275</v>
      </c>
      <c r="N40" s="342">
        <f>M40*(1+(INDEX('Inputs &amp; Drivers'!$I$68:$I$78,MATCH(Model!N$4,'Inputs &amp; Drivers'!$B$68:$B$78))/12))</f>
        <v>275</v>
      </c>
      <c r="O40" s="342">
        <f>N40*(1+(INDEX('Inputs &amp; Drivers'!$I$68:$I$78,MATCH(Model!O$4,'Inputs &amp; Drivers'!$B$68:$B$78))/12))</f>
        <v>275</v>
      </c>
      <c r="P40" s="342">
        <f>O40*(1+(INDEX('Inputs &amp; Drivers'!$I$68:$I$78,MATCH(Model!P$4,'Inputs &amp; Drivers'!$B$68:$B$78))/12))</f>
        <v>275</v>
      </c>
      <c r="Q40" s="342">
        <f>P40*(1+(INDEX('Inputs &amp; Drivers'!$I$68:$I$78,MATCH(Model!Q$4,'Inputs &amp; Drivers'!$B$68:$B$78))/12))</f>
        <v>275</v>
      </c>
      <c r="R40" s="342">
        <f>Q40*(1+(INDEX('Inputs &amp; Drivers'!$I$68:$I$78,MATCH(Model!R$4,'Inputs &amp; Drivers'!$B$68:$B$78))/12))</f>
        <v>275</v>
      </c>
      <c r="S40" s="342">
        <f>R40*(1+(INDEX('Inputs &amp; Drivers'!$I$68:$I$78,MATCH(Model!S$4,'Inputs &amp; Drivers'!$B$68:$B$78))/12))</f>
        <v>275</v>
      </c>
      <c r="T40" s="342">
        <f>S40*(1+(INDEX('Inputs &amp; Drivers'!$I$68:$I$78,MATCH(Model!T$4,'Inputs &amp; Drivers'!$B$68:$B$78))/12))</f>
        <v>275</v>
      </c>
      <c r="U40" s="342">
        <f>T40*(1+(INDEX('Inputs &amp; Drivers'!$I$68:$I$78,MATCH(Model!U$4,'Inputs &amp; Drivers'!$B$68:$B$78))/12))</f>
        <v>275.45833333333337</v>
      </c>
      <c r="V40" s="342">
        <f>U40*(1+(INDEX('Inputs &amp; Drivers'!$I$68:$I$78,MATCH(Model!V$4,'Inputs &amp; Drivers'!$B$68:$B$78))/12))</f>
        <v>275.9174305555556</v>
      </c>
      <c r="W40" s="342">
        <f>V40*(1+(INDEX('Inputs &amp; Drivers'!$I$68:$I$78,MATCH(Model!W$4,'Inputs &amp; Drivers'!$B$68:$B$78))/12))</f>
        <v>276.37729293981488</v>
      </c>
      <c r="X40" s="342">
        <f>W40*(1+(INDEX('Inputs &amp; Drivers'!$I$68:$I$78,MATCH(Model!X$4,'Inputs &amp; Drivers'!$B$68:$B$78))/12))</f>
        <v>276.83792176138127</v>
      </c>
      <c r="Y40" s="342">
        <f>X40*(1+(INDEX('Inputs &amp; Drivers'!$I$68:$I$78,MATCH(Model!Y$4,'Inputs &amp; Drivers'!$B$68:$B$78))/12))</f>
        <v>277.29931829765025</v>
      </c>
      <c r="Z40" s="342">
        <f>Y40*(1+(INDEX('Inputs &amp; Drivers'!$I$68:$I$78,MATCH(Model!Z$4,'Inputs &amp; Drivers'!$B$68:$B$78))/12))</f>
        <v>277.76148382814637</v>
      </c>
      <c r="AA40" s="342">
        <f>Z40*(1+(INDEX('Inputs &amp; Drivers'!$I$68:$I$78,MATCH(Model!AA$4,'Inputs &amp; Drivers'!$B$68:$B$78))/12))</f>
        <v>278.22441963452661</v>
      </c>
      <c r="AB40" s="342">
        <f>AA40*(1+(INDEX('Inputs &amp; Drivers'!$I$68:$I$78,MATCH(Model!AB$4,'Inputs &amp; Drivers'!$B$68:$B$78))/12))</f>
        <v>278.68812700058419</v>
      </c>
      <c r="AC40" s="342">
        <f>AB40*(1+(INDEX('Inputs &amp; Drivers'!$I$68:$I$78,MATCH(Model!AC$4,'Inputs &amp; Drivers'!$B$68:$B$78))/12))</f>
        <v>279.15260721225184</v>
      </c>
      <c r="AD40" s="342">
        <f>AC40*(1+(INDEX('Inputs &amp; Drivers'!$I$68:$I$78,MATCH(Model!AD$4,'Inputs &amp; Drivers'!$B$68:$B$78))/12))</f>
        <v>279.61786155760558</v>
      </c>
      <c r="AE40" s="342">
        <f>AD40*(1+(INDEX('Inputs &amp; Drivers'!$I$68:$I$78,MATCH(Model!AE$4,'Inputs &amp; Drivers'!$B$68:$B$78))/12))</f>
        <v>280.08389132686824</v>
      </c>
      <c r="AF40" s="342">
        <f>AE40*(1+(INDEX('Inputs &amp; Drivers'!$I$68:$I$78,MATCH(Model!AF$4,'Inputs &amp; Drivers'!$B$68:$B$78))/12))</f>
        <v>280.55069781241303</v>
      </c>
      <c r="AG40" s="342">
        <f>AF40*(1+(INDEX('Inputs &amp; Drivers'!$I$68:$I$78,MATCH(Model!AG$4,'Inputs &amp; Drivers'!$B$68:$B$78))/12))</f>
        <v>281.25207455694402</v>
      </c>
      <c r="AH40" s="342">
        <f>AG40*(1+(INDEX('Inputs &amp; Drivers'!$I$68:$I$78,MATCH(Model!AH$4,'Inputs &amp; Drivers'!$B$68:$B$78))/12))</f>
        <v>281.95520474333637</v>
      </c>
      <c r="AI40" s="342">
        <f>AH40*(1+(INDEX('Inputs &amp; Drivers'!$I$68:$I$78,MATCH(Model!AI$4,'Inputs &amp; Drivers'!$B$68:$B$78))/12))</f>
        <v>282.66009275519468</v>
      </c>
      <c r="AJ40" s="342">
        <f>AI40*(1+(INDEX('Inputs &amp; Drivers'!$I$68:$I$78,MATCH(Model!AJ$4,'Inputs &amp; Drivers'!$B$68:$B$78))/12))</f>
        <v>283.36674298708266</v>
      </c>
      <c r="AK40" s="342">
        <f>AJ40*(1+(INDEX('Inputs &amp; Drivers'!$I$68:$I$78,MATCH(Model!AK$4,'Inputs &amp; Drivers'!$B$68:$B$78))/12))</f>
        <v>284.07515984455034</v>
      </c>
      <c r="AL40" s="342">
        <f>AK40*(1+(INDEX('Inputs &amp; Drivers'!$I$68:$I$78,MATCH(Model!AL$4,'Inputs &amp; Drivers'!$B$68:$B$78))/12))</f>
        <v>284.7853477441617</v>
      </c>
      <c r="AM40" s="342">
        <f>AL40*(1+(INDEX('Inputs &amp; Drivers'!$I$68:$I$78,MATCH(Model!AM$4,'Inputs &amp; Drivers'!$B$68:$B$78))/12))</f>
        <v>285.49731111352207</v>
      </c>
      <c r="AN40" s="342">
        <f>AM40*(1+(INDEX('Inputs &amp; Drivers'!$I$68:$I$78,MATCH(Model!AN$4,'Inputs &amp; Drivers'!$B$68:$B$78))/12))</f>
        <v>286.21105439130588</v>
      </c>
      <c r="AO40" s="342">
        <f>AN40*(1+(INDEX('Inputs &amp; Drivers'!$I$68:$I$78,MATCH(Model!AO$4,'Inputs &amp; Drivers'!$B$68:$B$78))/12))</f>
        <v>286.92658202728416</v>
      </c>
      <c r="AP40" s="342">
        <f>AO40*(1+(INDEX('Inputs &amp; Drivers'!$I$68:$I$78,MATCH(Model!AP$4,'Inputs &amp; Drivers'!$B$68:$B$78))/12))</f>
        <v>287.64389848235237</v>
      </c>
      <c r="AQ40" s="342">
        <f>AP40*(1+(INDEX('Inputs &amp; Drivers'!$I$68:$I$78,MATCH(Model!AQ$4,'Inputs &amp; Drivers'!$B$68:$B$78))/12))</f>
        <v>288.36300822855821</v>
      </c>
      <c r="AR40" s="342">
        <f>AQ40*(1+(INDEX('Inputs &amp; Drivers'!$I$68:$I$78,MATCH(Model!AR$4,'Inputs &amp; Drivers'!$B$68:$B$78))/12))</f>
        <v>289.08391574912957</v>
      </c>
      <c r="AS40" s="342">
        <f>AR40*(1+(INDEX('Inputs &amp; Drivers'!$I$68:$I$78,MATCH(Model!AS$4,'Inputs &amp; Drivers'!$B$68:$B$78))/12))</f>
        <v>289.80662553850237</v>
      </c>
      <c r="AT40" s="342">
        <f>AS40*(1+(INDEX('Inputs &amp; Drivers'!$I$68:$I$78,MATCH(Model!AT$4,'Inputs &amp; Drivers'!$B$68:$B$78))/12))</f>
        <v>290.53114210234861</v>
      </c>
      <c r="AU40" s="342">
        <f>AT40*(1+(INDEX('Inputs &amp; Drivers'!$I$68:$I$78,MATCH(Model!AU$4,'Inputs &amp; Drivers'!$B$68:$B$78))/12))</f>
        <v>291.25746995760448</v>
      </c>
      <c r="AV40" s="342">
        <f>AU40*(1+(INDEX('Inputs &amp; Drivers'!$I$68:$I$78,MATCH(Model!AV$4,'Inputs &amp; Drivers'!$B$68:$B$78))/12))</f>
        <v>291.98561363249848</v>
      </c>
      <c r="AW40" s="342">
        <f>AV40*(1+(INDEX('Inputs &amp; Drivers'!$I$68:$I$78,MATCH(Model!AW$4,'Inputs &amp; Drivers'!$B$68:$B$78))/12))</f>
        <v>292.71557766657969</v>
      </c>
      <c r="AX40" s="342">
        <f>AW40*(1+(INDEX('Inputs &amp; Drivers'!$I$68:$I$78,MATCH(Model!AX$4,'Inputs &amp; Drivers'!$B$68:$B$78))/12))</f>
        <v>293.44736661074614</v>
      </c>
      <c r="AY40" s="342">
        <f>AX40*(1+(INDEX('Inputs &amp; Drivers'!$I$68:$I$78,MATCH(Model!AY$4,'Inputs &amp; Drivers'!$B$68:$B$78))/12))</f>
        <v>294.18098502727298</v>
      </c>
      <c r="AZ40" s="342">
        <f>AY40*(1+(INDEX('Inputs &amp; Drivers'!$I$68:$I$78,MATCH(Model!AZ$4,'Inputs &amp; Drivers'!$B$68:$B$78))/12))</f>
        <v>294.91643748984114</v>
      </c>
      <c r="BA40" s="342">
        <f>AZ40*(1+(INDEX('Inputs &amp; Drivers'!$I$68:$I$78,MATCH(Model!BA$4,'Inputs &amp; Drivers'!$B$68:$B$78))/12))</f>
        <v>295.65372858356574</v>
      </c>
      <c r="BB40" s="342">
        <f>BA40*(1+(INDEX('Inputs &amp; Drivers'!$I$68:$I$78,MATCH(Model!BB$4,'Inputs &amp; Drivers'!$B$68:$B$78))/12))</f>
        <v>296.39286290502463</v>
      </c>
      <c r="BC40" s="342">
        <f>BB40*(1+(INDEX('Inputs &amp; Drivers'!$I$68:$I$78,MATCH(Model!BC$4,'Inputs &amp; Drivers'!$B$68:$B$78))/12))</f>
        <v>297.13384506228715</v>
      </c>
      <c r="BD40" s="342">
        <f>BC40*(1+(INDEX('Inputs &amp; Drivers'!$I$68:$I$78,MATCH(Model!BD$4,'Inputs &amp; Drivers'!$B$68:$B$78))/12))</f>
        <v>297.87667967494286</v>
      </c>
      <c r="BE40" s="342">
        <f>BD40*(1+(INDEX('Inputs &amp; Drivers'!$I$68:$I$78,MATCH(Model!BE$4,'Inputs &amp; Drivers'!$B$68:$B$78))/12))</f>
        <v>298.62137137413021</v>
      </c>
      <c r="BF40" s="342">
        <f>BE40*(1+(INDEX('Inputs &amp; Drivers'!$I$68:$I$78,MATCH(Model!BF$4,'Inputs &amp; Drivers'!$B$68:$B$78))/12))</f>
        <v>299.36792480256554</v>
      </c>
      <c r="BG40" s="342">
        <f>BF40*(1+(INDEX('Inputs &amp; Drivers'!$I$68:$I$78,MATCH(Model!BG$4,'Inputs &amp; Drivers'!$B$68:$B$78))/12))</f>
        <v>300.11634461457191</v>
      </c>
      <c r="BH40" s="342">
        <f>BG40*(1+(INDEX('Inputs &amp; Drivers'!$I$68:$I$78,MATCH(Model!BH$4,'Inputs &amp; Drivers'!$B$68:$B$78))/12))</f>
        <v>300.86663547610834</v>
      </c>
      <c r="BI40" s="342">
        <f>BH40*(1+(INDEX('Inputs &amp; Drivers'!$I$68:$I$78,MATCH(Model!BI$4,'Inputs &amp; Drivers'!$B$68:$B$78))/12))</f>
        <v>301.61880206479861</v>
      </c>
      <c r="BJ40" s="342">
        <f>BI40*(1+(INDEX('Inputs &amp; Drivers'!$I$68:$I$78,MATCH(Model!BJ$4,'Inputs &amp; Drivers'!$B$68:$B$78))/12))</f>
        <v>302.37284906996058</v>
      </c>
      <c r="BK40" s="342">
        <f>BJ40*(1+(INDEX('Inputs &amp; Drivers'!$I$68:$I$78,MATCH(Model!BK$4,'Inputs &amp; Drivers'!$B$68:$B$78))/12))</f>
        <v>303.12878119263547</v>
      </c>
      <c r="BL40" s="342">
        <f>BK40*(1+(INDEX('Inputs &amp; Drivers'!$I$68:$I$78,MATCH(Model!BL$4,'Inputs &amp; Drivers'!$B$68:$B$78))/12))</f>
        <v>303.88660314561702</v>
      </c>
      <c r="BM40" s="342">
        <f>BL40*(1+(INDEX('Inputs &amp; Drivers'!$I$68:$I$78,MATCH(Model!BM$4,'Inputs &amp; Drivers'!$B$68:$B$78))/12))</f>
        <v>304.64631965348104</v>
      </c>
      <c r="BN40" s="342">
        <f>BM40*(1+(INDEX('Inputs &amp; Drivers'!$I$68:$I$78,MATCH(Model!BN$4,'Inputs &amp; Drivers'!$B$68:$B$78))/12))</f>
        <v>305.40793545261471</v>
      </c>
      <c r="BO40" s="342">
        <f>BN40*(1+(INDEX('Inputs &amp; Drivers'!$I$68:$I$78,MATCH(Model!BO$4,'Inputs &amp; Drivers'!$B$68:$B$78))/12))</f>
        <v>306.17145529124622</v>
      </c>
      <c r="BP40" s="342">
        <f>BO40*(1+(INDEX('Inputs &amp; Drivers'!$I$68:$I$78,MATCH(Model!BP$4,'Inputs &amp; Drivers'!$B$68:$B$78))/12))</f>
        <v>306.93688392947433</v>
      </c>
      <c r="BQ40" s="342">
        <f>BP40*(1+(INDEX('Inputs &amp; Drivers'!$I$68:$I$78,MATCH(Model!BQ$4,'Inputs &amp; Drivers'!$B$68:$B$78))/12))</f>
        <v>307.70422613929799</v>
      </c>
      <c r="BR40" s="342">
        <f>BQ40*(1+(INDEX('Inputs &amp; Drivers'!$I$68:$I$78,MATCH(Model!BR$4,'Inputs &amp; Drivers'!$B$68:$B$78))/12))</f>
        <v>308.47348670464623</v>
      </c>
      <c r="BS40" s="342">
        <f>BR40*(1+(INDEX('Inputs &amp; Drivers'!$I$68:$I$78,MATCH(Model!BS$4,'Inputs &amp; Drivers'!$B$68:$B$78))/12))</f>
        <v>309.24467042140782</v>
      </c>
      <c r="BT40" s="342">
        <f>BS40*(1+(INDEX('Inputs &amp; Drivers'!$I$68:$I$78,MATCH(Model!BT$4,'Inputs &amp; Drivers'!$B$68:$B$78))/12))</f>
        <v>310.01778209746135</v>
      </c>
      <c r="BU40" s="342">
        <f>BT40*(1+(INDEX('Inputs &amp; Drivers'!$I$68:$I$78,MATCH(Model!BU$4,'Inputs &amp; Drivers'!$B$68:$B$78))/12))</f>
        <v>310.79282655270498</v>
      </c>
      <c r="BV40" s="342">
        <f>BU40*(1+(INDEX('Inputs &amp; Drivers'!$I$68:$I$78,MATCH(Model!BV$4,'Inputs &amp; Drivers'!$B$68:$B$78))/12))</f>
        <v>311.5698086190867</v>
      </c>
      <c r="BW40" s="342">
        <f>BV40*(1+(INDEX('Inputs &amp; Drivers'!$I$68:$I$78,MATCH(Model!BW$4,'Inputs &amp; Drivers'!$B$68:$B$78))/12))</f>
        <v>312.34873314063441</v>
      </c>
      <c r="BX40" s="342">
        <f>BW40*(1+(INDEX('Inputs &amp; Drivers'!$I$68:$I$78,MATCH(Model!BX$4,'Inputs &amp; Drivers'!$B$68:$B$78))/12))</f>
        <v>313.12960497348598</v>
      </c>
      <c r="BY40" s="342">
        <f>BX40*(1+(INDEX('Inputs &amp; Drivers'!$I$68:$I$78,MATCH(Model!BY$4,'Inputs &amp; Drivers'!$B$68:$B$78))/12))</f>
        <v>313.91242898591969</v>
      </c>
      <c r="BZ40" s="342">
        <f>BY40*(1+(INDEX('Inputs &amp; Drivers'!$I$68:$I$78,MATCH(Model!BZ$4,'Inputs &amp; Drivers'!$B$68:$B$78))/12))</f>
        <v>314.69721005838448</v>
      </c>
      <c r="CA40" s="342">
        <f>BZ40*(1+(INDEX('Inputs &amp; Drivers'!$I$68:$I$78,MATCH(Model!CA$4,'Inputs &amp; Drivers'!$B$68:$B$78))/12))</f>
        <v>315.48395308353042</v>
      </c>
      <c r="CB40" s="342">
        <f>CA40*(1+(INDEX('Inputs &amp; Drivers'!$I$68:$I$78,MATCH(Model!CB$4,'Inputs &amp; Drivers'!$B$68:$B$78))/12))</f>
        <v>316.27266296623924</v>
      </c>
      <c r="CC40" s="342">
        <f>CB40*(1+(INDEX('Inputs &amp; Drivers'!$I$68:$I$78,MATCH(Model!CC$4,'Inputs &amp; Drivers'!$B$68:$B$78))/12))</f>
        <v>317.06334462365481</v>
      </c>
      <c r="CD40" s="342">
        <f>CC40*(1+(INDEX('Inputs &amp; Drivers'!$I$68:$I$78,MATCH(Model!CD$4,'Inputs &amp; Drivers'!$B$68:$B$78))/12))</f>
        <v>317.85600298521393</v>
      </c>
      <c r="CE40" s="342">
        <f>CD40*(1+(INDEX('Inputs &amp; Drivers'!$I$68:$I$78,MATCH(Model!CE$4,'Inputs &amp; Drivers'!$B$68:$B$78))/12))</f>
        <v>318.65064299267698</v>
      </c>
      <c r="CF40" s="342">
        <f>CE40*(1+(INDEX('Inputs &amp; Drivers'!$I$68:$I$78,MATCH(Model!CF$4,'Inputs &amp; Drivers'!$B$68:$B$78))/12))</f>
        <v>319.44726960015868</v>
      </c>
      <c r="CG40" s="342">
        <f>CF40*(1+(INDEX('Inputs &amp; Drivers'!$I$68:$I$78,MATCH(Model!CG$4,'Inputs &amp; Drivers'!$B$68:$B$78))/12))</f>
        <v>320.24588777415903</v>
      </c>
      <c r="CH40" s="342">
        <f>CG40*(1+(INDEX('Inputs &amp; Drivers'!$I$68:$I$78,MATCH(Model!CH$4,'Inputs &amp; Drivers'!$B$68:$B$78))/12))</f>
        <v>321.0465024935944</v>
      </c>
      <c r="CI40" s="342">
        <f>CH40*(1+(INDEX('Inputs &amp; Drivers'!$I$68:$I$78,MATCH(Model!CI$4,'Inputs &amp; Drivers'!$B$68:$B$78))/12))</f>
        <v>321.84911874982839</v>
      </c>
      <c r="CJ40" s="342">
        <f>CI40*(1+(INDEX('Inputs &amp; Drivers'!$I$68:$I$78,MATCH(Model!CJ$4,'Inputs &amp; Drivers'!$B$68:$B$78))/12))</f>
        <v>322.65374154670292</v>
      </c>
      <c r="CK40" s="342">
        <f>CJ40*(1+(INDEX('Inputs &amp; Drivers'!$I$68:$I$78,MATCH(Model!CK$4,'Inputs &amp; Drivers'!$B$68:$B$78))/12))</f>
        <v>323.46037590056966</v>
      </c>
      <c r="CL40" s="342">
        <f>CK40*(1+(INDEX('Inputs &amp; Drivers'!$I$68:$I$78,MATCH(Model!CL$4,'Inputs &amp; Drivers'!$B$68:$B$78))/12))</f>
        <v>324.26902684032109</v>
      </c>
      <c r="CM40" s="342">
        <f>CL40*(1+(INDEX('Inputs &amp; Drivers'!$I$68:$I$78,MATCH(Model!CM$4,'Inputs &amp; Drivers'!$B$68:$B$78))/12))</f>
        <v>325.07969940742186</v>
      </c>
      <c r="CN40" s="342">
        <f>CM40*(1+(INDEX('Inputs &amp; Drivers'!$I$68:$I$78,MATCH(Model!CN$4,'Inputs &amp; Drivers'!$B$68:$B$78))/12))</f>
        <v>325.89239865594038</v>
      </c>
      <c r="CO40" s="342">
        <f>CN40*(1+(INDEX('Inputs &amp; Drivers'!$I$68:$I$78,MATCH(Model!CO$4,'Inputs &amp; Drivers'!$B$68:$B$78))/12))</f>
        <v>326.70712965258019</v>
      </c>
      <c r="CP40" s="342">
        <f>CO40*(1+(INDEX('Inputs &amp; Drivers'!$I$68:$I$78,MATCH(Model!CP$4,'Inputs &amp; Drivers'!$B$68:$B$78))/12))</f>
        <v>327.52389747671162</v>
      </c>
      <c r="CQ40" s="342">
        <f>CP40*(1+(INDEX('Inputs &amp; Drivers'!$I$68:$I$78,MATCH(Model!CQ$4,'Inputs &amp; Drivers'!$B$68:$B$78))/12))</f>
        <v>328.34270722040338</v>
      </c>
      <c r="CR40" s="342">
        <f>CQ40*(1+(INDEX('Inputs &amp; Drivers'!$I$68:$I$78,MATCH(Model!CR$4,'Inputs &amp; Drivers'!$B$68:$B$78))/12))</f>
        <v>329.16356398845437</v>
      </c>
      <c r="CS40" s="342">
        <f>CR40*(1+(INDEX('Inputs &amp; Drivers'!$I$68:$I$78,MATCH(Model!CS$4,'Inputs &amp; Drivers'!$B$68:$B$78))/12))</f>
        <v>329.98647289842546</v>
      </c>
      <c r="CT40" s="342">
        <f>CS40*(1+(INDEX('Inputs &amp; Drivers'!$I$68:$I$78,MATCH(Model!CT$4,'Inputs &amp; Drivers'!$B$68:$B$78))/12))</f>
        <v>330.81143908067151</v>
      </c>
      <c r="CU40" s="342">
        <f>CT40*(1+(INDEX('Inputs &amp; Drivers'!$I$68:$I$78,MATCH(Model!CU$4,'Inputs &amp; Drivers'!$B$68:$B$78))/12))</f>
        <v>331.63846767837316</v>
      </c>
      <c r="CV40" s="342">
        <f>CU40*(1+(INDEX('Inputs &amp; Drivers'!$I$68:$I$78,MATCH(Model!CV$4,'Inputs &amp; Drivers'!$B$68:$B$78))/12))</f>
        <v>332.46756384756907</v>
      </c>
      <c r="CW40" s="342">
        <f>CV40*(1+(INDEX('Inputs &amp; Drivers'!$I$68:$I$78,MATCH(Model!CW$4,'Inputs &amp; Drivers'!$B$68:$B$78))/12))</f>
        <v>333.29873275718796</v>
      </c>
      <c r="CX40" s="342">
        <f>CW40*(1+(INDEX('Inputs &amp; Drivers'!$I$68:$I$78,MATCH(Model!CX$4,'Inputs &amp; Drivers'!$B$68:$B$78))/12))</f>
        <v>334.13197958908091</v>
      </c>
      <c r="CY40" s="342">
        <f>CX40*(1+(INDEX('Inputs &amp; Drivers'!$I$68:$I$78,MATCH(Model!CY$4,'Inputs &amp; Drivers'!$B$68:$B$78))/12))</f>
        <v>334.9673095380536</v>
      </c>
      <c r="CZ40" s="342">
        <f>CY40*(1+(INDEX('Inputs &amp; Drivers'!$I$68:$I$78,MATCH(Model!CZ$4,'Inputs &amp; Drivers'!$B$68:$B$78))/12))</f>
        <v>335.80472781189872</v>
      </c>
      <c r="DA40" s="342">
        <f>CZ40*(1+(INDEX('Inputs &amp; Drivers'!$I$68:$I$78,MATCH(Model!DA$4,'Inputs &amp; Drivers'!$B$68:$B$78))/12))</f>
        <v>336.64423963142843</v>
      </c>
      <c r="DB40" s="342">
        <f>DA40*(1+(INDEX('Inputs &amp; Drivers'!$I$68:$I$78,MATCH(Model!DB$4,'Inputs &amp; Drivers'!$B$68:$B$78))/12))</f>
        <v>337.48585023050697</v>
      </c>
      <c r="DC40" s="342">
        <f>DB40*(1+(INDEX('Inputs &amp; Drivers'!$I$68:$I$78,MATCH(Model!DC$4,'Inputs &amp; Drivers'!$B$68:$B$78))/12))</f>
        <v>338.32956485608321</v>
      </c>
      <c r="DD40" s="342">
        <f>DC40*(1+(INDEX('Inputs &amp; Drivers'!$I$68:$I$78,MATCH(Model!DD$4,'Inputs &amp; Drivers'!$B$68:$B$78))/12))</f>
        <v>339.1753887682234</v>
      </c>
      <c r="DE40" s="342">
        <f>DD40*(1+(INDEX('Inputs &amp; Drivers'!$I$68:$I$78,MATCH(Model!DE$4,'Inputs &amp; Drivers'!$B$68:$B$78))/12))</f>
        <v>340.02332724014394</v>
      </c>
      <c r="DF40" s="342">
        <f>DE40*(1+(INDEX('Inputs &amp; Drivers'!$I$68:$I$78,MATCH(Model!DF$4,'Inputs &amp; Drivers'!$B$68:$B$78))/12))</f>
        <v>340.87338555824431</v>
      </c>
      <c r="DG40" s="342">
        <f>DF40*(1+(INDEX('Inputs &amp; Drivers'!$I$68:$I$78,MATCH(Model!DG$4,'Inputs &amp; Drivers'!$B$68:$B$78))/12))</f>
        <v>341.72556902213989</v>
      </c>
      <c r="DH40" s="342">
        <f>DG40*(1+(INDEX('Inputs &amp; Drivers'!$I$68:$I$78,MATCH(Model!DH$4,'Inputs &amp; Drivers'!$B$68:$B$78))/12))</f>
        <v>342.57988294469521</v>
      </c>
      <c r="DI40" s="342">
        <f>DH40*(1+(INDEX('Inputs &amp; Drivers'!$I$68:$I$78,MATCH(Model!DI$4,'Inputs &amp; Drivers'!$B$68:$B$78))/12))</f>
        <v>343.43633265205693</v>
      </c>
      <c r="DJ40" s="342">
        <f>DI40*(1+(INDEX('Inputs &amp; Drivers'!$I$68:$I$78,MATCH(Model!DJ$4,'Inputs &amp; Drivers'!$B$68:$B$78))/12))</f>
        <v>344.29492348368706</v>
      </c>
      <c r="DK40" s="342">
        <f>DJ40*(1+(INDEX('Inputs &amp; Drivers'!$I$68:$I$78,MATCH(Model!DK$4,'Inputs &amp; Drivers'!$B$68:$B$78))/12))</f>
        <v>345.15566079239625</v>
      </c>
      <c r="DL40" s="342">
        <f>DK40*(1+(INDEX('Inputs &amp; Drivers'!$I$68:$I$78,MATCH(Model!DL$4,'Inputs &amp; Drivers'!$B$68:$B$78))/12))</f>
        <v>346.01854994437724</v>
      </c>
      <c r="DM40" s="342">
        <f>DL40*(1+(INDEX('Inputs &amp; Drivers'!$I$68:$I$78,MATCH(Model!DM$4,'Inputs &amp; Drivers'!$B$68:$B$78))/12))</f>
        <v>346.88359631923817</v>
      </c>
      <c r="DN40" s="342">
        <f>DM40*(1+(INDEX('Inputs &amp; Drivers'!$I$68:$I$78,MATCH(Model!DN$4,'Inputs &amp; Drivers'!$B$68:$B$78))/12))</f>
        <v>347.75080531003624</v>
      </c>
      <c r="DO40" s="342">
        <f>DN40*(1+(INDEX('Inputs &amp; Drivers'!$I$68:$I$78,MATCH(Model!DO$4,'Inputs &amp; Drivers'!$B$68:$B$78))/12))</f>
        <v>348.62018232331133</v>
      </c>
      <c r="DP40" s="342">
        <f>DO40*(1+(INDEX('Inputs &amp; Drivers'!$I$68:$I$78,MATCH(Model!DP$4,'Inputs &amp; Drivers'!$B$68:$B$78))/12))</f>
        <v>349.49173277911956</v>
      </c>
      <c r="DQ40" s="342">
        <f>DP40*(1+(INDEX('Inputs &amp; Drivers'!$I$68:$I$78,MATCH(Model!DQ$4,'Inputs &amp; Drivers'!$B$68:$B$78))/12))</f>
        <v>350.36546211106736</v>
      </c>
      <c r="DR40" s="342">
        <f>DQ40*(1+(INDEX('Inputs &amp; Drivers'!$I$68:$I$78,MATCH(Model!DR$4,'Inputs &amp; Drivers'!$B$68:$B$78))/12))</f>
        <v>351.24137576634502</v>
      </c>
      <c r="DS40" s="342">
        <f>DR40*(1+(INDEX('Inputs &amp; Drivers'!$I$68:$I$78,MATCH(Model!DS$4,'Inputs &amp; Drivers'!$B$68:$B$78))/12))</f>
        <v>352.11947920576085</v>
      </c>
      <c r="DT40" s="342">
        <f>DS40*(1+(INDEX('Inputs &amp; Drivers'!$I$68:$I$78,MATCH(Model!DT$4,'Inputs &amp; Drivers'!$B$68:$B$78))/12))</f>
        <v>352.99977790377523</v>
      </c>
      <c r="DU40" s="342">
        <f>DT40*(1+(INDEX('Inputs &amp; Drivers'!$I$68:$I$78,MATCH(Model!DU$4,'Inputs &amp; Drivers'!$B$68:$B$78))/12))</f>
        <v>353.88227734853467</v>
      </c>
      <c r="DV40" s="342">
        <f>DU40*(1+(INDEX('Inputs &amp; Drivers'!$I$68:$I$78,MATCH(Model!DV$4,'Inputs &amp; Drivers'!$B$68:$B$78))/12))</f>
        <v>354.76698304190597</v>
      </c>
      <c r="DW40" s="342">
        <f>DV40*(1+(INDEX('Inputs &amp; Drivers'!$I$68:$I$78,MATCH(Model!DW$4,'Inputs &amp; Drivers'!$B$68:$B$78))/12))</f>
        <v>355.65390049951071</v>
      </c>
      <c r="DX40" s="342">
        <f>DW40*(1+(INDEX('Inputs &amp; Drivers'!$I$68:$I$78,MATCH(Model!DX$4,'Inputs &amp; Drivers'!$B$68:$B$78))/12))</f>
        <v>356.54303525075949</v>
      </c>
      <c r="DY40" s="342">
        <f>DX40*(1+(INDEX('Inputs &amp; Drivers'!$I$68:$I$78,MATCH(Model!DY$4,'Inputs &amp; Drivers'!$B$68:$B$78))/12))</f>
        <v>357.43439283888637</v>
      </c>
      <c r="DZ40" s="342">
        <f>DY40*(1+(INDEX('Inputs &amp; Drivers'!$I$68:$I$78,MATCH(Model!DZ$4,'Inputs &amp; Drivers'!$B$68:$B$78))/12))</f>
        <v>358.32797882098356</v>
      </c>
      <c r="EA40" s="342">
        <f>DZ40*(1+(INDEX('Inputs &amp; Drivers'!$I$68:$I$78,MATCH(Model!EA$4,'Inputs &amp; Drivers'!$B$68:$B$78))/12))</f>
        <v>359.22379876803598</v>
      </c>
      <c r="EB40" s="342">
        <f>EA40*(1+(INDEX('Inputs &amp; Drivers'!$I$68:$I$78,MATCH(Model!EB$4,'Inputs &amp; Drivers'!$B$68:$B$78))/12))</f>
        <v>360.12185826495607</v>
      </c>
      <c r="EC40" s="342">
        <f>EB40*(1+(INDEX('Inputs &amp; Drivers'!$I$68:$I$78,MATCH(Model!EC$4,'Inputs &amp; Drivers'!$B$68:$B$78))/12))</f>
        <v>361.02216291061842</v>
      </c>
      <c r="ED40" s="342">
        <f>EC40*(1+(INDEX('Inputs &amp; Drivers'!$I$68:$I$78,MATCH(Model!ED$4,'Inputs &amp; Drivers'!$B$68:$B$78))/12))</f>
        <v>361.92471831789493</v>
      </c>
      <c r="EE40" s="342">
        <f>ED40*(1+(INDEX('Inputs &amp; Drivers'!$I$68:$I$78,MATCH(Model!EE$4,'Inputs &amp; Drivers'!$B$68:$B$78))/12))</f>
        <v>362.82953011368966</v>
      </c>
      <c r="EF40" s="342">
        <f>EE40*(1+(INDEX('Inputs &amp; Drivers'!$I$68:$I$78,MATCH(Model!EF$4,'Inputs &amp; Drivers'!$B$68:$B$78))/12))</f>
        <v>363.73660393897387</v>
      </c>
      <c r="EG40" s="342">
        <f>EF40*(1+(INDEX('Inputs &amp; Drivers'!$I$68:$I$78,MATCH(Model!EG$4,'Inputs &amp; Drivers'!$B$68:$B$78))/12))</f>
        <v>364.64594544882129</v>
      </c>
      <c r="EH40" s="342">
        <f>EG40*(1+(INDEX('Inputs &amp; Drivers'!$I$68:$I$78,MATCH(Model!EH$4,'Inputs &amp; Drivers'!$B$68:$B$78))/12))</f>
        <v>365.55756031244334</v>
      </c>
      <c r="EI40" s="342">
        <f>EH40*(1+(INDEX('Inputs &amp; Drivers'!$I$68:$I$78,MATCH(Model!EI$4,'Inputs &amp; Drivers'!$B$68:$B$78))/12))</f>
        <v>366.47145421322443</v>
      </c>
      <c r="EJ40" s="342">
        <f>EI40*(1+(INDEX('Inputs &amp; Drivers'!$I$68:$I$78,MATCH(Model!EJ$4,'Inputs &amp; Drivers'!$B$68:$B$78))/12))</f>
        <v>367.38763284875745</v>
      </c>
      <c r="EL40" s="12">
        <f t="shared" si="149"/>
        <v>275</v>
      </c>
      <c r="EM40" s="12">
        <f t="shared" si="149"/>
        <v>275</v>
      </c>
      <c r="EN40" s="12">
        <f t="shared" si="149"/>
        <v>280.55069781241303</v>
      </c>
      <c r="EO40" s="12">
        <f t="shared" si="149"/>
        <v>289.08391574912957</v>
      </c>
      <c r="EP40" s="12">
        <f t="shared" si="149"/>
        <v>297.87667967494286</v>
      </c>
      <c r="EQ40" s="12">
        <f t="shared" si="149"/>
        <v>306.93688392947433</v>
      </c>
      <c r="ER40" s="12">
        <f t="shared" si="149"/>
        <v>316.27266296623924</v>
      </c>
      <c r="ES40" s="12">
        <f t="shared" si="149"/>
        <v>325.89239865594038</v>
      </c>
      <c r="ET40" s="12">
        <f t="shared" si="149"/>
        <v>335.80472781189872</v>
      </c>
      <c r="EU40" s="12">
        <f t="shared" si="149"/>
        <v>346.01854994437724</v>
      </c>
      <c r="EV40" s="12">
        <f t="shared" si="149"/>
        <v>356.54303525075949</v>
      </c>
      <c r="EW40" s="12">
        <f t="shared" si="149"/>
        <v>367.38763284875745</v>
      </c>
    </row>
    <row r="41" spans="2:153" outlineLevel="1" x14ac:dyDescent="0.4">
      <c r="B41" s="1" t="s">
        <v>53</v>
      </c>
      <c r="H41" s="257">
        <f>'Inputs &amp; Drivers'!I59</f>
        <v>150</v>
      </c>
      <c r="I41" s="343">
        <f>H41</f>
        <v>150</v>
      </c>
      <c r="J41" s="343">
        <f t="shared" ref="J41:BU41" si="150">I41</f>
        <v>150</v>
      </c>
      <c r="K41" s="343">
        <f t="shared" si="150"/>
        <v>150</v>
      </c>
      <c r="L41" s="343">
        <f t="shared" si="150"/>
        <v>150</v>
      </c>
      <c r="M41" s="343">
        <f t="shared" si="150"/>
        <v>150</v>
      </c>
      <c r="N41" s="343">
        <f t="shared" si="150"/>
        <v>150</v>
      </c>
      <c r="O41" s="343">
        <f t="shared" si="150"/>
        <v>150</v>
      </c>
      <c r="P41" s="343">
        <f t="shared" si="150"/>
        <v>150</v>
      </c>
      <c r="Q41" s="343">
        <f t="shared" si="150"/>
        <v>150</v>
      </c>
      <c r="R41" s="343">
        <f t="shared" si="150"/>
        <v>150</v>
      </c>
      <c r="S41" s="343">
        <f t="shared" si="150"/>
        <v>150</v>
      </c>
      <c r="T41" s="343">
        <f t="shared" si="150"/>
        <v>150</v>
      </c>
      <c r="U41" s="343">
        <f t="shared" si="150"/>
        <v>150</v>
      </c>
      <c r="V41" s="343">
        <f t="shared" si="150"/>
        <v>150</v>
      </c>
      <c r="W41" s="343">
        <f t="shared" si="150"/>
        <v>150</v>
      </c>
      <c r="X41" s="343">
        <f t="shared" si="150"/>
        <v>150</v>
      </c>
      <c r="Y41" s="343">
        <f t="shared" si="150"/>
        <v>150</v>
      </c>
      <c r="Z41" s="343">
        <f t="shared" si="150"/>
        <v>150</v>
      </c>
      <c r="AA41" s="343">
        <f t="shared" si="150"/>
        <v>150</v>
      </c>
      <c r="AB41" s="343">
        <f t="shared" si="150"/>
        <v>150</v>
      </c>
      <c r="AC41" s="343">
        <f t="shared" si="150"/>
        <v>150</v>
      </c>
      <c r="AD41" s="343">
        <f t="shared" si="150"/>
        <v>150</v>
      </c>
      <c r="AE41" s="343">
        <f t="shared" si="150"/>
        <v>150</v>
      </c>
      <c r="AF41" s="343">
        <f t="shared" si="150"/>
        <v>150</v>
      </c>
      <c r="AG41" s="343">
        <f t="shared" si="150"/>
        <v>150</v>
      </c>
      <c r="AH41" s="343">
        <f t="shared" si="150"/>
        <v>150</v>
      </c>
      <c r="AI41" s="343">
        <f t="shared" si="150"/>
        <v>150</v>
      </c>
      <c r="AJ41" s="343">
        <f t="shared" si="150"/>
        <v>150</v>
      </c>
      <c r="AK41" s="343">
        <f t="shared" si="150"/>
        <v>150</v>
      </c>
      <c r="AL41" s="343">
        <f t="shared" si="150"/>
        <v>150</v>
      </c>
      <c r="AM41" s="343">
        <f t="shared" si="150"/>
        <v>150</v>
      </c>
      <c r="AN41" s="343">
        <f t="shared" si="150"/>
        <v>150</v>
      </c>
      <c r="AO41" s="343">
        <f t="shared" si="150"/>
        <v>150</v>
      </c>
      <c r="AP41" s="343">
        <f t="shared" si="150"/>
        <v>150</v>
      </c>
      <c r="AQ41" s="343">
        <f t="shared" si="150"/>
        <v>150</v>
      </c>
      <c r="AR41" s="343">
        <f t="shared" si="150"/>
        <v>150</v>
      </c>
      <c r="AS41" s="343">
        <f t="shared" si="150"/>
        <v>150</v>
      </c>
      <c r="AT41" s="343">
        <f t="shared" si="150"/>
        <v>150</v>
      </c>
      <c r="AU41" s="343">
        <f t="shared" si="150"/>
        <v>150</v>
      </c>
      <c r="AV41" s="343">
        <f t="shared" si="150"/>
        <v>150</v>
      </c>
      <c r="AW41" s="343">
        <f t="shared" si="150"/>
        <v>150</v>
      </c>
      <c r="AX41" s="343">
        <f t="shared" si="150"/>
        <v>150</v>
      </c>
      <c r="AY41" s="343">
        <f t="shared" si="150"/>
        <v>150</v>
      </c>
      <c r="AZ41" s="343">
        <f t="shared" si="150"/>
        <v>150</v>
      </c>
      <c r="BA41" s="343">
        <f t="shared" si="150"/>
        <v>150</v>
      </c>
      <c r="BB41" s="343">
        <f t="shared" si="150"/>
        <v>150</v>
      </c>
      <c r="BC41" s="343">
        <f t="shared" si="150"/>
        <v>150</v>
      </c>
      <c r="BD41" s="343">
        <f t="shared" si="150"/>
        <v>150</v>
      </c>
      <c r="BE41" s="343">
        <f t="shared" si="150"/>
        <v>150</v>
      </c>
      <c r="BF41" s="343">
        <f t="shared" si="150"/>
        <v>150</v>
      </c>
      <c r="BG41" s="343">
        <f t="shared" si="150"/>
        <v>150</v>
      </c>
      <c r="BH41" s="343">
        <f t="shared" si="150"/>
        <v>150</v>
      </c>
      <c r="BI41" s="343">
        <f t="shared" si="150"/>
        <v>150</v>
      </c>
      <c r="BJ41" s="343">
        <f t="shared" si="150"/>
        <v>150</v>
      </c>
      <c r="BK41" s="343">
        <f t="shared" si="150"/>
        <v>150</v>
      </c>
      <c r="BL41" s="343">
        <f t="shared" si="150"/>
        <v>150</v>
      </c>
      <c r="BM41" s="343">
        <f t="shared" si="150"/>
        <v>150</v>
      </c>
      <c r="BN41" s="343">
        <f t="shared" si="150"/>
        <v>150</v>
      </c>
      <c r="BO41" s="343">
        <f t="shared" si="150"/>
        <v>150</v>
      </c>
      <c r="BP41" s="343">
        <f t="shared" si="150"/>
        <v>150</v>
      </c>
      <c r="BQ41" s="343">
        <f t="shared" si="150"/>
        <v>150</v>
      </c>
      <c r="BR41" s="343">
        <f t="shared" si="150"/>
        <v>150</v>
      </c>
      <c r="BS41" s="343">
        <f t="shared" si="150"/>
        <v>150</v>
      </c>
      <c r="BT41" s="343">
        <f t="shared" si="150"/>
        <v>150</v>
      </c>
      <c r="BU41" s="343">
        <f t="shared" si="150"/>
        <v>150</v>
      </c>
      <c r="BV41" s="343">
        <f t="shared" ref="BV41:EG41" si="151">BU41</f>
        <v>150</v>
      </c>
      <c r="BW41" s="343">
        <f t="shared" si="151"/>
        <v>150</v>
      </c>
      <c r="BX41" s="343">
        <f t="shared" si="151"/>
        <v>150</v>
      </c>
      <c r="BY41" s="343">
        <f t="shared" si="151"/>
        <v>150</v>
      </c>
      <c r="BZ41" s="343">
        <f t="shared" si="151"/>
        <v>150</v>
      </c>
      <c r="CA41" s="343">
        <f t="shared" si="151"/>
        <v>150</v>
      </c>
      <c r="CB41" s="343">
        <f t="shared" si="151"/>
        <v>150</v>
      </c>
      <c r="CC41" s="343">
        <f t="shared" si="151"/>
        <v>150</v>
      </c>
      <c r="CD41" s="343">
        <f t="shared" si="151"/>
        <v>150</v>
      </c>
      <c r="CE41" s="343">
        <f t="shared" si="151"/>
        <v>150</v>
      </c>
      <c r="CF41" s="343">
        <f t="shared" si="151"/>
        <v>150</v>
      </c>
      <c r="CG41" s="343">
        <f t="shared" si="151"/>
        <v>150</v>
      </c>
      <c r="CH41" s="343">
        <f t="shared" si="151"/>
        <v>150</v>
      </c>
      <c r="CI41" s="343">
        <f t="shared" si="151"/>
        <v>150</v>
      </c>
      <c r="CJ41" s="343">
        <f t="shared" si="151"/>
        <v>150</v>
      </c>
      <c r="CK41" s="343">
        <f t="shared" si="151"/>
        <v>150</v>
      </c>
      <c r="CL41" s="343">
        <f t="shared" si="151"/>
        <v>150</v>
      </c>
      <c r="CM41" s="343">
        <f t="shared" si="151"/>
        <v>150</v>
      </c>
      <c r="CN41" s="343">
        <f t="shared" si="151"/>
        <v>150</v>
      </c>
      <c r="CO41" s="343">
        <f t="shared" si="151"/>
        <v>150</v>
      </c>
      <c r="CP41" s="343">
        <f t="shared" si="151"/>
        <v>150</v>
      </c>
      <c r="CQ41" s="343">
        <f t="shared" si="151"/>
        <v>150</v>
      </c>
      <c r="CR41" s="343">
        <f t="shared" si="151"/>
        <v>150</v>
      </c>
      <c r="CS41" s="343">
        <f t="shared" si="151"/>
        <v>150</v>
      </c>
      <c r="CT41" s="343">
        <f t="shared" si="151"/>
        <v>150</v>
      </c>
      <c r="CU41" s="343">
        <f t="shared" si="151"/>
        <v>150</v>
      </c>
      <c r="CV41" s="343">
        <f t="shared" si="151"/>
        <v>150</v>
      </c>
      <c r="CW41" s="343">
        <f t="shared" si="151"/>
        <v>150</v>
      </c>
      <c r="CX41" s="343">
        <f t="shared" si="151"/>
        <v>150</v>
      </c>
      <c r="CY41" s="343">
        <f t="shared" si="151"/>
        <v>150</v>
      </c>
      <c r="CZ41" s="343">
        <f t="shared" si="151"/>
        <v>150</v>
      </c>
      <c r="DA41" s="343">
        <f t="shared" si="151"/>
        <v>150</v>
      </c>
      <c r="DB41" s="343">
        <f t="shared" si="151"/>
        <v>150</v>
      </c>
      <c r="DC41" s="343">
        <f t="shared" si="151"/>
        <v>150</v>
      </c>
      <c r="DD41" s="343">
        <f t="shared" si="151"/>
        <v>150</v>
      </c>
      <c r="DE41" s="343">
        <f t="shared" si="151"/>
        <v>150</v>
      </c>
      <c r="DF41" s="343">
        <f t="shared" si="151"/>
        <v>150</v>
      </c>
      <c r="DG41" s="343">
        <f t="shared" si="151"/>
        <v>150</v>
      </c>
      <c r="DH41" s="343">
        <f t="shared" si="151"/>
        <v>150</v>
      </c>
      <c r="DI41" s="343">
        <f t="shared" si="151"/>
        <v>150</v>
      </c>
      <c r="DJ41" s="343">
        <f t="shared" si="151"/>
        <v>150</v>
      </c>
      <c r="DK41" s="343">
        <f t="shared" si="151"/>
        <v>150</v>
      </c>
      <c r="DL41" s="343">
        <f t="shared" si="151"/>
        <v>150</v>
      </c>
      <c r="DM41" s="343">
        <f t="shared" si="151"/>
        <v>150</v>
      </c>
      <c r="DN41" s="343">
        <f t="shared" si="151"/>
        <v>150</v>
      </c>
      <c r="DO41" s="343">
        <f t="shared" si="151"/>
        <v>150</v>
      </c>
      <c r="DP41" s="343">
        <f t="shared" si="151"/>
        <v>150</v>
      </c>
      <c r="DQ41" s="343">
        <f t="shared" si="151"/>
        <v>150</v>
      </c>
      <c r="DR41" s="343">
        <f t="shared" si="151"/>
        <v>150</v>
      </c>
      <c r="DS41" s="343">
        <f t="shared" si="151"/>
        <v>150</v>
      </c>
      <c r="DT41" s="343">
        <f t="shared" si="151"/>
        <v>150</v>
      </c>
      <c r="DU41" s="343">
        <f t="shared" si="151"/>
        <v>150</v>
      </c>
      <c r="DV41" s="343">
        <f t="shared" si="151"/>
        <v>150</v>
      </c>
      <c r="DW41" s="343">
        <f t="shared" si="151"/>
        <v>150</v>
      </c>
      <c r="DX41" s="343">
        <f t="shared" si="151"/>
        <v>150</v>
      </c>
      <c r="DY41" s="343">
        <f t="shared" si="151"/>
        <v>150</v>
      </c>
      <c r="DZ41" s="343">
        <f t="shared" si="151"/>
        <v>150</v>
      </c>
      <c r="EA41" s="343">
        <f t="shared" si="151"/>
        <v>150</v>
      </c>
      <c r="EB41" s="343">
        <f t="shared" si="151"/>
        <v>150</v>
      </c>
      <c r="EC41" s="343">
        <f t="shared" si="151"/>
        <v>150</v>
      </c>
      <c r="ED41" s="343">
        <f t="shared" si="151"/>
        <v>150</v>
      </c>
      <c r="EE41" s="343">
        <f t="shared" si="151"/>
        <v>150</v>
      </c>
      <c r="EF41" s="343">
        <f t="shared" si="151"/>
        <v>150</v>
      </c>
      <c r="EG41" s="343">
        <f t="shared" si="151"/>
        <v>150</v>
      </c>
      <c r="EH41" s="343">
        <f>EG41</f>
        <v>150</v>
      </c>
      <c r="EI41" s="343">
        <f>EH41</f>
        <v>150</v>
      </c>
      <c r="EJ41" s="343">
        <f>EI41</f>
        <v>150</v>
      </c>
      <c r="EL41" s="12">
        <f t="shared" si="149"/>
        <v>150</v>
      </c>
      <c r="EM41" s="12">
        <f t="shared" si="149"/>
        <v>150</v>
      </c>
      <c r="EN41" s="12">
        <f t="shared" si="149"/>
        <v>150</v>
      </c>
      <c r="EO41" s="12">
        <f t="shared" si="149"/>
        <v>150</v>
      </c>
      <c r="EP41" s="12">
        <f t="shared" si="149"/>
        <v>150</v>
      </c>
      <c r="EQ41" s="12">
        <f t="shared" si="149"/>
        <v>150</v>
      </c>
      <c r="ER41" s="12">
        <f t="shared" si="149"/>
        <v>150</v>
      </c>
      <c r="ES41" s="12">
        <f t="shared" si="149"/>
        <v>150</v>
      </c>
      <c r="ET41" s="12">
        <f t="shared" si="149"/>
        <v>150</v>
      </c>
      <c r="EU41" s="12">
        <f t="shared" si="149"/>
        <v>150</v>
      </c>
      <c r="EV41" s="12">
        <f t="shared" si="149"/>
        <v>150</v>
      </c>
      <c r="EW41" s="12">
        <f t="shared" si="149"/>
        <v>150</v>
      </c>
    </row>
    <row r="42" spans="2:153" outlineLevel="1" x14ac:dyDescent="0.4"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  <c r="AO42" s="107"/>
      <c r="AP42" s="107"/>
      <c r="AQ42" s="107"/>
      <c r="AR42" s="107"/>
      <c r="AS42" s="107"/>
      <c r="AT42" s="107"/>
      <c r="AU42" s="107"/>
      <c r="AV42" s="107"/>
      <c r="AW42" s="107"/>
      <c r="AX42" s="107"/>
      <c r="AY42" s="107"/>
      <c r="AZ42" s="107"/>
      <c r="BA42" s="107"/>
      <c r="BB42" s="107"/>
      <c r="BC42" s="107"/>
      <c r="BD42" s="107"/>
      <c r="BE42" s="107"/>
      <c r="BF42" s="107"/>
      <c r="BG42" s="107"/>
      <c r="BH42" s="107"/>
      <c r="BI42" s="107"/>
      <c r="BJ42" s="107"/>
      <c r="BK42" s="107"/>
      <c r="BL42" s="107"/>
      <c r="BM42" s="107"/>
      <c r="BN42" s="107"/>
      <c r="BO42" s="107"/>
      <c r="BP42" s="107"/>
      <c r="BQ42" s="107"/>
      <c r="BR42" s="107"/>
      <c r="BS42" s="107"/>
      <c r="BT42" s="107"/>
      <c r="BU42" s="107"/>
      <c r="BV42" s="107"/>
      <c r="BW42" s="107"/>
      <c r="BX42" s="107"/>
      <c r="BY42" s="107"/>
      <c r="BZ42" s="107"/>
      <c r="CA42" s="107"/>
      <c r="CB42" s="107"/>
      <c r="CC42" s="107"/>
      <c r="CD42" s="107"/>
      <c r="CE42" s="107"/>
      <c r="CF42" s="107"/>
      <c r="CG42" s="107"/>
      <c r="CH42" s="107"/>
      <c r="CI42" s="107"/>
      <c r="CJ42" s="107"/>
      <c r="CK42" s="107"/>
      <c r="CL42" s="107"/>
      <c r="CM42" s="107"/>
      <c r="CN42" s="107"/>
      <c r="CO42" s="107"/>
      <c r="CP42" s="107"/>
      <c r="CQ42" s="107"/>
      <c r="CR42" s="107"/>
      <c r="CS42" s="107"/>
      <c r="CT42" s="107"/>
      <c r="CU42" s="107"/>
      <c r="CV42" s="107"/>
      <c r="CW42" s="107"/>
      <c r="CX42" s="107"/>
      <c r="CY42" s="107"/>
      <c r="CZ42" s="107"/>
      <c r="DA42" s="107"/>
      <c r="DB42" s="107"/>
      <c r="DC42" s="107"/>
      <c r="DD42" s="107"/>
      <c r="DE42" s="107"/>
      <c r="DF42" s="107"/>
      <c r="DG42" s="107"/>
      <c r="DH42" s="107"/>
      <c r="DI42" s="107"/>
      <c r="DJ42" s="107"/>
      <c r="DK42" s="107"/>
      <c r="DL42" s="107"/>
      <c r="DM42" s="107"/>
      <c r="DN42" s="107"/>
      <c r="DO42" s="107"/>
      <c r="DP42" s="107"/>
      <c r="DQ42" s="107"/>
      <c r="DR42" s="107"/>
      <c r="DS42" s="107"/>
      <c r="DT42" s="107"/>
      <c r="DU42" s="107"/>
      <c r="DV42" s="107"/>
      <c r="DW42" s="107"/>
      <c r="DX42" s="107"/>
      <c r="DY42" s="107"/>
      <c r="DZ42" s="107"/>
      <c r="EA42" s="107"/>
      <c r="EB42" s="107"/>
      <c r="EC42" s="107"/>
      <c r="ED42" s="107"/>
      <c r="EE42" s="107"/>
      <c r="EF42" s="107"/>
      <c r="EG42" s="107"/>
      <c r="EH42" s="107"/>
      <c r="EI42" s="107"/>
      <c r="EJ42" s="107"/>
    </row>
    <row r="43" spans="2:153" outlineLevel="1" x14ac:dyDescent="0.4">
      <c r="B43" s="1" t="s">
        <v>27</v>
      </c>
      <c r="H43" s="251"/>
      <c r="I43" s="259">
        <f>INDEX('Inputs &amp; Drivers'!$E$68:$E$78,MATCH(Model!I$4,'Inputs &amp; Drivers'!$B$68:$B$78))/12</f>
        <v>0</v>
      </c>
      <c r="J43" s="259">
        <f>INDEX('Inputs &amp; Drivers'!$E$68:$E$78,MATCH(Model!J$4,'Inputs &amp; Drivers'!$B$68:$B$78))/12</f>
        <v>0</v>
      </c>
      <c r="K43" s="259">
        <f>INDEX('Inputs &amp; Drivers'!$E$68:$E$78,MATCH(Model!K$4,'Inputs &amp; Drivers'!$B$68:$B$78))/12</f>
        <v>0</v>
      </c>
      <c r="L43" s="259">
        <f>INDEX('Inputs &amp; Drivers'!$E$68:$E$78,MATCH(Model!L$4,'Inputs &amp; Drivers'!$B$68:$B$78))/12</f>
        <v>0</v>
      </c>
      <c r="M43" s="259">
        <f>INDEX('Inputs &amp; Drivers'!$E$68:$E$78,MATCH(Model!M$4,'Inputs &amp; Drivers'!$B$68:$B$78))/12</f>
        <v>0</v>
      </c>
      <c r="N43" s="259">
        <f>INDEX('Inputs &amp; Drivers'!$E$68:$E$78,MATCH(Model!N$4,'Inputs &amp; Drivers'!$B$68:$B$78))/12</f>
        <v>0</v>
      </c>
      <c r="O43" s="259">
        <f>INDEX('Inputs &amp; Drivers'!$E$68:$E$78,MATCH(Model!O$4,'Inputs &amp; Drivers'!$B$68:$B$78))/12</f>
        <v>0</v>
      </c>
      <c r="P43" s="259">
        <f>INDEX('Inputs &amp; Drivers'!$E$68:$E$78,MATCH(Model!P$4,'Inputs &amp; Drivers'!$B$68:$B$78))/12</f>
        <v>0</v>
      </c>
      <c r="Q43" s="259">
        <f>INDEX('Inputs &amp; Drivers'!$E$68:$E$78,MATCH(Model!Q$4,'Inputs &amp; Drivers'!$B$68:$B$78))/12</f>
        <v>0</v>
      </c>
      <c r="R43" s="259">
        <f>INDEX('Inputs &amp; Drivers'!$E$68:$E$78,MATCH(Model!R$4,'Inputs &amp; Drivers'!$B$68:$B$78))/12</f>
        <v>0</v>
      </c>
      <c r="S43" s="259">
        <f>INDEX('Inputs &amp; Drivers'!$E$68:$E$78,MATCH(Model!S$4,'Inputs &amp; Drivers'!$B$68:$B$78))/12</f>
        <v>0</v>
      </c>
      <c r="T43" s="259">
        <f>INDEX('Inputs &amp; Drivers'!$E$68:$E$78,MATCH(Model!T$4,'Inputs &amp; Drivers'!$B$68:$B$78))/12</f>
        <v>0</v>
      </c>
      <c r="U43" s="259">
        <f>INDEX('Inputs &amp; Drivers'!$E$68:$E$78,MATCH(Model!U$4,'Inputs &amp; Drivers'!$B$68:$B$78))/12</f>
        <v>1.6666666666666668E-3</v>
      </c>
      <c r="V43" s="259">
        <f>INDEX('Inputs &amp; Drivers'!$E$68:$E$78,MATCH(Model!V$4,'Inputs &amp; Drivers'!$B$68:$B$78))/12</f>
        <v>1.6666666666666668E-3</v>
      </c>
      <c r="W43" s="259">
        <f>INDEX('Inputs &amp; Drivers'!$E$68:$E$78,MATCH(Model!W$4,'Inputs &amp; Drivers'!$B$68:$B$78))/12</f>
        <v>1.6666666666666668E-3</v>
      </c>
      <c r="X43" s="259">
        <f>INDEX('Inputs &amp; Drivers'!$E$68:$E$78,MATCH(Model!X$4,'Inputs &amp; Drivers'!$B$68:$B$78))/12</f>
        <v>1.6666666666666668E-3</v>
      </c>
      <c r="Y43" s="259">
        <f>INDEX('Inputs &amp; Drivers'!$E$68:$E$78,MATCH(Model!Y$4,'Inputs &amp; Drivers'!$B$68:$B$78))/12</f>
        <v>1.6666666666666668E-3</v>
      </c>
      <c r="Z43" s="259">
        <f>INDEX('Inputs &amp; Drivers'!$E$68:$E$78,MATCH(Model!Z$4,'Inputs &amp; Drivers'!$B$68:$B$78))/12</f>
        <v>1.6666666666666668E-3</v>
      </c>
      <c r="AA43" s="259">
        <f>INDEX('Inputs &amp; Drivers'!$E$68:$E$78,MATCH(Model!AA$4,'Inputs &amp; Drivers'!$B$68:$B$78))/12</f>
        <v>1.6666666666666668E-3</v>
      </c>
      <c r="AB43" s="259">
        <f>INDEX('Inputs &amp; Drivers'!$E$68:$E$78,MATCH(Model!AB$4,'Inputs &amp; Drivers'!$B$68:$B$78))/12</f>
        <v>1.6666666666666668E-3</v>
      </c>
      <c r="AC43" s="259">
        <f>INDEX('Inputs &amp; Drivers'!$E$68:$E$78,MATCH(Model!AC$4,'Inputs &amp; Drivers'!$B$68:$B$78))/12</f>
        <v>1.6666666666666668E-3</v>
      </c>
      <c r="AD43" s="259">
        <f>INDEX('Inputs &amp; Drivers'!$E$68:$E$78,MATCH(Model!AD$4,'Inputs &amp; Drivers'!$B$68:$B$78))/12</f>
        <v>1.6666666666666668E-3</v>
      </c>
      <c r="AE43" s="259">
        <f>INDEX('Inputs &amp; Drivers'!$E$68:$E$78,MATCH(Model!AE$4,'Inputs &amp; Drivers'!$B$68:$B$78))/12</f>
        <v>1.6666666666666668E-3</v>
      </c>
      <c r="AF43" s="259">
        <f>INDEX('Inputs &amp; Drivers'!$E$68:$E$78,MATCH(Model!AF$4,'Inputs &amp; Drivers'!$B$68:$B$78))/12</f>
        <v>1.6666666666666668E-3</v>
      </c>
      <c r="AG43" s="259">
        <f>INDEX('Inputs &amp; Drivers'!$E$68:$E$78,MATCH(Model!AG$4,'Inputs &amp; Drivers'!$B$68:$B$78))/12</f>
        <v>2.5000000000000001E-3</v>
      </c>
      <c r="AH43" s="259">
        <f>INDEX('Inputs &amp; Drivers'!$E$68:$E$78,MATCH(Model!AH$4,'Inputs &amp; Drivers'!$B$68:$B$78))/12</f>
        <v>2.5000000000000001E-3</v>
      </c>
      <c r="AI43" s="259">
        <f>INDEX('Inputs &amp; Drivers'!$E$68:$E$78,MATCH(Model!AI$4,'Inputs &amp; Drivers'!$B$68:$B$78))/12</f>
        <v>2.5000000000000001E-3</v>
      </c>
      <c r="AJ43" s="259">
        <f>INDEX('Inputs &amp; Drivers'!$E$68:$E$78,MATCH(Model!AJ$4,'Inputs &amp; Drivers'!$B$68:$B$78))/12</f>
        <v>2.5000000000000001E-3</v>
      </c>
      <c r="AK43" s="259">
        <f>INDEX('Inputs &amp; Drivers'!$E$68:$E$78,MATCH(Model!AK$4,'Inputs &amp; Drivers'!$B$68:$B$78))/12</f>
        <v>2.5000000000000001E-3</v>
      </c>
      <c r="AL43" s="259">
        <f>INDEX('Inputs &amp; Drivers'!$E$68:$E$78,MATCH(Model!AL$4,'Inputs &amp; Drivers'!$B$68:$B$78))/12</f>
        <v>2.5000000000000001E-3</v>
      </c>
      <c r="AM43" s="259">
        <f>INDEX('Inputs &amp; Drivers'!$E$68:$E$78,MATCH(Model!AM$4,'Inputs &amp; Drivers'!$B$68:$B$78))/12</f>
        <v>2.5000000000000001E-3</v>
      </c>
      <c r="AN43" s="259">
        <f>INDEX('Inputs &amp; Drivers'!$E$68:$E$78,MATCH(Model!AN$4,'Inputs &amp; Drivers'!$B$68:$B$78))/12</f>
        <v>2.5000000000000001E-3</v>
      </c>
      <c r="AO43" s="259">
        <f>INDEX('Inputs &amp; Drivers'!$E$68:$E$78,MATCH(Model!AO$4,'Inputs &amp; Drivers'!$B$68:$B$78))/12</f>
        <v>2.5000000000000001E-3</v>
      </c>
      <c r="AP43" s="259">
        <f>INDEX('Inputs &amp; Drivers'!$E$68:$E$78,MATCH(Model!AP$4,'Inputs &amp; Drivers'!$B$68:$B$78))/12</f>
        <v>2.5000000000000001E-3</v>
      </c>
      <c r="AQ43" s="259">
        <f>INDEX('Inputs &amp; Drivers'!$E$68:$E$78,MATCH(Model!AQ$4,'Inputs &amp; Drivers'!$B$68:$B$78))/12</f>
        <v>2.5000000000000001E-3</v>
      </c>
      <c r="AR43" s="259">
        <f>INDEX('Inputs &amp; Drivers'!$E$68:$E$78,MATCH(Model!AR$4,'Inputs &amp; Drivers'!$B$68:$B$78))/12</f>
        <v>2.5000000000000001E-3</v>
      </c>
      <c r="AS43" s="259">
        <f>INDEX('Inputs &amp; Drivers'!$E$68:$E$78,MATCH(Model!AS$4,'Inputs &amp; Drivers'!$B$68:$B$78))/12</f>
        <v>2.5000000000000001E-3</v>
      </c>
      <c r="AT43" s="259">
        <f>INDEX('Inputs &amp; Drivers'!$E$68:$E$78,MATCH(Model!AT$4,'Inputs &amp; Drivers'!$B$68:$B$78))/12</f>
        <v>2.5000000000000001E-3</v>
      </c>
      <c r="AU43" s="259">
        <f>INDEX('Inputs &amp; Drivers'!$E$68:$E$78,MATCH(Model!AU$4,'Inputs &amp; Drivers'!$B$68:$B$78))/12</f>
        <v>2.5000000000000001E-3</v>
      </c>
      <c r="AV43" s="259">
        <f>INDEX('Inputs &amp; Drivers'!$E$68:$E$78,MATCH(Model!AV$4,'Inputs &amp; Drivers'!$B$68:$B$78))/12</f>
        <v>2.5000000000000001E-3</v>
      </c>
      <c r="AW43" s="259">
        <f>INDEX('Inputs &amp; Drivers'!$E$68:$E$78,MATCH(Model!AW$4,'Inputs &amp; Drivers'!$B$68:$B$78))/12</f>
        <v>2.5000000000000001E-3</v>
      </c>
      <c r="AX43" s="259">
        <f>INDEX('Inputs &amp; Drivers'!$E$68:$E$78,MATCH(Model!AX$4,'Inputs &amp; Drivers'!$B$68:$B$78))/12</f>
        <v>2.5000000000000001E-3</v>
      </c>
      <c r="AY43" s="259">
        <f>INDEX('Inputs &amp; Drivers'!$E$68:$E$78,MATCH(Model!AY$4,'Inputs &amp; Drivers'!$B$68:$B$78))/12</f>
        <v>2.5000000000000001E-3</v>
      </c>
      <c r="AZ43" s="259">
        <f>INDEX('Inputs &amp; Drivers'!$E$68:$E$78,MATCH(Model!AZ$4,'Inputs &amp; Drivers'!$B$68:$B$78))/12</f>
        <v>2.5000000000000001E-3</v>
      </c>
      <c r="BA43" s="259">
        <f>INDEX('Inputs &amp; Drivers'!$E$68:$E$78,MATCH(Model!BA$4,'Inputs &amp; Drivers'!$B$68:$B$78))/12</f>
        <v>2.5000000000000001E-3</v>
      </c>
      <c r="BB43" s="259">
        <f>INDEX('Inputs &amp; Drivers'!$E$68:$E$78,MATCH(Model!BB$4,'Inputs &amp; Drivers'!$B$68:$B$78))/12</f>
        <v>2.5000000000000001E-3</v>
      </c>
      <c r="BC43" s="259">
        <f>INDEX('Inputs &amp; Drivers'!$E$68:$E$78,MATCH(Model!BC$4,'Inputs &amp; Drivers'!$B$68:$B$78))/12</f>
        <v>2.5000000000000001E-3</v>
      </c>
      <c r="BD43" s="259">
        <f>INDEX('Inputs &amp; Drivers'!$E$68:$E$78,MATCH(Model!BD$4,'Inputs &amp; Drivers'!$B$68:$B$78))/12</f>
        <v>2.5000000000000001E-3</v>
      </c>
      <c r="BE43" s="259">
        <f>INDEX('Inputs &amp; Drivers'!$E$68:$E$78,MATCH(Model!BE$4,'Inputs &amp; Drivers'!$B$68:$B$78))/12</f>
        <v>2.5000000000000001E-3</v>
      </c>
      <c r="BF43" s="259">
        <f>INDEX('Inputs &amp; Drivers'!$E$68:$E$78,MATCH(Model!BF$4,'Inputs &amp; Drivers'!$B$68:$B$78))/12</f>
        <v>2.5000000000000001E-3</v>
      </c>
      <c r="BG43" s="259">
        <f>INDEX('Inputs &amp; Drivers'!$E$68:$E$78,MATCH(Model!BG$4,'Inputs &amp; Drivers'!$B$68:$B$78))/12</f>
        <v>2.5000000000000001E-3</v>
      </c>
      <c r="BH43" s="259">
        <f>INDEX('Inputs &amp; Drivers'!$E$68:$E$78,MATCH(Model!BH$4,'Inputs &amp; Drivers'!$B$68:$B$78))/12</f>
        <v>2.5000000000000001E-3</v>
      </c>
      <c r="BI43" s="259">
        <f>INDEX('Inputs &amp; Drivers'!$E$68:$E$78,MATCH(Model!BI$4,'Inputs &amp; Drivers'!$B$68:$B$78))/12</f>
        <v>2.5000000000000001E-3</v>
      </c>
      <c r="BJ43" s="259">
        <f>INDEX('Inputs &amp; Drivers'!$E$68:$E$78,MATCH(Model!BJ$4,'Inputs &amp; Drivers'!$B$68:$B$78))/12</f>
        <v>2.5000000000000001E-3</v>
      </c>
      <c r="BK43" s="259">
        <f>INDEX('Inputs &amp; Drivers'!$E$68:$E$78,MATCH(Model!BK$4,'Inputs &amp; Drivers'!$B$68:$B$78))/12</f>
        <v>2.5000000000000001E-3</v>
      </c>
      <c r="BL43" s="259">
        <f>INDEX('Inputs &amp; Drivers'!$E$68:$E$78,MATCH(Model!BL$4,'Inputs &amp; Drivers'!$B$68:$B$78))/12</f>
        <v>2.5000000000000001E-3</v>
      </c>
      <c r="BM43" s="259">
        <f>INDEX('Inputs &amp; Drivers'!$E$68:$E$78,MATCH(Model!BM$4,'Inputs &amp; Drivers'!$B$68:$B$78))/12</f>
        <v>2.5000000000000001E-3</v>
      </c>
      <c r="BN43" s="259">
        <f>INDEX('Inputs &amp; Drivers'!$E$68:$E$78,MATCH(Model!BN$4,'Inputs &amp; Drivers'!$B$68:$B$78))/12</f>
        <v>2.5000000000000001E-3</v>
      </c>
      <c r="BO43" s="259">
        <f>INDEX('Inputs &amp; Drivers'!$E$68:$E$78,MATCH(Model!BO$4,'Inputs &amp; Drivers'!$B$68:$B$78))/12</f>
        <v>2.5000000000000001E-3</v>
      </c>
      <c r="BP43" s="259">
        <f>INDEX('Inputs &amp; Drivers'!$E$68:$E$78,MATCH(Model!BP$4,'Inputs &amp; Drivers'!$B$68:$B$78))/12</f>
        <v>2.5000000000000001E-3</v>
      </c>
      <c r="BQ43" s="259">
        <f>INDEX('Inputs &amp; Drivers'!$E$68:$E$78,MATCH(Model!BQ$4,'Inputs &amp; Drivers'!$B$68:$B$78))/12</f>
        <v>2.5000000000000001E-3</v>
      </c>
      <c r="BR43" s="259">
        <f>INDEX('Inputs &amp; Drivers'!$E$68:$E$78,MATCH(Model!BR$4,'Inputs &amp; Drivers'!$B$68:$B$78))/12</f>
        <v>2.5000000000000001E-3</v>
      </c>
      <c r="BS43" s="259">
        <f>INDEX('Inputs &amp; Drivers'!$E$68:$E$78,MATCH(Model!BS$4,'Inputs &amp; Drivers'!$B$68:$B$78))/12</f>
        <v>2.5000000000000001E-3</v>
      </c>
      <c r="BT43" s="259">
        <f>INDEX('Inputs &amp; Drivers'!$E$68:$E$78,MATCH(Model!BT$4,'Inputs &amp; Drivers'!$B$68:$B$78))/12</f>
        <v>2.5000000000000001E-3</v>
      </c>
      <c r="BU43" s="259">
        <f>INDEX('Inputs &amp; Drivers'!$E$68:$E$78,MATCH(Model!BU$4,'Inputs &amp; Drivers'!$B$68:$B$78))/12</f>
        <v>2.5000000000000001E-3</v>
      </c>
      <c r="BV43" s="259">
        <f>INDEX('Inputs &amp; Drivers'!$E$68:$E$78,MATCH(Model!BV$4,'Inputs &amp; Drivers'!$B$68:$B$78))/12</f>
        <v>2.5000000000000001E-3</v>
      </c>
      <c r="BW43" s="259">
        <f>INDEX('Inputs &amp; Drivers'!$E$68:$E$78,MATCH(Model!BW$4,'Inputs &amp; Drivers'!$B$68:$B$78))/12</f>
        <v>2.5000000000000001E-3</v>
      </c>
      <c r="BX43" s="259">
        <f>INDEX('Inputs &amp; Drivers'!$E$68:$E$78,MATCH(Model!BX$4,'Inputs &amp; Drivers'!$B$68:$B$78))/12</f>
        <v>2.5000000000000001E-3</v>
      </c>
      <c r="BY43" s="259">
        <f>INDEX('Inputs &amp; Drivers'!$E$68:$E$78,MATCH(Model!BY$4,'Inputs &amp; Drivers'!$B$68:$B$78))/12</f>
        <v>2.5000000000000001E-3</v>
      </c>
      <c r="BZ43" s="259">
        <f>INDEX('Inputs &amp; Drivers'!$E$68:$E$78,MATCH(Model!BZ$4,'Inputs &amp; Drivers'!$B$68:$B$78))/12</f>
        <v>2.5000000000000001E-3</v>
      </c>
      <c r="CA43" s="259">
        <f>INDEX('Inputs &amp; Drivers'!$E$68:$E$78,MATCH(Model!CA$4,'Inputs &amp; Drivers'!$B$68:$B$78))/12</f>
        <v>2.5000000000000001E-3</v>
      </c>
      <c r="CB43" s="259">
        <f>INDEX('Inputs &amp; Drivers'!$E$68:$E$78,MATCH(Model!CB$4,'Inputs &amp; Drivers'!$B$68:$B$78))/12</f>
        <v>2.5000000000000001E-3</v>
      </c>
      <c r="CC43" s="259">
        <f>INDEX('Inputs &amp; Drivers'!$E$68:$E$78,MATCH(Model!CC$4,'Inputs &amp; Drivers'!$B$68:$B$78))/12</f>
        <v>2.5000000000000001E-3</v>
      </c>
      <c r="CD43" s="259">
        <f>INDEX('Inputs &amp; Drivers'!$E$68:$E$78,MATCH(Model!CD$4,'Inputs &amp; Drivers'!$B$68:$B$78))/12</f>
        <v>2.5000000000000001E-3</v>
      </c>
      <c r="CE43" s="259">
        <f>INDEX('Inputs &amp; Drivers'!$E$68:$E$78,MATCH(Model!CE$4,'Inputs &amp; Drivers'!$B$68:$B$78))/12</f>
        <v>2.5000000000000001E-3</v>
      </c>
      <c r="CF43" s="259">
        <f>INDEX('Inputs &amp; Drivers'!$E$68:$E$78,MATCH(Model!CF$4,'Inputs &amp; Drivers'!$B$68:$B$78))/12</f>
        <v>2.5000000000000001E-3</v>
      </c>
      <c r="CG43" s="259">
        <f>INDEX('Inputs &amp; Drivers'!$E$68:$E$78,MATCH(Model!CG$4,'Inputs &amp; Drivers'!$B$68:$B$78))/12</f>
        <v>2.5000000000000001E-3</v>
      </c>
      <c r="CH43" s="259">
        <f>INDEX('Inputs &amp; Drivers'!$E$68:$E$78,MATCH(Model!CH$4,'Inputs &amp; Drivers'!$B$68:$B$78))/12</f>
        <v>2.5000000000000001E-3</v>
      </c>
      <c r="CI43" s="259">
        <f>INDEX('Inputs &amp; Drivers'!$E$68:$E$78,MATCH(Model!CI$4,'Inputs &amp; Drivers'!$B$68:$B$78))/12</f>
        <v>2.5000000000000001E-3</v>
      </c>
      <c r="CJ43" s="259">
        <f>INDEX('Inputs &amp; Drivers'!$E$68:$E$78,MATCH(Model!CJ$4,'Inputs &amp; Drivers'!$B$68:$B$78))/12</f>
        <v>2.5000000000000001E-3</v>
      </c>
      <c r="CK43" s="259">
        <f>INDEX('Inputs &amp; Drivers'!$E$68:$E$78,MATCH(Model!CK$4,'Inputs &amp; Drivers'!$B$68:$B$78))/12</f>
        <v>2.5000000000000001E-3</v>
      </c>
      <c r="CL43" s="259">
        <f>INDEX('Inputs &amp; Drivers'!$E$68:$E$78,MATCH(Model!CL$4,'Inputs &amp; Drivers'!$B$68:$B$78))/12</f>
        <v>2.5000000000000001E-3</v>
      </c>
      <c r="CM43" s="259">
        <f>INDEX('Inputs &amp; Drivers'!$E$68:$E$78,MATCH(Model!CM$4,'Inputs &amp; Drivers'!$B$68:$B$78))/12</f>
        <v>2.5000000000000001E-3</v>
      </c>
      <c r="CN43" s="259">
        <f>INDEX('Inputs &amp; Drivers'!$E$68:$E$78,MATCH(Model!CN$4,'Inputs &amp; Drivers'!$B$68:$B$78))/12</f>
        <v>2.5000000000000001E-3</v>
      </c>
      <c r="CO43" s="259">
        <f>INDEX('Inputs &amp; Drivers'!$E$68:$E$78,MATCH(Model!CO$4,'Inputs &amp; Drivers'!$B$68:$B$78))/12</f>
        <v>2.5000000000000001E-3</v>
      </c>
      <c r="CP43" s="259">
        <f>INDEX('Inputs &amp; Drivers'!$E$68:$E$78,MATCH(Model!CP$4,'Inputs &amp; Drivers'!$B$68:$B$78))/12</f>
        <v>2.5000000000000001E-3</v>
      </c>
      <c r="CQ43" s="259">
        <f>INDEX('Inputs &amp; Drivers'!$E$68:$E$78,MATCH(Model!CQ$4,'Inputs &amp; Drivers'!$B$68:$B$78))/12</f>
        <v>2.5000000000000001E-3</v>
      </c>
      <c r="CR43" s="259">
        <f>INDEX('Inputs &amp; Drivers'!$E$68:$E$78,MATCH(Model!CR$4,'Inputs &amp; Drivers'!$B$68:$B$78))/12</f>
        <v>2.5000000000000001E-3</v>
      </c>
      <c r="CS43" s="259">
        <f>INDEX('Inputs &amp; Drivers'!$E$68:$E$78,MATCH(Model!CS$4,'Inputs &amp; Drivers'!$B$68:$B$78))/12</f>
        <v>2.5000000000000001E-3</v>
      </c>
      <c r="CT43" s="259">
        <f>INDEX('Inputs &amp; Drivers'!$E$68:$E$78,MATCH(Model!CT$4,'Inputs &amp; Drivers'!$B$68:$B$78))/12</f>
        <v>2.5000000000000001E-3</v>
      </c>
      <c r="CU43" s="259">
        <f>INDEX('Inputs &amp; Drivers'!$E$68:$E$78,MATCH(Model!CU$4,'Inputs &amp; Drivers'!$B$68:$B$78))/12</f>
        <v>2.5000000000000001E-3</v>
      </c>
      <c r="CV43" s="259">
        <f>INDEX('Inputs &amp; Drivers'!$E$68:$E$78,MATCH(Model!CV$4,'Inputs &amp; Drivers'!$B$68:$B$78))/12</f>
        <v>2.5000000000000001E-3</v>
      </c>
      <c r="CW43" s="259">
        <f>INDEX('Inputs &amp; Drivers'!$E$68:$E$78,MATCH(Model!CW$4,'Inputs &amp; Drivers'!$B$68:$B$78))/12</f>
        <v>2.5000000000000001E-3</v>
      </c>
      <c r="CX43" s="259">
        <f>INDEX('Inputs &amp; Drivers'!$E$68:$E$78,MATCH(Model!CX$4,'Inputs &amp; Drivers'!$B$68:$B$78))/12</f>
        <v>2.5000000000000001E-3</v>
      </c>
      <c r="CY43" s="259">
        <f>INDEX('Inputs &amp; Drivers'!$E$68:$E$78,MATCH(Model!CY$4,'Inputs &amp; Drivers'!$B$68:$B$78))/12</f>
        <v>2.5000000000000001E-3</v>
      </c>
      <c r="CZ43" s="259">
        <f>INDEX('Inputs &amp; Drivers'!$E$68:$E$78,MATCH(Model!CZ$4,'Inputs &amp; Drivers'!$B$68:$B$78))/12</f>
        <v>2.5000000000000001E-3</v>
      </c>
      <c r="DA43" s="259">
        <f>INDEX('Inputs &amp; Drivers'!$E$68:$E$78,MATCH(Model!DA$4,'Inputs &amp; Drivers'!$B$68:$B$78))/12</f>
        <v>2.5000000000000001E-3</v>
      </c>
      <c r="DB43" s="259">
        <f>INDEX('Inputs &amp; Drivers'!$E$68:$E$78,MATCH(Model!DB$4,'Inputs &amp; Drivers'!$B$68:$B$78))/12</f>
        <v>2.5000000000000001E-3</v>
      </c>
      <c r="DC43" s="259">
        <f>INDEX('Inputs &amp; Drivers'!$E$68:$E$78,MATCH(Model!DC$4,'Inputs &amp; Drivers'!$B$68:$B$78))/12</f>
        <v>2.5000000000000001E-3</v>
      </c>
      <c r="DD43" s="259">
        <f>INDEX('Inputs &amp; Drivers'!$E$68:$E$78,MATCH(Model!DD$4,'Inputs &amp; Drivers'!$B$68:$B$78))/12</f>
        <v>2.5000000000000001E-3</v>
      </c>
      <c r="DE43" s="259">
        <f>INDEX('Inputs &amp; Drivers'!$E$68:$E$78,MATCH(Model!DE$4,'Inputs &amp; Drivers'!$B$68:$B$78))/12</f>
        <v>2.5000000000000001E-3</v>
      </c>
      <c r="DF43" s="259">
        <f>INDEX('Inputs &amp; Drivers'!$E$68:$E$78,MATCH(Model!DF$4,'Inputs &amp; Drivers'!$B$68:$B$78))/12</f>
        <v>2.5000000000000001E-3</v>
      </c>
      <c r="DG43" s="259">
        <f>INDEX('Inputs &amp; Drivers'!$E$68:$E$78,MATCH(Model!DG$4,'Inputs &amp; Drivers'!$B$68:$B$78))/12</f>
        <v>2.5000000000000001E-3</v>
      </c>
      <c r="DH43" s="259">
        <f>INDEX('Inputs &amp; Drivers'!$E$68:$E$78,MATCH(Model!DH$4,'Inputs &amp; Drivers'!$B$68:$B$78))/12</f>
        <v>2.5000000000000001E-3</v>
      </c>
      <c r="DI43" s="259">
        <f>INDEX('Inputs &amp; Drivers'!$E$68:$E$78,MATCH(Model!DI$4,'Inputs &amp; Drivers'!$B$68:$B$78))/12</f>
        <v>2.5000000000000001E-3</v>
      </c>
      <c r="DJ43" s="259">
        <f>INDEX('Inputs &amp; Drivers'!$E$68:$E$78,MATCH(Model!DJ$4,'Inputs &amp; Drivers'!$B$68:$B$78))/12</f>
        <v>2.5000000000000001E-3</v>
      </c>
      <c r="DK43" s="259">
        <f>INDEX('Inputs &amp; Drivers'!$E$68:$E$78,MATCH(Model!DK$4,'Inputs &amp; Drivers'!$B$68:$B$78))/12</f>
        <v>2.5000000000000001E-3</v>
      </c>
      <c r="DL43" s="259">
        <f>INDEX('Inputs &amp; Drivers'!$E$68:$E$78,MATCH(Model!DL$4,'Inputs &amp; Drivers'!$B$68:$B$78))/12</f>
        <v>2.5000000000000001E-3</v>
      </c>
      <c r="DM43" s="259">
        <f>INDEX('Inputs &amp; Drivers'!$E$68:$E$78,MATCH(Model!DM$4,'Inputs &amp; Drivers'!$B$68:$B$78))/12</f>
        <v>2.5000000000000001E-3</v>
      </c>
      <c r="DN43" s="259">
        <f>INDEX('Inputs &amp; Drivers'!$E$68:$E$78,MATCH(Model!DN$4,'Inputs &amp; Drivers'!$B$68:$B$78))/12</f>
        <v>2.5000000000000001E-3</v>
      </c>
      <c r="DO43" s="259">
        <f>INDEX('Inputs &amp; Drivers'!$E$68:$E$78,MATCH(Model!DO$4,'Inputs &amp; Drivers'!$B$68:$B$78))/12</f>
        <v>2.5000000000000001E-3</v>
      </c>
      <c r="DP43" s="259">
        <f>INDEX('Inputs &amp; Drivers'!$E$68:$E$78,MATCH(Model!DP$4,'Inputs &amp; Drivers'!$B$68:$B$78))/12</f>
        <v>2.5000000000000001E-3</v>
      </c>
      <c r="DQ43" s="259">
        <f>INDEX('Inputs &amp; Drivers'!$E$68:$E$78,MATCH(Model!DQ$4,'Inputs &amp; Drivers'!$B$68:$B$78))/12</f>
        <v>2.5000000000000001E-3</v>
      </c>
      <c r="DR43" s="259">
        <f>INDEX('Inputs &amp; Drivers'!$E$68:$E$78,MATCH(Model!DR$4,'Inputs &amp; Drivers'!$B$68:$B$78))/12</f>
        <v>2.5000000000000001E-3</v>
      </c>
      <c r="DS43" s="259">
        <f>INDEX('Inputs &amp; Drivers'!$E$68:$E$78,MATCH(Model!DS$4,'Inputs &amp; Drivers'!$B$68:$B$78))/12</f>
        <v>2.5000000000000001E-3</v>
      </c>
      <c r="DT43" s="259">
        <f>INDEX('Inputs &amp; Drivers'!$E$68:$E$78,MATCH(Model!DT$4,'Inputs &amp; Drivers'!$B$68:$B$78))/12</f>
        <v>2.5000000000000001E-3</v>
      </c>
      <c r="DU43" s="259">
        <f>INDEX('Inputs &amp; Drivers'!$E$68:$E$78,MATCH(Model!DU$4,'Inputs &amp; Drivers'!$B$68:$B$78))/12</f>
        <v>2.5000000000000001E-3</v>
      </c>
      <c r="DV43" s="259">
        <f>INDEX('Inputs &amp; Drivers'!$E$68:$E$78,MATCH(Model!DV$4,'Inputs &amp; Drivers'!$B$68:$B$78))/12</f>
        <v>2.5000000000000001E-3</v>
      </c>
      <c r="DW43" s="259">
        <f>INDEX('Inputs &amp; Drivers'!$E$68:$E$78,MATCH(Model!DW$4,'Inputs &amp; Drivers'!$B$68:$B$78))/12</f>
        <v>2.5000000000000001E-3</v>
      </c>
      <c r="DX43" s="259">
        <f>INDEX('Inputs &amp; Drivers'!$E$68:$E$78,MATCH(Model!DX$4,'Inputs &amp; Drivers'!$B$68:$B$78))/12</f>
        <v>2.5000000000000001E-3</v>
      </c>
      <c r="DY43" s="259">
        <f>INDEX('Inputs &amp; Drivers'!$E$68:$E$78,MATCH(Model!DY$4,'Inputs &amp; Drivers'!$B$68:$B$78))/12</f>
        <v>2.5000000000000001E-3</v>
      </c>
      <c r="DZ43" s="259">
        <f>INDEX('Inputs &amp; Drivers'!$E$68:$E$78,MATCH(Model!DZ$4,'Inputs &amp; Drivers'!$B$68:$B$78))/12</f>
        <v>2.5000000000000001E-3</v>
      </c>
      <c r="EA43" s="259">
        <f>INDEX('Inputs &amp; Drivers'!$E$68:$E$78,MATCH(Model!EA$4,'Inputs &amp; Drivers'!$B$68:$B$78))/12</f>
        <v>2.5000000000000001E-3</v>
      </c>
      <c r="EB43" s="259">
        <f>INDEX('Inputs &amp; Drivers'!$E$68:$E$78,MATCH(Model!EB$4,'Inputs &amp; Drivers'!$B$68:$B$78))/12</f>
        <v>2.5000000000000001E-3</v>
      </c>
      <c r="EC43" s="259">
        <f>INDEX('Inputs &amp; Drivers'!$E$68:$E$78,MATCH(Model!EC$4,'Inputs &amp; Drivers'!$B$68:$B$78))/12</f>
        <v>2.5000000000000001E-3</v>
      </c>
      <c r="ED43" s="259">
        <f>INDEX('Inputs &amp; Drivers'!$E$68:$E$78,MATCH(Model!ED$4,'Inputs &amp; Drivers'!$B$68:$B$78))/12</f>
        <v>2.5000000000000001E-3</v>
      </c>
      <c r="EE43" s="259">
        <f>INDEX('Inputs &amp; Drivers'!$E$68:$E$78,MATCH(Model!EE$4,'Inputs &amp; Drivers'!$B$68:$B$78))/12</f>
        <v>2.5000000000000001E-3</v>
      </c>
      <c r="EF43" s="259">
        <f>INDEX('Inputs &amp; Drivers'!$E$68:$E$78,MATCH(Model!EF$4,'Inputs &amp; Drivers'!$B$68:$B$78))/12</f>
        <v>2.5000000000000001E-3</v>
      </c>
      <c r="EG43" s="259">
        <f>INDEX('Inputs &amp; Drivers'!$E$68:$E$78,MATCH(Model!EG$4,'Inputs &amp; Drivers'!$B$68:$B$78))/12</f>
        <v>2.5000000000000001E-3</v>
      </c>
      <c r="EH43" s="259">
        <f>INDEX('Inputs &amp; Drivers'!$E$68:$E$78,MATCH(Model!EH$4,'Inputs &amp; Drivers'!$B$68:$B$78))/12</f>
        <v>2.5000000000000001E-3</v>
      </c>
      <c r="EI43" s="259">
        <f>INDEX('Inputs &amp; Drivers'!$E$68:$E$78,MATCH(Model!EI$4,'Inputs &amp; Drivers'!$B$68:$B$78))/12</f>
        <v>2.5000000000000001E-3</v>
      </c>
      <c r="EJ43" s="259">
        <f>INDEX('Inputs &amp; Drivers'!$E$68:$E$78,MATCH(Model!EJ$4,'Inputs &amp; Drivers'!$B$68:$B$78))/12</f>
        <v>2.5000000000000001E-3</v>
      </c>
      <c r="EL43" s="13">
        <f t="shared" ref="EL43:EW43" si="152">SUMIF($H$4:$EJ$4,EL$5,$H43:$EJ43)</f>
        <v>0</v>
      </c>
      <c r="EM43" s="13">
        <f t="shared" si="152"/>
        <v>0</v>
      </c>
      <c r="EN43" s="13">
        <f t="shared" si="152"/>
        <v>0.02</v>
      </c>
      <c r="EO43" s="13">
        <f t="shared" si="152"/>
        <v>2.9999999999999995E-2</v>
      </c>
      <c r="EP43" s="13">
        <f t="shared" si="152"/>
        <v>2.9999999999999995E-2</v>
      </c>
      <c r="EQ43" s="13">
        <f t="shared" si="152"/>
        <v>2.9999999999999995E-2</v>
      </c>
      <c r="ER43" s="13">
        <f t="shared" si="152"/>
        <v>2.9999999999999995E-2</v>
      </c>
      <c r="ES43" s="13">
        <f t="shared" si="152"/>
        <v>2.9999999999999995E-2</v>
      </c>
      <c r="ET43" s="13">
        <f t="shared" si="152"/>
        <v>2.9999999999999995E-2</v>
      </c>
      <c r="EU43" s="13">
        <f t="shared" si="152"/>
        <v>2.9999999999999995E-2</v>
      </c>
      <c r="EV43" s="13">
        <f t="shared" si="152"/>
        <v>2.9999999999999995E-2</v>
      </c>
      <c r="EW43" s="13">
        <f t="shared" si="152"/>
        <v>2.9999999999999995E-2</v>
      </c>
    </row>
    <row r="44" spans="2:153" outlineLevel="1" x14ac:dyDescent="0.4">
      <c r="B44" s="1" t="s">
        <v>275</v>
      </c>
      <c r="H44" s="262">
        <f>'Inputs &amp; Drivers'!E50</f>
        <v>1480</v>
      </c>
      <c r="I44" s="268">
        <f>H44*(1+I43)</f>
        <v>1480</v>
      </c>
      <c r="J44" s="268">
        <f t="shared" ref="J44:BU44" si="153">I44*(1+J43)</f>
        <v>1480</v>
      </c>
      <c r="K44" s="268">
        <f t="shared" si="153"/>
        <v>1480</v>
      </c>
      <c r="L44" s="268">
        <f t="shared" si="153"/>
        <v>1480</v>
      </c>
      <c r="M44" s="268">
        <f t="shared" si="153"/>
        <v>1480</v>
      </c>
      <c r="N44" s="268">
        <f t="shared" si="153"/>
        <v>1480</v>
      </c>
      <c r="O44" s="268">
        <f t="shared" si="153"/>
        <v>1480</v>
      </c>
      <c r="P44" s="268">
        <f t="shared" si="153"/>
        <v>1480</v>
      </c>
      <c r="Q44" s="268">
        <f t="shared" si="153"/>
        <v>1480</v>
      </c>
      <c r="R44" s="268">
        <f t="shared" si="153"/>
        <v>1480</v>
      </c>
      <c r="S44" s="268">
        <f t="shared" si="153"/>
        <v>1480</v>
      </c>
      <c r="T44" s="268">
        <f t="shared" si="153"/>
        <v>1480</v>
      </c>
      <c r="U44" s="268">
        <f t="shared" si="153"/>
        <v>1482.4666666666667</v>
      </c>
      <c r="V44" s="268">
        <f t="shared" si="153"/>
        <v>1484.9374444444445</v>
      </c>
      <c r="W44" s="268">
        <f t="shared" si="153"/>
        <v>1487.4123401851853</v>
      </c>
      <c r="X44" s="268">
        <f t="shared" si="153"/>
        <v>1489.8913607521606</v>
      </c>
      <c r="Y44" s="268">
        <f t="shared" si="153"/>
        <v>1492.3745130200809</v>
      </c>
      <c r="Z44" s="268">
        <f t="shared" si="153"/>
        <v>1494.8618038751144</v>
      </c>
      <c r="AA44" s="268">
        <f t="shared" si="153"/>
        <v>1497.3532402149065</v>
      </c>
      <c r="AB44" s="268">
        <f t="shared" si="153"/>
        <v>1499.8488289485981</v>
      </c>
      <c r="AC44" s="268">
        <f t="shared" si="153"/>
        <v>1502.3485769968458</v>
      </c>
      <c r="AD44" s="268">
        <f t="shared" si="153"/>
        <v>1504.8524912918406</v>
      </c>
      <c r="AE44" s="268">
        <f t="shared" si="153"/>
        <v>1507.360578777327</v>
      </c>
      <c r="AF44" s="268">
        <f t="shared" si="153"/>
        <v>1509.8728464086225</v>
      </c>
      <c r="AG44" s="268">
        <f t="shared" si="153"/>
        <v>1513.647528524644</v>
      </c>
      <c r="AH44" s="268">
        <f t="shared" si="153"/>
        <v>1517.4316473459555</v>
      </c>
      <c r="AI44" s="268">
        <f t="shared" si="153"/>
        <v>1521.2252264643203</v>
      </c>
      <c r="AJ44" s="268">
        <f t="shared" si="153"/>
        <v>1525.0282895304811</v>
      </c>
      <c r="AK44" s="268">
        <f t="shared" si="153"/>
        <v>1528.8408602543072</v>
      </c>
      <c r="AL44" s="268">
        <f t="shared" si="153"/>
        <v>1532.6629624049428</v>
      </c>
      <c r="AM44" s="268">
        <f t="shared" si="153"/>
        <v>1536.4946198109551</v>
      </c>
      <c r="AN44" s="268">
        <f t="shared" si="153"/>
        <v>1540.3358563604825</v>
      </c>
      <c r="AO44" s="268">
        <f t="shared" si="153"/>
        <v>1544.1866960013836</v>
      </c>
      <c r="AP44" s="268">
        <f t="shared" si="153"/>
        <v>1548.047162741387</v>
      </c>
      <c r="AQ44" s="268">
        <f t="shared" si="153"/>
        <v>1551.9172806482404</v>
      </c>
      <c r="AR44" s="268">
        <f t="shared" si="153"/>
        <v>1555.7970738498609</v>
      </c>
      <c r="AS44" s="268">
        <f t="shared" si="153"/>
        <v>1559.6865665344856</v>
      </c>
      <c r="AT44" s="268">
        <f t="shared" si="153"/>
        <v>1563.5857829508218</v>
      </c>
      <c r="AU44" s="268">
        <f t="shared" si="153"/>
        <v>1567.4947474081987</v>
      </c>
      <c r="AV44" s="268">
        <f t="shared" si="153"/>
        <v>1571.4134842767191</v>
      </c>
      <c r="AW44" s="268">
        <f t="shared" si="153"/>
        <v>1575.3420179874108</v>
      </c>
      <c r="AX44" s="268">
        <f t="shared" si="153"/>
        <v>1579.2803730323792</v>
      </c>
      <c r="AY44" s="268">
        <f t="shared" si="153"/>
        <v>1583.2285739649601</v>
      </c>
      <c r="AZ44" s="268">
        <f t="shared" si="153"/>
        <v>1587.1866453998725</v>
      </c>
      <c r="BA44" s="268">
        <f t="shared" si="153"/>
        <v>1591.1546120133721</v>
      </c>
      <c r="BB44" s="268">
        <f t="shared" si="153"/>
        <v>1595.1324985434055</v>
      </c>
      <c r="BC44" s="268">
        <f t="shared" si="153"/>
        <v>1599.1203297897639</v>
      </c>
      <c r="BD44" s="268">
        <f t="shared" si="153"/>
        <v>1603.1181306142382</v>
      </c>
      <c r="BE44" s="268">
        <f t="shared" si="153"/>
        <v>1607.1259259407736</v>
      </c>
      <c r="BF44" s="268">
        <f t="shared" si="153"/>
        <v>1611.1437407556255</v>
      </c>
      <c r="BG44" s="268">
        <f t="shared" si="153"/>
        <v>1615.1716001075145</v>
      </c>
      <c r="BH44" s="268">
        <f t="shared" si="153"/>
        <v>1619.2095291077831</v>
      </c>
      <c r="BI44" s="268">
        <f t="shared" si="153"/>
        <v>1623.2575529305525</v>
      </c>
      <c r="BJ44" s="268">
        <f t="shared" si="153"/>
        <v>1627.3156968128787</v>
      </c>
      <c r="BK44" s="268">
        <f t="shared" si="153"/>
        <v>1631.3839860549108</v>
      </c>
      <c r="BL44" s="268">
        <f t="shared" si="153"/>
        <v>1635.462446020048</v>
      </c>
      <c r="BM44" s="268">
        <f t="shared" si="153"/>
        <v>1639.5511021350981</v>
      </c>
      <c r="BN44" s="268">
        <f t="shared" si="153"/>
        <v>1643.6499798904358</v>
      </c>
      <c r="BO44" s="268">
        <f t="shared" si="153"/>
        <v>1647.7591048401619</v>
      </c>
      <c r="BP44" s="268">
        <f t="shared" si="153"/>
        <v>1651.8785026022622</v>
      </c>
      <c r="BQ44" s="268">
        <f t="shared" si="153"/>
        <v>1656.0081988587679</v>
      </c>
      <c r="BR44" s="268">
        <f t="shared" si="153"/>
        <v>1660.1482193559148</v>
      </c>
      <c r="BS44" s="268">
        <f t="shared" si="153"/>
        <v>1664.2985899043044</v>
      </c>
      <c r="BT44" s="268">
        <f t="shared" si="153"/>
        <v>1668.459336379065</v>
      </c>
      <c r="BU44" s="268">
        <f t="shared" si="153"/>
        <v>1672.6304847200126</v>
      </c>
      <c r="BV44" s="268">
        <f t="shared" ref="BV44:EG44" si="154">BU44*(1+BV43)</f>
        <v>1676.8120609318125</v>
      </c>
      <c r="BW44" s="268">
        <f t="shared" si="154"/>
        <v>1681.0040910841419</v>
      </c>
      <c r="BX44" s="268">
        <f t="shared" si="154"/>
        <v>1685.2066013118522</v>
      </c>
      <c r="BY44" s="268">
        <f t="shared" si="154"/>
        <v>1689.4196178151317</v>
      </c>
      <c r="BZ44" s="268">
        <f t="shared" si="154"/>
        <v>1693.6431668596695</v>
      </c>
      <c r="CA44" s="268">
        <f t="shared" si="154"/>
        <v>1697.8772747768185</v>
      </c>
      <c r="CB44" s="268">
        <f t="shared" si="154"/>
        <v>1702.1219679637604</v>
      </c>
      <c r="CC44" s="268">
        <f t="shared" si="154"/>
        <v>1706.3772728836698</v>
      </c>
      <c r="CD44" s="268">
        <f t="shared" si="154"/>
        <v>1710.643216065879</v>
      </c>
      <c r="CE44" s="268">
        <f t="shared" si="154"/>
        <v>1714.9198241060435</v>
      </c>
      <c r="CF44" s="268">
        <f t="shared" si="154"/>
        <v>1719.2071236663085</v>
      </c>
      <c r="CG44" s="268">
        <f t="shared" si="154"/>
        <v>1723.5051414754741</v>
      </c>
      <c r="CH44" s="268">
        <f t="shared" si="154"/>
        <v>1727.8139043291628</v>
      </c>
      <c r="CI44" s="268">
        <f t="shared" si="154"/>
        <v>1732.1334390899856</v>
      </c>
      <c r="CJ44" s="268">
        <f t="shared" si="154"/>
        <v>1736.4637726877104</v>
      </c>
      <c r="CK44" s="268">
        <f t="shared" si="154"/>
        <v>1740.8049321194296</v>
      </c>
      <c r="CL44" s="268">
        <f t="shared" si="154"/>
        <v>1745.1569444497281</v>
      </c>
      <c r="CM44" s="268">
        <f t="shared" si="154"/>
        <v>1749.5198368108524</v>
      </c>
      <c r="CN44" s="268">
        <f t="shared" si="154"/>
        <v>1753.8936364028796</v>
      </c>
      <c r="CO44" s="268">
        <f t="shared" si="154"/>
        <v>1758.2783704938868</v>
      </c>
      <c r="CP44" s="268">
        <f t="shared" si="154"/>
        <v>1762.6740664201213</v>
      </c>
      <c r="CQ44" s="268">
        <f t="shared" si="154"/>
        <v>1767.0807515861716</v>
      </c>
      <c r="CR44" s="268">
        <f t="shared" si="154"/>
        <v>1771.4984534651369</v>
      </c>
      <c r="CS44" s="268">
        <f t="shared" si="154"/>
        <v>1775.9271995987997</v>
      </c>
      <c r="CT44" s="268">
        <f t="shared" si="154"/>
        <v>1780.3670175977966</v>
      </c>
      <c r="CU44" s="268">
        <f t="shared" si="154"/>
        <v>1784.8179351417909</v>
      </c>
      <c r="CV44" s="268">
        <f t="shared" si="154"/>
        <v>1789.2799799796453</v>
      </c>
      <c r="CW44" s="268">
        <f t="shared" si="154"/>
        <v>1793.7531799295944</v>
      </c>
      <c r="CX44" s="268">
        <f t="shared" si="154"/>
        <v>1798.2375628794182</v>
      </c>
      <c r="CY44" s="268">
        <f t="shared" si="154"/>
        <v>1802.7331567866167</v>
      </c>
      <c r="CZ44" s="268">
        <f t="shared" si="154"/>
        <v>1807.2399896785832</v>
      </c>
      <c r="DA44" s="268">
        <f t="shared" si="154"/>
        <v>1811.7580896527795</v>
      </c>
      <c r="DB44" s="268">
        <f t="shared" si="154"/>
        <v>1816.2874848769113</v>
      </c>
      <c r="DC44" s="268">
        <f t="shared" si="154"/>
        <v>1820.8282035891034</v>
      </c>
      <c r="DD44" s="268">
        <f t="shared" si="154"/>
        <v>1825.3802740980761</v>
      </c>
      <c r="DE44" s="268">
        <f t="shared" si="154"/>
        <v>1829.9437247833212</v>
      </c>
      <c r="DF44" s="268">
        <f t="shared" si="154"/>
        <v>1834.5185840952793</v>
      </c>
      <c r="DG44" s="268">
        <f t="shared" si="154"/>
        <v>1839.1048805555174</v>
      </c>
      <c r="DH44" s="268">
        <f t="shared" si="154"/>
        <v>1843.702642756906</v>
      </c>
      <c r="DI44" s="268">
        <f t="shared" si="154"/>
        <v>1848.3118993637981</v>
      </c>
      <c r="DJ44" s="268">
        <f t="shared" si="154"/>
        <v>1852.9326791122076</v>
      </c>
      <c r="DK44" s="268">
        <f t="shared" si="154"/>
        <v>1857.5650108099881</v>
      </c>
      <c r="DL44" s="268">
        <f t="shared" si="154"/>
        <v>1862.2089233370129</v>
      </c>
      <c r="DM44" s="268">
        <f t="shared" si="154"/>
        <v>1866.8644456453553</v>
      </c>
      <c r="DN44" s="268">
        <f t="shared" si="154"/>
        <v>1871.5316067594686</v>
      </c>
      <c r="DO44" s="268">
        <f t="shared" si="154"/>
        <v>1876.2104357763671</v>
      </c>
      <c r="DP44" s="268">
        <f t="shared" si="154"/>
        <v>1880.9009618658079</v>
      </c>
      <c r="DQ44" s="268">
        <f t="shared" si="154"/>
        <v>1885.6032142704723</v>
      </c>
      <c r="DR44" s="268">
        <f t="shared" si="154"/>
        <v>1890.3172223061483</v>
      </c>
      <c r="DS44" s="268">
        <f t="shared" si="154"/>
        <v>1895.0430153619136</v>
      </c>
      <c r="DT44" s="268">
        <f t="shared" si="154"/>
        <v>1899.7806229003183</v>
      </c>
      <c r="DU44" s="268">
        <f t="shared" si="154"/>
        <v>1904.5300744575691</v>
      </c>
      <c r="DV44" s="268">
        <f t="shared" si="154"/>
        <v>1909.2913996437128</v>
      </c>
      <c r="DW44" s="268">
        <f t="shared" si="154"/>
        <v>1914.0646281428219</v>
      </c>
      <c r="DX44" s="268">
        <f t="shared" si="154"/>
        <v>1918.8497897131788</v>
      </c>
      <c r="DY44" s="268">
        <f t="shared" si="154"/>
        <v>1923.6469141874616</v>
      </c>
      <c r="DZ44" s="268">
        <f t="shared" si="154"/>
        <v>1928.4560314729301</v>
      </c>
      <c r="EA44" s="268">
        <f t="shared" si="154"/>
        <v>1933.2771715516124</v>
      </c>
      <c r="EB44" s="268">
        <f t="shared" si="154"/>
        <v>1938.1103644804912</v>
      </c>
      <c r="EC44" s="268">
        <f t="shared" si="154"/>
        <v>1942.9556403916922</v>
      </c>
      <c r="ED44" s="268">
        <f t="shared" si="154"/>
        <v>1947.8130294926714</v>
      </c>
      <c r="EE44" s="268">
        <f t="shared" si="154"/>
        <v>1952.6825620664029</v>
      </c>
      <c r="EF44" s="268">
        <f t="shared" si="154"/>
        <v>1957.5642684715688</v>
      </c>
      <c r="EG44" s="268">
        <f t="shared" si="154"/>
        <v>1962.4581791427477</v>
      </c>
      <c r="EH44" s="268">
        <f>EG44*(1+EH43)</f>
        <v>1967.3643245906044</v>
      </c>
      <c r="EI44" s="268">
        <f>EH44*(1+EI43)</f>
        <v>1972.2827354020808</v>
      </c>
      <c r="EJ44" s="268">
        <f>EI44*(1+EJ43)</f>
        <v>1977.2134422405859</v>
      </c>
      <c r="EK44" s="67"/>
      <c r="EL44" s="14">
        <f t="shared" si="149"/>
        <v>1480</v>
      </c>
      <c r="EM44" s="14">
        <f t="shared" si="149"/>
        <v>1480</v>
      </c>
      <c r="EN44" s="14">
        <f t="shared" si="149"/>
        <v>1509.8728464086225</v>
      </c>
      <c r="EO44" s="14">
        <f t="shared" si="149"/>
        <v>1555.7970738498609</v>
      </c>
      <c r="EP44" s="14">
        <f t="shared" si="149"/>
        <v>1603.1181306142382</v>
      </c>
      <c r="EQ44" s="14">
        <f t="shared" si="149"/>
        <v>1651.8785026022622</v>
      </c>
      <c r="ER44" s="14">
        <f t="shared" si="149"/>
        <v>1702.1219679637604</v>
      </c>
      <c r="ES44" s="14">
        <f t="shared" si="149"/>
        <v>1753.8936364028796</v>
      </c>
      <c r="ET44" s="14">
        <f t="shared" si="149"/>
        <v>1807.2399896785832</v>
      </c>
      <c r="EU44" s="14">
        <f t="shared" si="149"/>
        <v>1862.2089233370129</v>
      </c>
      <c r="EV44" s="14">
        <f t="shared" si="149"/>
        <v>1918.8497897131788</v>
      </c>
      <c r="EW44" s="14">
        <f t="shared" si="149"/>
        <v>1977.2134422405859</v>
      </c>
    </row>
    <row r="45" spans="2:153" outlineLevel="1" x14ac:dyDescent="0.4">
      <c r="B45" s="1" t="s">
        <v>232</v>
      </c>
      <c r="H45" s="263">
        <f>-H44/12*('Inputs &amp; Drivers'!$C$38)*(H$5&lt;='Inputs &amp; Drivers'!$J$42)</f>
        <v>-123.33333333333333</v>
      </c>
      <c r="I45" s="263">
        <f>-I44/12*('Inputs &amp; Drivers'!$C$38)*(I$5&lt;='Inputs &amp; Drivers'!$J$42)</f>
        <v>-123.33333333333333</v>
      </c>
      <c r="J45" s="263">
        <f>-J44/12*('Inputs &amp; Drivers'!$C$38)*(J$5&lt;='Inputs &amp; Drivers'!$J$42)</f>
        <v>-123.33333333333333</v>
      </c>
      <c r="K45" s="263">
        <f>-K44/12*('Inputs &amp; Drivers'!$C$38)*(K$5&lt;='Inputs &amp; Drivers'!$J$42)</f>
        <v>-123.33333333333333</v>
      </c>
      <c r="L45" s="263">
        <f>-L44/12*('Inputs &amp; Drivers'!$C$38)*(L$5&lt;='Inputs &amp; Drivers'!$J$42)</f>
        <v>-123.33333333333333</v>
      </c>
      <c r="M45" s="263">
        <f>-M44/12*('Inputs &amp; Drivers'!$C$38)*(M$5&lt;='Inputs &amp; Drivers'!$J$42)</f>
        <v>-123.33333333333333</v>
      </c>
      <c r="N45" s="263">
        <f>-N44/12*('Inputs &amp; Drivers'!$C$38)*(N$5&lt;='Inputs &amp; Drivers'!$J$42)</f>
        <v>-123.33333333333333</v>
      </c>
      <c r="O45" s="263">
        <f>-O44/12*('Inputs &amp; Drivers'!$C$38)*(O$5&lt;='Inputs &amp; Drivers'!$J$42)</f>
        <v>-123.33333333333333</v>
      </c>
      <c r="P45" s="263">
        <f>-P44/12*('Inputs &amp; Drivers'!$C$38)*(P$5&lt;='Inputs &amp; Drivers'!$J$42)</f>
        <v>-123.33333333333333</v>
      </c>
      <c r="Q45" s="263">
        <f>-Q44/12*('Inputs &amp; Drivers'!$C$38)*(Q$5&lt;='Inputs &amp; Drivers'!$J$42)</f>
        <v>-123.33333333333333</v>
      </c>
      <c r="R45" s="263">
        <f>-R44/12*('Inputs &amp; Drivers'!$C$38)*(R$5&lt;='Inputs &amp; Drivers'!$J$42)</f>
        <v>-123.33333333333333</v>
      </c>
      <c r="S45" s="263">
        <f>-S44/12*('Inputs &amp; Drivers'!$C$38)*(S$5&lt;='Inputs &amp; Drivers'!$J$42)</f>
        <v>-123.33333333333333</v>
      </c>
      <c r="T45" s="263">
        <f>-T44/12*('Inputs &amp; Drivers'!$C$38)*(T$5&lt;='Inputs &amp; Drivers'!$J$42)</f>
        <v>-123.33333333333333</v>
      </c>
      <c r="U45" s="263">
        <f>-U44/12*('Inputs &amp; Drivers'!$C$38)*(U$5&lt;='Inputs &amp; Drivers'!$J$42)</f>
        <v>-123.53888888888889</v>
      </c>
      <c r="V45" s="263">
        <f>-V44/12*('Inputs &amp; Drivers'!$C$38)*(V$5&lt;='Inputs &amp; Drivers'!$J$42)</f>
        <v>-123.74478703703704</v>
      </c>
      <c r="W45" s="263">
        <f>-W44/12*('Inputs &amp; Drivers'!$C$38)*(W$5&lt;='Inputs &amp; Drivers'!$J$42)</f>
        <v>-123.95102834876543</v>
      </c>
      <c r="X45" s="263">
        <f>-X44/12*('Inputs &amp; Drivers'!$C$38)*(X$5&lt;='Inputs &amp; Drivers'!$J$42)</f>
        <v>-124.15761339601339</v>
      </c>
      <c r="Y45" s="263">
        <f>-Y44/12*('Inputs &amp; Drivers'!$C$38)*(Y$5&lt;='Inputs &amp; Drivers'!$J$42)</f>
        <v>-124.36454275167341</v>
      </c>
      <c r="Z45" s="263">
        <f>-Z44/12*('Inputs &amp; Drivers'!$C$38)*(Z$5&lt;='Inputs &amp; Drivers'!$J$42)</f>
        <v>-124.57181698959288</v>
      </c>
      <c r="AA45" s="263">
        <f>-AA44/12*('Inputs &amp; Drivers'!$C$38)*(AA$5&lt;='Inputs &amp; Drivers'!$J$42)</f>
        <v>-124.77943668457554</v>
      </c>
      <c r="AB45" s="263">
        <f>-AB44/12*('Inputs &amp; Drivers'!$C$38)*(AB$5&lt;='Inputs &amp; Drivers'!$J$42)</f>
        <v>-124.98740241238318</v>
      </c>
      <c r="AC45" s="263">
        <f>-AC44/12*('Inputs &amp; Drivers'!$C$38)*(AC$5&lt;='Inputs &amp; Drivers'!$J$42)</f>
        <v>-125.19571474973715</v>
      </c>
      <c r="AD45" s="263">
        <f>-AD44/12*('Inputs &amp; Drivers'!$C$38)*(AD$5&lt;='Inputs &amp; Drivers'!$J$42)</f>
        <v>-125.40437427432005</v>
      </c>
      <c r="AE45" s="263">
        <f>-AE44/12*('Inputs &amp; Drivers'!$C$38)*(AE$5&lt;='Inputs &amp; Drivers'!$J$42)</f>
        <v>-125.61338156477724</v>
      </c>
      <c r="AF45" s="263">
        <f>-AF44/12*('Inputs &amp; Drivers'!$C$38)*(AF$5&lt;='Inputs &amp; Drivers'!$J$42)</f>
        <v>-125.82273720071855</v>
      </c>
      <c r="AG45" s="263">
        <f>-AG44/12*('Inputs &amp; Drivers'!$C$38)*(AG$5&lt;='Inputs &amp; Drivers'!$J$42)</f>
        <v>-126.13729404372033</v>
      </c>
      <c r="AH45" s="263">
        <f>-AH44/12*('Inputs &amp; Drivers'!$C$38)*(AH$5&lt;='Inputs &amp; Drivers'!$J$42)</f>
        <v>-126.45263727882963</v>
      </c>
      <c r="AI45" s="263">
        <f>-AI44/12*('Inputs &amp; Drivers'!$C$38)*(AI$5&lt;='Inputs &amp; Drivers'!$J$42)</f>
        <v>-126.76876887202668</v>
      </c>
      <c r="AJ45" s="263">
        <f>-AJ44/12*('Inputs &amp; Drivers'!$C$38)*(AJ$5&lt;='Inputs &amp; Drivers'!$J$42)</f>
        <v>-127.08569079420676</v>
      </c>
      <c r="AK45" s="263">
        <f>-AK44/12*('Inputs &amp; Drivers'!$C$38)*(AK$5&lt;='Inputs &amp; Drivers'!$J$42)</f>
        <v>-127.40340502119227</v>
      </c>
      <c r="AL45" s="263">
        <f>-AL44/12*('Inputs &amp; Drivers'!$C$38)*(AL$5&lt;='Inputs &amp; Drivers'!$J$42)</f>
        <v>-127.72191353374524</v>
      </c>
      <c r="AM45" s="263">
        <f>-AM44/12*('Inputs &amp; Drivers'!$C$38)*(AM$5&lt;='Inputs &amp; Drivers'!$J$42)</f>
        <v>-128.04121831757959</v>
      </c>
      <c r="AN45" s="263">
        <f>-AN44/12*('Inputs &amp; Drivers'!$C$38)*(AN$5&lt;='Inputs &amp; Drivers'!$J$42)</f>
        <v>0</v>
      </c>
      <c r="AO45" s="263">
        <f>-AO44/12*('Inputs &amp; Drivers'!$C$38)*(AO$5&lt;='Inputs &amp; Drivers'!$J$42)</f>
        <v>0</v>
      </c>
      <c r="AP45" s="263">
        <f>-AP44/12*('Inputs &amp; Drivers'!$C$38)*(AP$5&lt;='Inputs &amp; Drivers'!$J$42)</f>
        <v>0</v>
      </c>
      <c r="AQ45" s="263">
        <f>-AQ44/12*('Inputs &amp; Drivers'!$C$38)*(AQ$5&lt;='Inputs &amp; Drivers'!$J$42)</f>
        <v>0</v>
      </c>
      <c r="AR45" s="263">
        <f>-AR44/12*('Inputs &amp; Drivers'!$C$38)*(AR$5&lt;='Inputs &amp; Drivers'!$J$42)</f>
        <v>0</v>
      </c>
      <c r="AS45" s="263">
        <f>-AS44/12*('Inputs &amp; Drivers'!$C$38)*(AS$5&lt;='Inputs &amp; Drivers'!$J$42)</f>
        <v>0</v>
      </c>
      <c r="AT45" s="263">
        <f>-AT44/12*('Inputs &amp; Drivers'!$C$38)*(AT$5&lt;='Inputs &amp; Drivers'!$J$42)</f>
        <v>0</v>
      </c>
      <c r="AU45" s="263">
        <f>-AU44/12*('Inputs &amp; Drivers'!$C$38)*(AU$5&lt;='Inputs &amp; Drivers'!$J$42)</f>
        <v>0</v>
      </c>
      <c r="AV45" s="263">
        <f>-AV44/12*('Inputs &amp; Drivers'!$C$38)*(AV$5&lt;='Inputs &amp; Drivers'!$J$42)</f>
        <v>0</v>
      </c>
      <c r="AW45" s="263">
        <f>-AW44/12*('Inputs &amp; Drivers'!$C$38)*(AW$5&lt;='Inputs &amp; Drivers'!$J$42)</f>
        <v>0</v>
      </c>
      <c r="AX45" s="263">
        <f>-AX44/12*('Inputs &amp; Drivers'!$C$38)*(AX$5&lt;='Inputs &amp; Drivers'!$J$42)</f>
        <v>0</v>
      </c>
      <c r="AY45" s="263">
        <f>-AY44/12*('Inputs &amp; Drivers'!$C$38)*(AY$5&lt;='Inputs &amp; Drivers'!$J$42)</f>
        <v>0</v>
      </c>
      <c r="AZ45" s="263">
        <f>-AZ44/12*('Inputs &amp; Drivers'!$C$38)*(AZ$5&lt;='Inputs &amp; Drivers'!$J$42)</f>
        <v>0</v>
      </c>
      <c r="BA45" s="263">
        <f>-BA44/12*('Inputs &amp; Drivers'!$C$38)*(BA$5&lt;='Inputs &amp; Drivers'!$J$42)</f>
        <v>0</v>
      </c>
      <c r="BB45" s="263">
        <f>-BB44/12*('Inputs &amp; Drivers'!$C$38)*(BB$5&lt;='Inputs &amp; Drivers'!$J$42)</f>
        <v>0</v>
      </c>
      <c r="BC45" s="263">
        <f>-BC44/12*('Inputs &amp; Drivers'!$C$38)*(BC$5&lt;='Inputs &amp; Drivers'!$J$42)</f>
        <v>0</v>
      </c>
      <c r="BD45" s="263">
        <f>-BD44/12*('Inputs &amp; Drivers'!$C$38)*(BD$5&lt;='Inputs &amp; Drivers'!$J$42)</f>
        <v>0</v>
      </c>
      <c r="BE45" s="263">
        <f>-BE44/12*('Inputs &amp; Drivers'!$C$38)*(BE$5&lt;='Inputs &amp; Drivers'!$J$42)</f>
        <v>0</v>
      </c>
      <c r="BF45" s="263">
        <f>-BF44/12*('Inputs &amp; Drivers'!$C$38)*(BF$5&lt;='Inputs &amp; Drivers'!$J$42)</f>
        <v>0</v>
      </c>
      <c r="BG45" s="263">
        <f>-BG44/12*('Inputs &amp; Drivers'!$C$38)*(BG$5&lt;='Inputs &amp; Drivers'!$J$42)</f>
        <v>0</v>
      </c>
      <c r="BH45" s="263">
        <f>-BH44/12*('Inputs &amp; Drivers'!$C$38)*(BH$5&lt;='Inputs &amp; Drivers'!$J$42)</f>
        <v>0</v>
      </c>
      <c r="BI45" s="263">
        <f>-BI44/12*('Inputs &amp; Drivers'!$C$38)*(BI$5&lt;='Inputs &amp; Drivers'!$J$42)</f>
        <v>0</v>
      </c>
      <c r="BJ45" s="263">
        <f>-BJ44/12*('Inputs &amp; Drivers'!$C$38)*(BJ$5&lt;='Inputs &amp; Drivers'!$J$42)</f>
        <v>0</v>
      </c>
      <c r="BK45" s="263">
        <f>-BK44/12*('Inputs &amp; Drivers'!$C$38)*(BK$5&lt;='Inputs &amp; Drivers'!$J$42)</f>
        <v>0</v>
      </c>
      <c r="BL45" s="263">
        <f>-BL44/12*('Inputs &amp; Drivers'!$C$38)*(BL$5&lt;='Inputs &amp; Drivers'!$J$42)</f>
        <v>0</v>
      </c>
      <c r="BM45" s="263">
        <f>-BM44/12*('Inputs &amp; Drivers'!$C$38)*(BM$5&lt;='Inputs &amp; Drivers'!$J$42)</f>
        <v>0</v>
      </c>
      <c r="BN45" s="263">
        <f>-BN44/12*('Inputs &amp; Drivers'!$C$38)*(BN$5&lt;='Inputs &amp; Drivers'!$J$42)</f>
        <v>0</v>
      </c>
      <c r="BO45" s="263">
        <f>-BO44/12*('Inputs &amp; Drivers'!$C$38)*(BO$5&lt;='Inputs &amp; Drivers'!$J$42)</f>
        <v>0</v>
      </c>
      <c r="BP45" s="263">
        <f>-BP44/12*('Inputs &amp; Drivers'!$C$38)*(BP$5&lt;='Inputs &amp; Drivers'!$J$42)</f>
        <v>0</v>
      </c>
      <c r="BQ45" s="263">
        <f>-BQ44/12*('Inputs &amp; Drivers'!$C$38)*(BQ$5&lt;='Inputs &amp; Drivers'!$J$42)</f>
        <v>0</v>
      </c>
      <c r="BR45" s="263">
        <f>-BR44/12*('Inputs &amp; Drivers'!$C$38)*(BR$5&lt;='Inputs &amp; Drivers'!$J$42)</f>
        <v>0</v>
      </c>
      <c r="BS45" s="263">
        <f>-BS44/12*('Inputs &amp; Drivers'!$C$38)*(BS$5&lt;='Inputs &amp; Drivers'!$J$42)</f>
        <v>0</v>
      </c>
      <c r="BT45" s="263">
        <f>-BT44/12*('Inputs &amp; Drivers'!$C$38)*(BT$5&lt;='Inputs &amp; Drivers'!$J$42)</f>
        <v>0</v>
      </c>
      <c r="BU45" s="263">
        <f>-BU44/12*('Inputs &amp; Drivers'!$C$38)*(BU$5&lt;='Inputs &amp; Drivers'!$J$42)</f>
        <v>0</v>
      </c>
      <c r="BV45" s="263">
        <f>-BV44/12*('Inputs &amp; Drivers'!$C$38)*(BV$5&lt;='Inputs &amp; Drivers'!$J$42)</f>
        <v>0</v>
      </c>
      <c r="BW45" s="263">
        <f>-BW44/12*('Inputs &amp; Drivers'!$C$38)*(BW$5&lt;='Inputs &amp; Drivers'!$J$42)</f>
        <v>0</v>
      </c>
      <c r="BX45" s="263">
        <f>-BX44/12*('Inputs &amp; Drivers'!$C$38)*(BX$5&lt;='Inputs &amp; Drivers'!$J$42)</f>
        <v>0</v>
      </c>
      <c r="BY45" s="263">
        <f>-BY44/12*('Inputs &amp; Drivers'!$C$38)*(BY$5&lt;='Inputs &amp; Drivers'!$J$42)</f>
        <v>0</v>
      </c>
      <c r="BZ45" s="263">
        <f>-BZ44/12*('Inputs &amp; Drivers'!$C$38)*(BZ$5&lt;='Inputs &amp; Drivers'!$J$42)</f>
        <v>0</v>
      </c>
      <c r="CA45" s="263">
        <f>-CA44/12*('Inputs &amp; Drivers'!$C$38)*(CA$5&lt;='Inputs &amp; Drivers'!$J$42)</f>
        <v>0</v>
      </c>
      <c r="CB45" s="263">
        <f>-CB44/12*('Inputs &amp; Drivers'!$C$38)*(CB$5&lt;='Inputs &amp; Drivers'!$J$42)</f>
        <v>0</v>
      </c>
      <c r="CC45" s="263">
        <f>-CC44/12*('Inputs &amp; Drivers'!$C$38)*(CC$5&lt;='Inputs &amp; Drivers'!$J$42)</f>
        <v>0</v>
      </c>
      <c r="CD45" s="263">
        <f>-CD44/12*('Inputs &amp; Drivers'!$C$38)*(CD$5&lt;='Inputs &amp; Drivers'!$J$42)</f>
        <v>0</v>
      </c>
      <c r="CE45" s="263">
        <f>-CE44/12*('Inputs &amp; Drivers'!$C$38)*(CE$5&lt;='Inputs &amp; Drivers'!$J$42)</f>
        <v>0</v>
      </c>
      <c r="CF45" s="263">
        <f>-CF44/12*('Inputs &amp; Drivers'!$C$38)*(CF$5&lt;='Inputs &amp; Drivers'!$J$42)</f>
        <v>0</v>
      </c>
      <c r="CG45" s="263">
        <f>-CG44/12*('Inputs &amp; Drivers'!$C$38)*(CG$5&lt;='Inputs &amp; Drivers'!$J$42)</f>
        <v>0</v>
      </c>
      <c r="CH45" s="263">
        <f>-CH44/12*('Inputs &amp; Drivers'!$C$38)*(CH$5&lt;='Inputs &amp; Drivers'!$J$42)</f>
        <v>0</v>
      </c>
      <c r="CI45" s="263">
        <f>-CI44/12*('Inputs &amp; Drivers'!$C$38)*(CI$5&lt;='Inputs &amp; Drivers'!$J$42)</f>
        <v>0</v>
      </c>
      <c r="CJ45" s="263">
        <f>-CJ44/12*('Inputs &amp; Drivers'!$C$38)*(CJ$5&lt;='Inputs &amp; Drivers'!$J$42)</f>
        <v>0</v>
      </c>
      <c r="CK45" s="263">
        <f>-CK44/12*('Inputs &amp; Drivers'!$C$38)*(CK$5&lt;='Inputs &amp; Drivers'!$J$42)</f>
        <v>0</v>
      </c>
      <c r="CL45" s="263">
        <f>-CL44/12*('Inputs &amp; Drivers'!$C$38)*(CL$5&lt;='Inputs &amp; Drivers'!$J$42)</f>
        <v>0</v>
      </c>
      <c r="CM45" s="263">
        <f>-CM44/12*('Inputs &amp; Drivers'!$C$38)*(CM$5&lt;='Inputs &amp; Drivers'!$J$42)</f>
        <v>0</v>
      </c>
      <c r="CN45" s="263">
        <f>-CN44/12*('Inputs &amp; Drivers'!$C$38)*(CN$5&lt;='Inputs &amp; Drivers'!$J$42)</f>
        <v>0</v>
      </c>
      <c r="CO45" s="263">
        <f>-CO44/12*('Inputs &amp; Drivers'!$C$38)*(CO$5&lt;='Inputs &amp; Drivers'!$J$42)</f>
        <v>0</v>
      </c>
      <c r="CP45" s="263">
        <f>-CP44/12*('Inputs &amp; Drivers'!$C$38)*(CP$5&lt;='Inputs &amp; Drivers'!$J$42)</f>
        <v>0</v>
      </c>
      <c r="CQ45" s="263">
        <f>-CQ44/12*('Inputs &amp; Drivers'!$C$38)*(CQ$5&lt;='Inputs &amp; Drivers'!$J$42)</f>
        <v>0</v>
      </c>
      <c r="CR45" s="263">
        <f>-CR44/12*('Inputs &amp; Drivers'!$C$38)*(CR$5&lt;='Inputs &amp; Drivers'!$J$42)</f>
        <v>0</v>
      </c>
      <c r="CS45" s="263">
        <f>-CS44/12*('Inputs &amp; Drivers'!$C$38)*(CS$5&lt;='Inputs &amp; Drivers'!$J$42)</f>
        <v>0</v>
      </c>
      <c r="CT45" s="263">
        <f>-CT44/12*('Inputs &amp; Drivers'!$C$38)*(CT$5&lt;='Inputs &amp; Drivers'!$J$42)</f>
        <v>0</v>
      </c>
      <c r="CU45" s="263">
        <f>-CU44/12*('Inputs &amp; Drivers'!$C$38)*(CU$5&lt;='Inputs &amp; Drivers'!$J$42)</f>
        <v>0</v>
      </c>
      <c r="CV45" s="263">
        <f>-CV44/12*('Inputs &amp; Drivers'!$C$38)*(CV$5&lt;='Inputs &amp; Drivers'!$J$42)</f>
        <v>0</v>
      </c>
      <c r="CW45" s="263">
        <f>-CW44/12*('Inputs &amp; Drivers'!$C$38)*(CW$5&lt;='Inputs &amp; Drivers'!$J$42)</f>
        <v>0</v>
      </c>
      <c r="CX45" s="263">
        <f>-CX44/12*('Inputs &amp; Drivers'!$C$38)*(CX$5&lt;='Inputs &amp; Drivers'!$J$42)</f>
        <v>0</v>
      </c>
      <c r="CY45" s="263">
        <f>-CY44/12*('Inputs &amp; Drivers'!$C$38)*(CY$5&lt;='Inputs &amp; Drivers'!$J$42)</f>
        <v>0</v>
      </c>
      <c r="CZ45" s="263">
        <f>-CZ44/12*('Inputs &amp; Drivers'!$C$38)*(CZ$5&lt;='Inputs &amp; Drivers'!$J$42)</f>
        <v>0</v>
      </c>
      <c r="DA45" s="263">
        <f>-DA44/12*('Inputs &amp; Drivers'!$C$38)*(DA$5&lt;='Inputs &amp; Drivers'!$J$42)</f>
        <v>0</v>
      </c>
      <c r="DB45" s="263">
        <f>-DB44/12*('Inputs &amp; Drivers'!$C$38)*(DB$5&lt;='Inputs &amp; Drivers'!$J$42)</f>
        <v>0</v>
      </c>
      <c r="DC45" s="263">
        <f>-DC44/12*('Inputs &amp; Drivers'!$C$38)*(DC$5&lt;='Inputs &amp; Drivers'!$J$42)</f>
        <v>0</v>
      </c>
      <c r="DD45" s="263">
        <f>-DD44/12*('Inputs &amp; Drivers'!$C$38)*(DD$5&lt;='Inputs &amp; Drivers'!$J$42)</f>
        <v>0</v>
      </c>
      <c r="DE45" s="263">
        <f>-DE44/12*('Inputs &amp; Drivers'!$C$38)*(DE$5&lt;='Inputs &amp; Drivers'!$J$42)</f>
        <v>0</v>
      </c>
      <c r="DF45" s="263">
        <f>-DF44/12*('Inputs &amp; Drivers'!$C$38)*(DF$5&lt;='Inputs &amp; Drivers'!$J$42)</f>
        <v>0</v>
      </c>
      <c r="DG45" s="263">
        <f>-DG44/12*('Inputs &amp; Drivers'!$C$38)*(DG$5&lt;='Inputs &amp; Drivers'!$J$42)</f>
        <v>0</v>
      </c>
      <c r="DH45" s="263">
        <f>-DH44/12*('Inputs &amp; Drivers'!$C$38)*(DH$5&lt;='Inputs &amp; Drivers'!$J$42)</f>
        <v>0</v>
      </c>
      <c r="DI45" s="263">
        <f>-DI44/12*('Inputs &amp; Drivers'!$C$38)*(DI$5&lt;='Inputs &amp; Drivers'!$J$42)</f>
        <v>0</v>
      </c>
      <c r="DJ45" s="263">
        <f>-DJ44/12*('Inputs &amp; Drivers'!$C$38)*(DJ$5&lt;='Inputs &amp; Drivers'!$J$42)</f>
        <v>0</v>
      </c>
      <c r="DK45" s="263">
        <f>-DK44/12*('Inputs &amp; Drivers'!$C$38)*(DK$5&lt;='Inputs &amp; Drivers'!$J$42)</f>
        <v>0</v>
      </c>
      <c r="DL45" s="263">
        <f>-DL44/12*('Inputs &amp; Drivers'!$C$38)*(DL$5&lt;='Inputs &amp; Drivers'!$J$42)</f>
        <v>0</v>
      </c>
      <c r="DM45" s="263">
        <f>-DM44/12*('Inputs &amp; Drivers'!$C$38)*(DM$5&lt;='Inputs &amp; Drivers'!$J$42)</f>
        <v>0</v>
      </c>
      <c r="DN45" s="263">
        <f>-DN44/12*('Inputs &amp; Drivers'!$C$38)*(DN$5&lt;='Inputs &amp; Drivers'!$J$42)</f>
        <v>0</v>
      </c>
      <c r="DO45" s="263">
        <f>-DO44/12*('Inputs &amp; Drivers'!$C$38)*(DO$5&lt;='Inputs &amp; Drivers'!$J$42)</f>
        <v>0</v>
      </c>
      <c r="DP45" s="263">
        <f>-DP44/12*('Inputs &amp; Drivers'!$C$38)*(DP$5&lt;='Inputs &amp; Drivers'!$J$42)</f>
        <v>0</v>
      </c>
      <c r="DQ45" s="263">
        <f>-DQ44/12*('Inputs &amp; Drivers'!$C$38)*(DQ$5&lt;='Inputs &amp; Drivers'!$J$42)</f>
        <v>0</v>
      </c>
      <c r="DR45" s="263">
        <f>-DR44/12*('Inputs &amp; Drivers'!$C$38)*(DR$5&lt;='Inputs &amp; Drivers'!$J$42)</f>
        <v>0</v>
      </c>
      <c r="DS45" s="263">
        <f>-DS44/12*('Inputs &amp; Drivers'!$C$38)*(DS$5&lt;='Inputs &amp; Drivers'!$J$42)</f>
        <v>0</v>
      </c>
      <c r="DT45" s="263">
        <f>-DT44/12*('Inputs &amp; Drivers'!$C$38)*(DT$5&lt;='Inputs &amp; Drivers'!$J$42)</f>
        <v>0</v>
      </c>
      <c r="DU45" s="263">
        <f>-DU44/12*('Inputs &amp; Drivers'!$C$38)*(DU$5&lt;='Inputs &amp; Drivers'!$J$42)</f>
        <v>0</v>
      </c>
      <c r="DV45" s="263">
        <f>-DV44/12*('Inputs &amp; Drivers'!$C$38)*(DV$5&lt;='Inputs &amp; Drivers'!$J$42)</f>
        <v>0</v>
      </c>
      <c r="DW45" s="263">
        <f>-DW44/12*('Inputs &amp; Drivers'!$C$38)*(DW$5&lt;='Inputs &amp; Drivers'!$J$42)</f>
        <v>0</v>
      </c>
      <c r="DX45" s="263">
        <f>-DX44/12*('Inputs &amp; Drivers'!$C$38)*(DX$5&lt;='Inputs &amp; Drivers'!$J$42)</f>
        <v>0</v>
      </c>
      <c r="DY45" s="263">
        <f>-DY44/12*('Inputs &amp; Drivers'!$C$38)*(DY$5&lt;='Inputs &amp; Drivers'!$J$42)</f>
        <v>0</v>
      </c>
      <c r="DZ45" s="263">
        <f>-DZ44/12*('Inputs &amp; Drivers'!$C$38)*(DZ$5&lt;='Inputs &amp; Drivers'!$J$42)</f>
        <v>0</v>
      </c>
      <c r="EA45" s="263">
        <f>-EA44/12*('Inputs &amp; Drivers'!$C$38)*(EA$5&lt;='Inputs &amp; Drivers'!$J$42)</f>
        <v>0</v>
      </c>
      <c r="EB45" s="263">
        <f>-EB44/12*('Inputs &amp; Drivers'!$C$38)*(EB$5&lt;='Inputs &amp; Drivers'!$J$42)</f>
        <v>0</v>
      </c>
      <c r="EC45" s="263">
        <f>-EC44/12*('Inputs &amp; Drivers'!$C$38)*(EC$5&lt;='Inputs &amp; Drivers'!$J$42)</f>
        <v>0</v>
      </c>
      <c r="ED45" s="263">
        <f>-ED44/12*('Inputs &amp; Drivers'!$C$38)*(ED$5&lt;='Inputs &amp; Drivers'!$J$42)</f>
        <v>0</v>
      </c>
      <c r="EE45" s="263">
        <f>-EE44/12*('Inputs &amp; Drivers'!$C$38)*(EE$5&lt;='Inputs &amp; Drivers'!$J$42)</f>
        <v>0</v>
      </c>
      <c r="EF45" s="263">
        <f>-EF44/12*('Inputs &amp; Drivers'!$C$38)*(EF$5&lt;='Inputs &amp; Drivers'!$J$42)</f>
        <v>0</v>
      </c>
      <c r="EG45" s="263">
        <f>-EG44/12*('Inputs &amp; Drivers'!$C$38)*(EG$5&lt;='Inputs &amp; Drivers'!$J$42)</f>
        <v>0</v>
      </c>
      <c r="EH45" s="263">
        <f>-EH44/12*('Inputs &amp; Drivers'!$C$38)*(EH$5&lt;='Inputs &amp; Drivers'!$J$42)</f>
        <v>0</v>
      </c>
      <c r="EI45" s="263">
        <f>-EI44/12*('Inputs &amp; Drivers'!$C$38)*(EI$5&lt;='Inputs &amp; Drivers'!$J$42)</f>
        <v>0</v>
      </c>
      <c r="EJ45" s="263">
        <f>-EJ44/12*('Inputs &amp; Drivers'!$C$38)*(EJ$5&lt;='Inputs &amp; Drivers'!$J$42)</f>
        <v>0</v>
      </c>
      <c r="EK45" s="67"/>
      <c r="EL45" s="14">
        <f t="shared" si="149"/>
        <v>-123.33333333333333</v>
      </c>
      <c r="EM45" s="14">
        <f t="shared" si="149"/>
        <v>-123.33333333333333</v>
      </c>
      <c r="EN45" s="14">
        <f t="shared" si="149"/>
        <v>-125.82273720071855</v>
      </c>
      <c r="EO45" s="14">
        <f t="shared" si="149"/>
        <v>0</v>
      </c>
      <c r="EP45" s="14">
        <f t="shared" si="149"/>
        <v>0</v>
      </c>
      <c r="EQ45" s="14">
        <f t="shared" si="149"/>
        <v>0</v>
      </c>
      <c r="ER45" s="14">
        <f t="shared" si="149"/>
        <v>0</v>
      </c>
      <c r="ES45" s="14">
        <f t="shared" si="149"/>
        <v>0</v>
      </c>
      <c r="ET45" s="14">
        <f t="shared" si="149"/>
        <v>0</v>
      </c>
      <c r="EU45" s="14">
        <f t="shared" si="149"/>
        <v>0</v>
      </c>
      <c r="EV45" s="14">
        <f t="shared" si="149"/>
        <v>0</v>
      </c>
      <c r="EW45" s="14">
        <f t="shared" si="149"/>
        <v>0</v>
      </c>
    </row>
    <row r="46" spans="2:153" outlineLevel="1" x14ac:dyDescent="0.4">
      <c r="B46" s="1" t="s">
        <v>202</v>
      </c>
      <c r="H46" s="261">
        <f t="shared" ref="H46:AM46" si="155">SUM(H44+H45)</f>
        <v>1356.6666666666667</v>
      </c>
      <c r="I46" s="261">
        <f t="shared" si="155"/>
        <v>1356.6666666666667</v>
      </c>
      <c r="J46" s="261">
        <f t="shared" si="155"/>
        <v>1356.6666666666667</v>
      </c>
      <c r="K46" s="261">
        <f t="shared" si="155"/>
        <v>1356.6666666666667</v>
      </c>
      <c r="L46" s="261">
        <f t="shared" si="155"/>
        <v>1356.6666666666667</v>
      </c>
      <c r="M46" s="261">
        <f t="shared" si="155"/>
        <v>1356.6666666666667</v>
      </c>
      <c r="N46" s="261">
        <f t="shared" si="155"/>
        <v>1356.6666666666667</v>
      </c>
      <c r="O46" s="261">
        <f t="shared" si="155"/>
        <v>1356.6666666666667</v>
      </c>
      <c r="P46" s="261">
        <f t="shared" si="155"/>
        <v>1356.6666666666667</v>
      </c>
      <c r="Q46" s="261">
        <f t="shared" si="155"/>
        <v>1356.6666666666667</v>
      </c>
      <c r="R46" s="261">
        <f t="shared" si="155"/>
        <v>1356.6666666666667</v>
      </c>
      <c r="S46" s="261">
        <f t="shared" si="155"/>
        <v>1356.6666666666667</v>
      </c>
      <c r="T46" s="261">
        <f t="shared" si="155"/>
        <v>1356.6666666666667</v>
      </c>
      <c r="U46" s="261">
        <f t="shared" si="155"/>
        <v>1358.9277777777779</v>
      </c>
      <c r="V46" s="261">
        <f t="shared" si="155"/>
        <v>1361.1926574074075</v>
      </c>
      <c r="W46" s="261">
        <f t="shared" si="155"/>
        <v>1363.4613118364198</v>
      </c>
      <c r="X46" s="261">
        <f t="shared" si="155"/>
        <v>1365.7337473561472</v>
      </c>
      <c r="Y46" s="261">
        <f t="shared" si="155"/>
        <v>1368.0099702684074</v>
      </c>
      <c r="Z46" s="261">
        <f t="shared" si="155"/>
        <v>1370.2899868855216</v>
      </c>
      <c r="AA46" s="261">
        <f t="shared" si="155"/>
        <v>1372.5738035303309</v>
      </c>
      <c r="AB46" s="261">
        <f t="shared" si="155"/>
        <v>1374.8614265362148</v>
      </c>
      <c r="AC46" s="261">
        <f t="shared" si="155"/>
        <v>1377.1528622471087</v>
      </c>
      <c r="AD46" s="261">
        <f t="shared" si="155"/>
        <v>1379.4481170175204</v>
      </c>
      <c r="AE46" s="261">
        <f t="shared" si="155"/>
        <v>1381.7471972125497</v>
      </c>
      <c r="AF46" s="261">
        <f t="shared" si="155"/>
        <v>1384.0501092079039</v>
      </c>
      <c r="AG46" s="261">
        <f t="shared" si="155"/>
        <v>1387.5102344809236</v>
      </c>
      <c r="AH46" s="261">
        <f t="shared" si="155"/>
        <v>1390.979010067126</v>
      </c>
      <c r="AI46" s="261">
        <f t="shared" si="155"/>
        <v>1394.4564575922936</v>
      </c>
      <c r="AJ46" s="261">
        <f t="shared" si="155"/>
        <v>1397.9425987362742</v>
      </c>
      <c r="AK46" s="261">
        <f t="shared" si="155"/>
        <v>1401.4374552331151</v>
      </c>
      <c r="AL46" s="261">
        <f t="shared" si="155"/>
        <v>1404.9410488711976</v>
      </c>
      <c r="AM46" s="261">
        <f t="shared" si="155"/>
        <v>1408.4534014933756</v>
      </c>
      <c r="AN46" s="261">
        <f t="shared" ref="AN46:BS46" si="156">SUM(AN44+AN45)</f>
        <v>1540.3358563604825</v>
      </c>
      <c r="AO46" s="261">
        <f t="shared" si="156"/>
        <v>1544.1866960013836</v>
      </c>
      <c r="AP46" s="261">
        <f t="shared" si="156"/>
        <v>1548.047162741387</v>
      </c>
      <c r="AQ46" s="261">
        <f t="shared" si="156"/>
        <v>1551.9172806482404</v>
      </c>
      <c r="AR46" s="261">
        <f t="shared" si="156"/>
        <v>1555.7970738498609</v>
      </c>
      <c r="AS46" s="261">
        <f t="shared" si="156"/>
        <v>1559.6865665344856</v>
      </c>
      <c r="AT46" s="261">
        <f t="shared" si="156"/>
        <v>1563.5857829508218</v>
      </c>
      <c r="AU46" s="261">
        <f t="shared" si="156"/>
        <v>1567.4947474081987</v>
      </c>
      <c r="AV46" s="261">
        <f t="shared" si="156"/>
        <v>1571.4134842767191</v>
      </c>
      <c r="AW46" s="261">
        <f t="shared" si="156"/>
        <v>1575.3420179874108</v>
      </c>
      <c r="AX46" s="261">
        <f t="shared" si="156"/>
        <v>1579.2803730323792</v>
      </c>
      <c r="AY46" s="261">
        <f t="shared" si="156"/>
        <v>1583.2285739649601</v>
      </c>
      <c r="AZ46" s="261">
        <f t="shared" si="156"/>
        <v>1587.1866453998725</v>
      </c>
      <c r="BA46" s="261">
        <f t="shared" si="156"/>
        <v>1591.1546120133721</v>
      </c>
      <c r="BB46" s="261">
        <f t="shared" si="156"/>
        <v>1595.1324985434055</v>
      </c>
      <c r="BC46" s="261">
        <f t="shared" si="156"/>
        <v>1599.1203297897639</v>
      </c>
      <c r="BD46" s="261">
        <f t="shared" si="156"/>
        <v>1603.1181306142382</v>
      </c>
      <c r="BE46" s="261">
        <f t="shared" si="156"/>
        <v>1607.1259259407736</v>
      </c>
      <c r="BF46" s="261">
        <f t="shared" si="156"/>
        <v>1611.1437407556255</v>
      </c>
      <c r="BG46" s="261">
        <f t="shared" si="156"/>
        <v>1615.1716001075145</v>
      </c>
      <c r="BH46" s="261">
        <f t="shared" si="156"/>
        <v>1619.2095291077831</v>
      </c>
      <c r="BI46" s="261">
        <f t="shared" si="156"/>
        <v>1623.2575529305525</v>
      </c>
      <c r="BJ46" s="261">
        <f t="shared" si="156"/>
        <v>1627.3156968128787</v>
      </c>
      <c r="BK46" s="261">
        <f t="shared" si="156"/>
        <v>1631.3839860549108</v>
      </c>
      <c r="BL46" s="261">
        <f t="shared" si="156"/>
        <v>1635.462446020048</v>
      </c>
      <c r="BM46" s="261">
        <f t="shared" si="156"/>
        <v>1639.5511021350981</v>
      </c>
      <c r="BN46" s="261">
        <f t="shared" si="156"/>
        <v>1643.6499798904358</v>
      </c>
      <c r="BO46" s="261">
        <f t="shared" si="156"/>
        <v>1647.7591048401619</v>
      </c>
      <c r="BP46" s="261">
        <f t="shared" si="156"/>
        <v>1651.8785026022622</v>
      </c>
      <c r="BQ46" s="261">
        <f t="shared" si="156"/>
        <v>1656.0081988587679</v>
      </c>
      <c r="BR46" s="261">
        <f t="shared" si="156"/>
        <v>1660.1482193559148</v>
      </c>
      <c r="BS46" s="261">
        <f t="shared" si="156"/>
        <v>1664.2985899043044</v>
      </c>
      <c r="BT46" s="261">
        <f t="shared" ref="BT46:CY46" si="157">SUM(BT44+BT45)</f>
        <v>1668.459336379065</v>
      </c>
      <c r="BU46" s="261">
        <f t="shared" si="157"/>
        <v>1672.6304847200126</v>
      </c>
      <c r="BV46" s="261">
        <f t="shared" si="157"/>
        <v>1676.8120609318125</v>
      </c>
      <c r="BW46" s="261">
        <f t="shared" si="157"/>
        <v>1681.0040910841419</v>
      </c>
      <c r="BX46" s="261">
        <f t="shared" si="157"/>
        <v>1685.2066013118522</v>
      </c>
      <c r="BY46" s="261">
        <f t="shared" si="157"/>
        <v>1689.4196178151317</v>
      </c>
      <c r="BZ46" s="261">
        <f t="shared" si="157"/>
        <v>1693.6431668596695</v>
      </c>
      <c r="CA46" s="261">
        <f t="shared" si="157"/>
        <v>1697.8772747768185</v>
      </c>
      <c r="CB46" s="261">
        <f t="shared" si="157"/>
        <v>1702.1219679637604</v>
      </c>
      <c r="CC46" s="261">
        <f t="shared" si="157"/>
        <v>1706.3772728836698</v>
      </c>
      <c r="CD46" s="261">
        <f t="shared" si="157"/>
        <v>1710.643216065879</v>
      </c>
      <c r="CE46" s="261">
        <f t="shared" si="157"/>
        <v>1714.9198241060435</v>
      </c>
      <c r="CF46" s="261">
        <f t="shared" si="157"/>
        <v>1719.2071236663085</v>
      </c>
      <c r="CG46" s="261">
        <f t="shared" si="157"/>
        <v>1723.5051414754741</v>
      </c>
      <c r="CH46" s="261">
        <f t="shared" si="157"/>
        <v>1727.8139043291628</v>
      </c>
      <c r="CI46" s="261">
        <f t="shared" si="157"/>
        <v>1732.1334390899856</v>
      </c>
      <c r="CJ46" s="261">
        <f t="shared" si="157"/>
        <v>1736.4637726877104</v>
      </c>
      <c r="CK46" s="261">
        <f t="shared" si="157"/>
        <v>1740.8049321194296</v>
      </c>
      <c r="CL46" s="261">
        <f t="shared" si="157"/>
        <v>1745.1569444497281</v>
      </c>
      <c r="CM46" s="261">
        <f t="shared" si="157"/>
        <v>1749.5198368108524</v>
      </c>
      <c r="CN46" s="261">
        <f t="shared" si="157"/>
        <v>1753.8936364028796</v>
      </c>
      <c r="CO46" s="261">
        <f t="shared" si="157"/>
        <v>1758.2783704938868</v>
      </c>
      <c r="CP46" s="261">
        <f t="shared" si="157"/>
        <v>1762.6740664201213</v>
      </c>
      <c r="CQ46" s="261">
        <f t="shared" si="157"/>
        <v>1767.0807515861716</v>
      </c>
      <c r="CR46" s="261">
        <f t="shared" si="157"/>
        <v>1771.4984534651369</v>
      </c>
      <c r="CS46" s="261">
        <f t="shared" si="157"/>
        <v>1775.9271995987997</v>
      </c>
      <c r="CT46" s="261">
        <f t="shared" si="157"/>
        <v>1780.3670175977966</v>
      </c>
      <c r="CU46" s="261">
        <f t="shared" si="157"/>
        <v>1784.8179351417909</v>
      </c>
      <c r="CV46" s="261">
        <f t="shared" si="157"/>
        <v>1789.2799799796453</v>
      </c>
      <c r="CW46" s="261">
        <f t="shared" si="157"/>
        <v>1793.7531799295944</v>
      </c>
      <c r="CX46" s="261">
        <f t="shared" si="157"/>
        <v>1798.2375628794182</v>
      </c>
      <c r="CY46" s="261">
        <f t="shared" si="157"/>
        <v>1802.7331567866167</v>
      </c>
      <c r="CZ46" s="261">
        <f t="shared" ref="CZ46:EE46" si="158">SUM(CZ44+CZ45)</f>
        <v>1807.2399896785832</v>
      </c>
      <c r="DA46" s="261">
        <f t="shared" si="158"/>
        <v>1811.7580896527795</v>
      </c>
      <c r="DB46" s="261">
        <f t="shared" si="158"/>
        <v>1816.2874848769113</v>
      </c>
      <c r="DC46" s="261">
        <f t="shared" si="158"/>
        <v>1820.8282035891034</v>
      </c>
      <c r="DD46" s="261">
        <f t="shared" si="158"/>
        <v>1825.3802740980761</v>
      </c>
      <c r="DE46" s="261">
        <f t="shared" si="158"/>
        <v>1829.9437247833212</v>
      </c>
      <c r="DF46" s="261">
        <f t="shared" si="158"/>
        <v>1834.5185840952793</v>
      </c>
      <c r="DG46" s="261">
        <f t="shared" si="158"/>
        <v>1839.1048805555174</v>
      </c>
      <c r="DH46" s="261">
        <f t="shared" si="158"/>
        <v>1843.702642756906</v>
      </c>
      <c r="DI46" s="261">
        <f t="shared" si="158"/>
        <v>1848.3118993637981</v>
      </c>
      <c r="DJ46" s="261">
        <f t="shared" si="158"/>
        <v>1852.9326791122076</v>
      </c>
      <c r="DK46" s="261">
        <f t="shared" si="158"/>
        <v>1857.5650108099881</v>
      </c>
      <c r="DL46" s="261">
        <f t="shared" si="158"/>
        <v>1862.2089233370129</v>
      </c>
      <c r="DM46" s="261">
        <f t="shared" si="158"/>
        <v>1866.8644456453553</v>
      </c>
      <c r="DN46" s="261">
        <f t="shared" si="158"/>
        <v>1871.5316067594686</v>
      </c>
      <c r="DO46" s="261">
        <f t="shared" si="158"/>
        <v>1876.2104357763671</v>
      </c>
      <c r="DP46" s="261">
        <f t="shared" si="158"/>
        <v>1880.9009618658079</v>
      </c>
      <c r="DQ46" s="261">
        <f t="shared" si="158"/>
        <v>1885.6032142704723</v>
      </c>
      <c r="DR46" s="261">
        <f t="shared" si="158"/>
        <v>1890.3172223061483</v>
      </c>
      <c r="DS46" s="261">
        <f t="shared" si="158"/>
        <v>1895.0430153619136</v>
      </c>
      <c r="DT46" s="261">
        <f t="shared" si="158"/>
        <v>1899.7806229003183</v>
      </c>
      <c r="DU46" s="261">
        <f t="shared" si="158"/>
        <v>1904.5300744575691</v>
      </c>
      <c r="DV46" s="261">
        <f t="shared" si="158"/>
        <v>1909.2913996437128</v>
      </c>
      <c r="DW46" s="261">
        <f t="shared" si="158"/>
        <v>1914.0646281428219</v>
      </c>
      <c r="DX46" s="261">
        <f t="shared" si="158"/>
        <v>1918.8497897131788</v>
      </c>
      <c r="DY46" s="261">
        <f t="shared" si="158"/>
        <v>1923.6469141874616</v>
      </c>
      <c r="DZ46" s="261">
        <f t="shared" si="158"/>
        <v>1928.4560314729301</v>
      </c>
      <c r="EA46" s="261">
        <f t="shared" si="158"/>
        <v>1933.2771715516124</v>
      </c>
      <c r="EB46" s="261">
        <f t="shared" si="158"/>
        <v>1938.1103644804912</v>
      </c>
      <c r="EC46" s="261">
        <f t="shared" si="158"/>
        <v>1942.9556403916922</v>
      </c>
      <c r="ED46" s="261">
        <f t="shared" si="158"/>
        <v>1947.8130294926714</v>
      </c>
      <c r="EE46" s="261">
        <f t="shared" si="158"/>
        <v>1952.6825620664029</v>
      </c>
      <c r="EF46" s="261">
        <f t="shared" ref="EF46:FK46" si="159">SUM(EF44+EF45)</f>
        <v>1957.5642684715688</v>
      </c>
      <c r="EG46" s="261">
        <f t="shared" si="159"/>
        <v>1962.4581791427477</v>
      </c>
      <c r="EH46" s="261">
        <f t="shared" si="159"/>
        <v>1967.3643245906044</v>
      </c>
      <c r="EI46" s="261">
        <f t="shared" si="159"/>
        <v>1972.2827354020808</v>
      </c>
      <c r="EJ46" s="261">
        <f t="shared" si="159"/>
        <v>1977.2134422405859</v>
      </c>
      <c r="EK46" s="67"/>
      <c r="EL46" s="14">
        <f t="shared" ref="EL46:EW46" si="160">SUM(EL44:EL45)</f>
        <v>1356.6666666666667</v>
      </c>
      <c r="EM46" s="14">
        <f t="shared" si="160"/>
        <v>1356.6666666666667</v>
      </c>
      <c r="EN46" s="14">
        <f t="shared" si="160"/>
        <v>1384.0501092079039</v>
      </c>
      <c r="EO46" s="14">
        <f t="shared" si="160"/>
        <v>1555.7970738498609</v>
      </c>
      <c r="EP46" s="14">
        <f t="shared" si="160"/>
        <v>1603.1181306142382</v>
      </c>
      <c r="EQ46" s="14">
        <f t="shared" si="160"/>
        <v>1651.8785026022622</v>
      </c>
      <c r="ER46" s="14">
        <f t="shared" si="160"/>
        <v>1702.1219679637604</v>
      </c>
      <c r="ES46" s="14">
        <f t="shared" si="160"/>
        <v>1753.8936364028796</v>
      </c>
      <c r="ET46" s="14">
        <f t="shared" si="160"/>
        <v>1807.2399896785832</v>
      </c>
      <c r="EU46" s="14">
        <f t="shared" si="160"/>
        <v>1862.2089233370129</v>
      </c>
      <c r="EV46" s="14">
        <f t="shared" si="160"/>
        <v>1918.8497897131788</v>
      </c>
      <c r="EW46" s="14">
        <f t="shared" si="160"/>
        <v>1977.2134422405859</v>
      </c>
    </row>
    <row r="47" spans="2:153" x14ac:dyDescent="0.4">
      <c r="U47" s="170"/>
      <c r="V47" s="170"/>
      <c r="W47" s="170"/>
      <c r="X47" s="170"/>
      <c r="Y47" s="170"/>
      <c r="Z47" s="170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</row>
    <row r="48" spans="2:153" x14ac:dyDescent="0.4">
      <c r="B48" s="10" t="s">
        <v>28</v>
      </c>
    </row>
    <row r="49" spans="2:153" x14ac:dyDescent="0.4">
      <c r="B49" s="1" t="s">
        <v>231</v>
      </c>
      <c r="F49" s="244" cm="1">
        <f t="array" ref="F49">SUMPRODUCT(($H49:$EJ49)*($H$6:$EJ$6&lt;=$C$5))</f>
        <v>7103622.669704996</v>
      </c>
      <c r="H49" s="19"/>
      <c r="I49" s="264">
        <f>I44*I22</f>
        <v>0</v>
      </c>
      <c r="J49" s="264">
        <f t="shared" ref="J49:BU49" si="161">J44*J22</f>
        <v>0</v>
      </c>
      <c r="K49" s="264">
        <f t="shared" si="161"/>
        <v>0</v>
      </c>
      <c r="L49" s="264">
        <f t="shared" si="161"/>
        <v>0</v>
      </c>
      <c r="M49" s="264">
        <f t="shared" si="161"/>
        <v>0</v>
      </c>
      <c r="N49" s="264">
        <f t="shared" si="161"/>
        <v>0</v>
      </c>
      <c r="O49" s="264">
        <f t="shared" si="161"/>
        <v>0</v>
      </c>
      <c r="P49" s="264">
        <f t="shared" si="161"/>
        <v>0</v>
      </c>
      <c r="Q49" s="264">
        <f t="shared" si="161"/>
        <v>0</v>
      </c>
      <c r="R49" s="264">
        <f t="shared" si="161"/>
        <v>0</v>
      </c>
      <c r="S49" s="264">
        <f t="shared" si="161"/>
        <v>0</v>
      </c>
      <c r="T49" s="264">
        <f t="shared" si="161"/>
        <v>0</v>
      </c>
      <c r="U49" s="264">
        <f t="shared" si="161"/>
        <v>0</v>
      </c>
      <c r="V49" s="264">
        <f t="shared" si="161"/>
        <v>0</v>
      </c>
      <c r="W49" s="264">
        <f t="shared" si="161"/>
        <v>0</v>
      </c>
      <c r="X49" s="264">
        <f t="shared" si="161"/>
        <v>0</v>
      </c>
      <c r="Y49" s="264">
        <f t="shared" si="161"/>
        <v>44771.235390602429</v>
      </c>
      <c r="Z49" s="264">
        <f t="shared" si="161"/>
        <v>89691.708232506862</v>
      </c>
      <c r="AA49" s="264">
        <f t="shared" si="161"/>
        <v>134761.79161934159</v>
      </c>
      <c r="AB49" s="264">
        <f t="shared" si="161"/>
        <v>179981.85947383178</v>
      </c>
      <c r="AC49" s="264">
        <f t="shared" si="161"/>
        <v>225352.28654952688</v>
      </c>
      <c r="AD49" s="264">
        <f t="shared" si="161"/>
        <v>270873.44843253132</v>
      </c>
      <c r="AE49" s="264">
        <f t="shared" si="161"/>
        <v>316545.72154323867</v>
      </c>
      <c r="AF49" s="264">
        <f t="shared" si="161"/>
        <v>362369.48313806939</v>
      </c>
      <c r="AG49" s="264">
        <f t="shared" si="161"/>
        <v>408684.83270165388</v>
      </c>
      <c r="AH49" s="264">
        <f t="shared" si="161"/>
        <v>455229.49420378666</v>
      </c>
      <c r="AI49" s="264">
        <f t="shared" si="161"/>
        <v>456367.56793929607</v>
      </c>
      <c r="AJ49" s="264">
        <f t="shared" si="161"/>
        <v>457508.48685914429</v>
      </c>
      <c r="AK49" s="264">
        <f t="shared" si="161"/>
        <v>458652.25807629217</v>
      </c>
      <c r="AL49" s="264">
        <f t="shared" si="161"/>
        <v>459798.88872148283</v>
      </c>
      <c r="AM49" s="264">
        <f t="shared" si="161"/>
        <v>460948.38594328653</v>
      </c>
      <c r="AN49" s="264">
        <f t="shared" si="161"/>
        <v>462100.75690814474</v>
      </c>
      <c r="AO49" s="264">
        <f t="shared" si="161"/>
        <v>463256.00880041509</v>
      </c>
      <c r="AP49" s="264">
        <f t="shared" si="161"/>
        <v>464414.14882241609</v>
      </c>
      <c r="AQ49" s="264">
        <f t="shared" si="161"/>
        <v>465575.18419447215</v>
      </c>
      <c r="AR49" s="264">
        <f t="shared" si="161"/>
        <v>466739.12215495826</v>
      </c>
      <c r="AS49" s="264">
        <f t="shared" si="161"/>
        <v>467905.96996034565</v>
      </c>
      <c r="AT49" s="264">
        <f t="shared" si="161"/>
        <v>469075.73488524655</v>
      </c>
      <c r="AU49" s="264">
        <f t="shared" si="161"/>
        <v>470248.42422245961</v>
      </c>
      <c r="AV49" s="264">
        <f t="shared" si="161"/>
        <v>471424.04528301576</v>
      </c>
      <c r="AW49" s="264">
        <f t="shared" si="161"/>
        <v>472602.60539622325</v>
      </c>
      <c r="AX49" s="264">
        <f t="shared" si="161"/>
        <v>473784.11190971377</v>
      </c>
      <c r="AY49" s="264">
        <f t="shared" si="161"/>
        <v>474968.57218948804</v>
      </c>
      <c r="AZ49" s="264">
        <f t="shared" si="161"/>
        <v>476155.99361996178</v>
      </c>
      <c r="BA49" s="264">
        <f t="shared" si="161"/>
        <v>477346.38360401161</v>
      </c>
      <c r="BB49" s="264">
        <f t="shared" si="161"/>
        <v>478539.74956302164</v>
      </c>
      <c r="BC49" s="264">
        <f t="shared" si="161"/>
        <v>479736.09893692919</v>
      </c>
      <c r="BD49" s="264">
        <f t="shared" si="161"/>
        <v>480935.43918427144</v>
      </c>
      <c r="BE49" s="264">
        <f t="shared" si="161"/>
        <v>482137.77778223209</v>
      </c>
      <c r="BF49" s="264">
        <f t="shared" si="161"/>
        <v>483343.12222668761</v>
      </c>
      <c r="BG49" s="264">
        <f t="shared" si="161"/>
        <v>484551.48003225436</v>
      </c>
      <c r="BH49" s="264">
        <f t="shared" si="161"/>
        <v>485762.85873233492</v>
      </c>
      <c r="BI49" s="264">
        <f t="shared" si="161"/>
        <v>486977.26587916573</v>
      </c>
      <c r="BJ49" s="264">
        <f t="shared" si="161"/>
        <v>488194.70904386364</v>
      </c>
      <c r="BK49" s="264">
        <f t="shared" si="161"/>
        <v>489415.19581647322</v>
      </c>
      <c r="BL49" s="264">
        <f t="shared" si="161"/>
        <v>490638.73380601441</v>
      </c>
      <c r="BM49" s="264">
        <f t="shared" si="161"/>
        <v>491865.3306405294</v>
      </c>
      <c r="BN49" s="264">
        <f t="shared" si="161"/>
        <v>493094.99396713072</v>
      </c>
      <c r="BO49" s="264">
        <f t="shared" si="161"/>
        <v>494327.73145204858</v>
      </c>
      <c r="BP49" s="264">
        <f t="shared" si="161"/>
        <v>495563.55078067863</v>
      </c>
      <c r="BQ49" s="264">
        <f t="shared" si="161"/>
        <v>496802.45965763036</v>
      </c>
      <c r="BR49" s="264">
        <f t="shared" si="161"/>
        <v>498044.46580677445</v>
      </c>
      <c r="BS49" s="264">
        <f t="shared" si="161"/>
        <v>499289.57697129133</v>
      </c>
      <c r="BT49" s="264">
        <f t="shared" si="161"/>
        <v>500537.80091371952</v>
      </c>
      <c r="BU49" s="264">
        <f t="shared" si="161"/>
        <v>501789.14541600377</v>
      </c>
      <c r="BV49" s="264">
        <f t="shared" ref="BV49:EG49" si="162">BV44*BV22</f>
        <v>503043.61827954376</v>
      </c>
      <c r="BW49" s="264">
        <f t="shared" si="162"/>
        <v>504301.22732524259</v>
      </c>
      <c r="BX49" s="264">
        <f t="shared" si="162"/>
        <v>505561.98039355566</v>
      </c>
      <c r="BY49" s="264">
        <f t="shared" si="162"/>
        <v>506825.88534453948</v>
      </c>
      <c r="BZ49" s="264">
        <f t="shared" si="162"/>
        <v>508092.95005790086</v>
      </c>
      <c r="CA49" s="264">
        <f t="shared" si="162"/>
        <v>509363.18243304553</v>
      </c>
      <c r="CB49" s="264">
        <f t="shared" si="162"/>
        <v>510636.59038912813</v>
      </c>
      <c r="CC49" s="264">
        <f t="shared" si="162"/>
        <v>511913.18186510092</v>
      </c>
      <c r="CD49" s="264">
        <f t="shared" si="162"/>
        <v>513192.96481976367</v>
      </c>
      <c r="CE49" s="264">
        <f t="shared" si="162"/>
        <v>514475.94723181304</v>
      </c>
      <c r="CF49" s="264">
        <f t="shared" si="162"/>
        <v>515762.13709989254</v>
      </c>
      <c r="CG49" s="264">
        <f t="shared" si="162"/>
        <v>517051.54244264227</v>
      </c>
      <c r="CH49" s="264">
        <f t="shared" si="162"/>
        <v>518344.17129874887</v>
      </c>
      <c r="CI49" s="264">
        <f t="shared" si="162"/>
        <v>519640.03172699566</v>
      </c>
      <c r="CJ49" s="264">
        <f t="shared" si="162"/>
        <v>520939.13180631312</v>
      </c>
      <c r="CK49" s="264">
        <f t="shared" si="162"/>
        <v>522241.47963582887</v>
      </c>
      <c r="CL49" s="264">
        <f t="shared" si="162"/>
        <v>523547.08333491842</v>
      </c>
      <c r="CM49" s="264">
        <f t="shared" si="162"/>
        <v>524855.95104325574</v>
      </c>
      <c r="CN49" s="264">
        <f t="shared" si="162"/>
        <v>526168.09092086391</v>
      </c>
      <c r="CO49" s="264">
        <f t="shared" si="162"/>
        <v>527483.51114816603</v>
      </c>
      <c r="CP49" s="264">
        <f t="shared" si="162"/>
        <v>528802.21992603643</v>
      </c>
      <c r="CQ49" s="264">
        <f t="shared" si="162"/>
        <v>530124.22547585145</v>
      </c>
      <c r="CR49" s="264">
        <f t="shared" si="162"/>
        <v>531449.53603954101</v>
      </c>
      <c r="CS49" s="264">
        <f t="shared" si="162"/>
        <v>532778.15987963986</v>
      </c>
      <c r="CT49" s="264">
        <f t="shared" si="162"/>
        <v>534110.10527933901</v>
      </c>
      <c r="CU49" s="264">
        <f t="shared" si="162"/>
        <v>535445.38054253731</v>
      </c>
      <c r="CV49" s="264">
        <f t="shared" si="162"/>
        <v>536783.99399389361</v>
      </c>
      <c r="CW49" s="264">
        <f t="shared" si="162"/>
        <v>538125.95397887833</v>
      </c>
      <c r="CX49" s="264">
        <f t="shared" si="162"/>
        <v>539471.26886382548</v>
      </c>
      <c r="CY49" s="264">
        <f t="shared" si="162"/>
        <v>540819.94703598507</v>
      </c>
      <c r="CZ49" s="264">
        <f t="shared" si="162"/>
        <v>542171.99690357503</v>
      </c>
      <c r="DA49" s="264">
        <f t="shared" si="162"/>
        <v>543527.42689583381</v>
      </c>
      <c r="DB49" s="264">
        <f t="shared" si="162"/>
        <v>544886.24546307337</v>
      </c>
      <c r="DC49" s="264">
        <f t="shared" si="162"/>
        <v>546248.46107673098</v>
      </c>
      <c r="DD49" s="264">
        <f t="shared" si="162"/>
        <v>547614.08222942287</v>
      </c>
      <c r="DE49" s="264">
        <f t="shared" si="162"/>
        <v>548983.1174349963</v>
      </c>
      <c r="DF49" s="264">
        <f t="shared" si="162"/>
        <v>550355.57522858377</v>
      </c>
      <c r="DG49" s="264">
        <f t="shared" si="162"/>
        <v>551731.46416665521</v>
      </c>
      <c r="DH49" s="264">
        <f t="shared" si="162"/>
        <v>553110.79282707185</v>
      </c>
      <c r="DI49" s="264">
        <f t="shared" si="162"/>
        <v>554493.56980913947</v>
      </c>
      <c r="DJ49" s="264">
        <f t="shared" si="162"/>
        <v>555879.80373366224</v>
      </c>
      <c r="DK49" s="264">
        <f t="shared" si="162"/>
        <v>557269.5032429964</v>
      </c>
      <c r="DL49" s="264">
        <f t="shared" si="162"/>
        <v>558662.67700110388</v>
      </c>
      <c r="DM49" s="264">
        <f t="shared" si="162"/>
        <v>560059.33369360655</v>
      </c>
      <c r="DN49" s="264">
        <f t="shared" si="162"/>
        <v>561459.48202784057</v>
      </c>
      <c r="DO49" s="264">
        <f t="shared" si="162"/>
        <v>562863.13073291013</v>
      </c>
      <c r="DP49" s="264">
        <f t="shared" si="162"/>
        <v>564270.28855974239</v>
      </c>
      <c r="DQ49" s="264">
        <f t="shared" si="162"/>
        <v>565680.96428114176</v>
      </c>
      <c r="DR49" s="264">
        <f t="shared" si="162"/>
        <v>567095.16669184447</v>
      </c>
      <c r="DS49" s="264">
        <f t="shared" si="162"/>
        <v>568512.90460857411</v>
      </c>
      <c r="DT49" s="264">
        <f t="shared" si="162"/>
        <v>569934.18687009555</v>
      </c>
      <c r="DU49" s="264">
        <f t="shared" si="162"/>
        <v>571359.02233727067</v>
      </c>
      <c r="DV49" s="264">
        <f t="shared" si="162"/>
        <v>572787.4198931139</v>
      </c>
      <c r="DW49" s="264">
        <f t="shared" si="162"/>
        <v>574219.3884428466</v>
      </c>
      <c r="DX49" s="264">
        <f t="shared" si="162"/>
        <v>575654.93691395363</v>
      </c>
      <c r="DY49" s="264">
        <f t="shared" si="162"/>
        <v>577094.07425623841</v>
      </c>
      <c r="DZ49" s="264">
        <f t="shared" si="162"/>
        <v>578536.80944187904</v>
      </c>
      <c r="EA49" s="264">
        <f t="shared" si="162"/>
        <v>579983.15146548371</v>
      </c>
      <c r="EB49" s="264">
        <f t="shared" si="162"/>
        <v>581433.10934414738</v>
      </c>
      <c r="EC49" s="264">
        <f t="shared" si="162"/>
        <v>582886.69211750769</v>
      </c>
      <c r="ED49" s="264">
        <f t="shared" si="162"/>
        <v>584343.90884780139</v>
      </c>
      <c r="EE49" s="264">
        <f t="shared" si="162"/>
        <v>585804.76861992083</v>
      </c>
      <c r="EF49" s="264">
        <f t="shared" si="162"/>
        <v>587269.28054147062</v>
      </c>
      <c r="EG49" s="264">
        <f t="shared" si="162"/>
        <v>588737.45374282426</v>
      </c>
      <c r="EH49" s="264">
        <f>EH44*EH22</f>
        <v>590209.29737718136</v>
      </c>
      <c r="EI49" s="264">
        <f>EI44*EI22</f>
        <v>591684.82062062423</v>
      </c>
      <c r="EJ49" s="264">
        <f>EJ44*EJ22</f>
        <v>593164.03267217579</v>
      </c>
      <c r="EL49" s="19">
        <f>SUMIF($H$4:$EJ$4,EL$5,$H49:$EJ49)</f>
        <v>0</v>
      </c>
      <c r="EM49" s="19">
        <f t="shared" ref="EM49:EW54" si="163">SUMIF($H$4:$EJ$4,EM$5,$H49:$EJ49)</f>
        <v>0</v>
      </c>
      <c r="EN49" s="19">
        <f t="shared" si="163"/>
        <v>1624347.534379649</v>
      </c>
      <c r="EO49" s="19">
        <f t="shared" si="163"/>
        <v>5479275.135325348</v>
      </c>
      <c r="EP49" s="19">
        <f t="shared" si="163"/>
        <v>5692723.1287546884</v>
      </c>
      <c r="EQ49" s="19">
        <f t="shared" si="163"/>
        <v>5865872.7501594145</v>
      </c>
      <c r="ER49" s="19">
        <f t="shared" si="163"/>
        <v>6044288.8829883747</v>
      </c>
      <c r="ES49" s="19">
        <f t="shared" si="163"/>
        <v>6228131.7132261358</v>
      </c>
      <c r="ET49" s="19">
        <f t="shared" si="163"/>
        <v>6417566.2990672681</v>
      </c>
      <c r="EU49" s="19">
        <f t="shared" si="163"/>
        <v>6612762.7191092698</v>
      </c>
      <c r="EV49" s="19">
        <f t="shared" si="163"/>
        <v>6813896.2250529416</v>
      </c>
      <c r="EW49" s="19">
        <f t="shared" si="163"/>
        <v>7021147.3990472546</v>
      </c>
    </row>
    <row r="50" spans="2:153" x14ac:dyDescent="0.4">
      <c r="B50" s="60" t="s">
        <v>232</v>
      </c>
      <c r="F50" s="120" cm="1">
        <f t="array" ref="F50">SUMPRODUCT(($H50:$EJ50)*($H$6:$EJ$6&lt;=$C$5))</f>
        <v>-398461.45406871603</v>
      </c>
      <c r="H50" s="12"/>
      <c r="I50" s="243">
        <f>I45*I22</f>
        <v>0</v>
      </c>
      <c r="J50" s="243">
        <f t="shared" ref="J50:BU50" si="164">J45*J22</f>
        <v>0</v>
      </c>
      <c r="K50" s="243">
        <f t="shared" si="164"/>
        <v>0</v>
      </c>
      <c r="L50" s="243">
        <f t="shared" si="164"/>
        <v>0</v>
      </c>
      <c r="M50" s="243">
        <f t="shared" si="164"/>
        <v>0</v>
      </c>
      <c r="N50" s="243">
        <f t="shared" si="164"/>
        <v>0</v>
      </c>
      <c r="O50" s="243">
        <f t="shared" si="164"/>
        <v>0</v>
      </c>
      <c r="P50" s="243">
        <f t="shared" si="164"/>
        <v>0</v>
      </c>
      <c r="Q50" s="243">
        <f t="shared" si="164"/>
        <v>0</v>
      </c>
      <c r="R50" s="243">
        <f t="shared" si="164"/>
        <v>0</v>
      </c>
      <c r="S50" s="243">
        <f t="shared" si="164"/>
        <v>0</v>
      </c>
      <c r="T50" s="243">
        <f t="shared" si="164"/>
        <v>0</v>
      </c>
      <c r="U50" s="243">
        <f t="shared" si="164"/>
        <v>0</v>
      </c>
      <c r="V50" s="243">
        <f t="shared" si="164"/>
        <v>0</v>
      </c>
      <c r="W50" s="243">
        <f t="shared" si="164"/>
        <v>0</v>
      </c>
      <c r="X50" s="243">
        <f t="shared" si="164"/>
        <v>0</v>
      </c>
      <c r="Y50" s="243">
        <f t="shared" si="164"/>
        <v>-3730.9362825502021</v>
      </c>
      <c r="Z50" s="243">
        <f t="shared" si="164"/>
        <v>-7474.3090193755725</v>
      </c>
      <c r="AA50" s="243">
        <f t="shared" si="164"/>
        <v>-11230.149301611798</v>
      </c>
      <c r="AB50" s="243">
        <f t="shared" si="164"/>
        <v>-14998.48828948598</v>
      </c>
      <c r="AC50" s="243">
        <f t="shared" si="164"/>
        <v>-18779.357212460571</v>
      </c>
      <c r="AD50" s="243">
        <f t="shared" si="164"/>
        <v>-22572.787369377609</v>
      </c>
      <c r="AE50" s="243">
        <f t="shared" si="164"/>
        <v>-26378.810128603222</v>
      </c>
      <c r="AF50" s="243">
        <f t="shared" si="164"/>
        <v>-30197.456928172451</v>
      </c>
      <c r="AG50" s="243">
        <f t="shared" si="164"/>
        <v>-34057.069391804493</v>
      </c>
      <c r="AH50" s="243">
        <f t="shared" si="164"/>
        <v>-37935.791183648886</v>
      </c>
      <c r="AI50" s="243">
        <f t="shared" si="164"/>
        <v>-38030.630661608004</v>
      </c>
      <c r="AJ50" s="243">
        <f t="shared" si="164"/>
        <v>-38125.707238262024</v>
      </c>
      <c r="AK50" s="243">
        <f t="shared" si="164"/>
        <v>-38221.021506357683</v>
      </c>
      <c r="AL50" s="243">
        <f t="shared" si="164"/>
        <v>-38316.574060123574</v>
      </c>
      <c r="AM50" s="243">
        <f t="shared" si="164"/>
        <v>-38412.36549527388</v>
      </c>
      <c r="AN50" s="243">
        <f t="shared" si="164"/>
        <v>0</v>
      </c>
      <c r="AO50" s="243">
        <f t="shared" si="164"/>
        <v>0</v>
      </c>
      <c r="AP50" s="243">
        <f t="shared" si="164"/>
        <v>0</v>
      </c>
      <c r="AQ50" s="243">
        <f t="shared" si="164"/>
        <v>0</v>
      </c>
      <c r="AR50" s="243">
        <f t="shared" si="164"/>
        <v>0</v>
      </c>
      <c r="AS50" s="243">
        <f t="shared" si="164"/>
        <v>0</v>
      </c>
      <c r="AT50" s="243">
        <f t="shared" si="164"/>
        <v>0</v>
      </c>
      <c r="AU50" s="243">
        <f t="shared" si="164"/>
        <v>0</v>
      </c>
      <c r="AV50" s="243">
        <f t="shared" si="164"/>
        <v>0</v>
      </c>
      <c r="AW50" s="243">
        <f t="shared" si="164"/>
        <v>0</v>
      </c>
      <c r="AX50" s="243">
        <f t="shared" si="164"/>
        <v>0</v>
      </c>
      <c r="AY50" s="243">
        <f t="shared" si="164"/>
        <v>0</v>
      </c>
      <c r="AZ50" s="243">
        <f t="shared" si="164"/>
        <v>0</v>
      </c>
      <c r="BA50" s="243">
        <f t="shared" si="164"/>
        <v>0</v>
      </c>
      <c r="BB50" s="243">
        <f t="shared" si="164"/>
        <v>0</v>
      </c>
      <c r="BC50" s="243">
        <f t="shared" si="164"/>
        <v>0</v>
      </c>
      <c r="BD50" s="243">
        <f t="shared" si="164"/>
        <v>0</v>
      </c>
      <c r="BE50" s="243">
        <f t="shared" si="164"/>
        <v>0</v>
      </c>
      <c r="BF50" s="243">
        <f t="shared" si="164"/>
        <v>0</v>
      </c>
      <c r="BG50" s="243">
        <f t="shared" si="164"/>
        <v>0</v>
      </c>
      <c r="BH50" s="243">
        <f t="shared" si="164"/>
        <v>0</v>
      </c>
      <c r="BI50" s="243">
        <f t="shared" si="164"/>
        <v>0</v>
      </c>
      <c r="BJ50" s="243">
        <f t="shared" si="164"/>
        <v>0</v>
      </c>
      <c r="BK50" s="243">
        <f t="shared" si="164"/>
        <v>0</v>
      </c>
      <c r="BL50" s="243">
        <f t="shared" si="164"/>
        <v>0</v>
      </c>
      <c r="BM50" s="243">
        <f t="shared" si="164"/>
        <v>0</v>
      </c>
      <c r="BN50" s="243">
        <f t="shared" si="164"/>
        <v>0</v>
      </c>
      <c r="BO50" s="243">
        <f t="shared" si="164"/>
        <v>0</v>
      </c>
      <c r="BP50" s="243">
        <f t="shared" si="164"/>
        <v>0</v>
      </c>
      <c r="BQ50" s="243">
        <f t="shared" si="164"/>
        <v>0</v>
      </c>
      <c r="BR50" s="243">
        <f t="shared" si="164"/>
        <v>0</v>
      </c>
      <c r="BS50" s="243">
        <f t="shared" si="164"/>
        <v>0</v>
      </c>
      <c r="BT50" s="243">
        <f t="shared" si="164"/>
        <v>0</v>
      </c>
      <c r="BU50" s="243">
        <f t="shared" si="164"/>
        <v>0</v>
      </c>
      <c r="BV50" s="243">
        <f t="shared" ref="BV50:EG50" si="165">BV45*BV22</f>
        <v>0</v>
      </c>
      <c r="BW50" s="243">
        <f t="shared" si="165"/>
        <v>0</v>
      </c>
      <c r="BX50" s="243">
        <f t="shared" si="165"/>
        <v>0</v>
      </c>
      <c r="BY50" s="243">
        <f t="shared" si="165"/>
        <v>0</v>
      </c>
      <c r="BZ50" s="243">
        <f t="shared" si="165"/>
        <v>0</v>
      </c>
      <c r="CA50" s="243">
        <f t="shared" si="165"/>
        <v>0</v>
      </c>
      <c r="CB50" s="243">
        <f t="shared" si="165"/>
        <v>0</v>
      </c>
      <c r="CC50" s="243">
        <f t="shared" si="165"/>
        <v>0</v>
      </c>
      <c r="CD50" s="243">
        <f t="shared" si="165"/>
        <v>0</v>
      </c>
      <c r="CE50" s="243">
        <f t="shared" si="165"/>
        <v>0</v>
      </c>
      <c r="CF50" s="243">
        <f t="shared" si="165"/>
        <v>0</v>
      </c>
      <c r="CG50" s="243">
        <f t="shared" si="165"/>
        <v>0</v>
      </c>
      <c r="CH50" s="243">
        <f t="shared" si="165"/>
        <v>0</v>
      </c>
      <c r="CI50" s="243">
        <f t="shared" si="165"/>
        <v>0</v>
      </c>
      <c r="CJ50" s="243">
        <f t="shared" si="165"/>
        <v>0</v>
      </c>
      <c r="CK50" s="243">
        <f t="shared" si="165"/>
        <v>0</v>
      </c>
      <c r="CL50" s="243">
        <f t="shared" si="165"/>
        <v>0</v>
      </c>
      <c r="CM50" s="243">
        <f t="shared" si="165"/>
        <v>0</v>
      </c>
      <c r="CN50" s="243">
        <f t="shared" si="165"/>
        <v>0</v>
      </c>
      <c r="CO50" s="243">
        <f t="shared" si="165"/>
        <v>0</v>
      </c>
      <c r="CP50" s="243">
        <f t="shared" si="165"/>
        <v>0</v>
      </c>
      <c r="CQ50" s="243">
        <f t="shared" si="165"/>
        <v>0</v>
      </c>
      <c r="CR50" s="243">
        <f t="shared" si="165"/>
        <v>0</v>
      </c>
      <c r="CS50" s="243">
        <f t="shared" si="165"/>
        <v>0</v>
      </c>
      <c r="CT50" s="243">
        <f t="shared" si="165"/>
        <v>0</v>
      </c>
      <c r="CU50" s="243">
        <f t="shared" si="165"/>
        <v>0</v>
      </c>
      <c r="CV50" s="243">
        <f t="shared" si="165"/>
        <v>0</v>
      </c>
      <c r="CW50" s="243">
        <f t="shared" si="165"/>
        <v>0</v>
      </c>
      <c r="CX50" s="243">
        <f t="shared" si="165"/>
        <v>0</v>
      </c>
      <c r="CY50" s="243">
        <f t="shared" si="165"/>
        <v>0</v>
      </c>
      <c r="CZ50" s="243">
        <f t="shared" si="165"/>
        <v>0</v>
      </c>
      <c r="DA50" s="243">
        <f t="shared" si="165"/>
        <v>0</v>
      </c>
      <c r="DB50" s="243">
        <f t="shared" si="165"/>
        <v>0</v>
      </c>
      <c r="DC50" s="243">
        <f t="shared" si="165"/>
        <v>0</v>
      </c>
      <c r="DD50" s="243">
        <f t="shared" si="165"/>
        <v>0</v>
      </c>
      <c r="DE50" s="243">
        <f t="shared" si="165"/>
        <v>0</v>
      </c>
      <c r="DF50" s="243">
        <f t="shared" si="165"/>
        <v>0</v>
      </c>
      <c r="DG50" s="243">
        <f t="shared" si="165"/>
        <v>0</v>
      </c>
      <c r="DH50" s="243">
        <f t="shared" si="165"/>
        <v>0</v>
      </c>
      <c r="DI50" s="243">
        <f t="shared" si="165"/>
        <v>0</v>
      </c>
      <c r="DJ50" s="243">
        <f t="shared" si="165"/>
        <v>0</v>
      </c>
      <c r="DK50" s="243">
        <f t="shared" si="165"/>
        <v>0</v>
      </c>
      <c r="DL50" s="243">
        <f t="shared" si="165"/>
        <v>0</v>
      </c>
      <c r="DM50" s="243">
        <f t="shared" si="165"/>
        <v>0</v>
      </c>
      <c r="DN50" s="243">
        <f t="shared" si="165"/>
        <v>0</v>
      </c>
      <c r="DO50" s="243">
        <f t="shared" si="165"/>
        <v>0</v>
      </c>
      <c r="DP50" s="243">
        <f t="shared" si="165"/>
        <v>0</v>
      </c>
      <c r="DQ50" s="243">
        <f t="shared" si="165"/>
        <v>0</v>
      </c>
      <c r="DR50" s="243">
        <f t="shared" si="165"/>
        <v>0</v>
      </c>
      <c r="DS50" s="243">
        <f t="shared" si="165"/>
        <v>0</v>
      </c>
      <c r="DT50" s="243">
        <f t="shared" si="165"/>
        <v>0</v>
      </c>
      <c r="DU50" s="243">
        <f t="shared" si="165"/>
        <v>0</v>
      </c>
      <c r="DV50" s="243">
        <f t="shared" si="165"/>
        <v>0</v>
      </c>
      <c r="DW50" s="243">
        <f t="shared" si="165"/>
        <v>0</v>
      </c>
      <c r="DX50" s="243">
        <f t="shared" si="165"/>
        <v>0</v>
      </c>
      <c r="DY50" s="243">
        <f t="shared" si="165"/>
        <v>0</v>
      </c>
      <c r="DZ50" s="243">
        <f t="shared" si="165"/>
        <v>0</v>
      </c>
      <c r="EA50" s="243">
        <f t="shared" si="165"/>
        <v>0</v>
      </c>
      <c r="EB50" s="243">
        <f t="shared" si="165"/>
        <v>0</v>
      </c>
      <c r="EC50" s="243">
        <f t="shared" si="165"/>
        <v>0</v>
      </c>
      <c r="ED50" s="243">
        <f t="shared" si="165"/>
        <v>0</v>
      </c>
      <c r="EE50" s="243">
        <f t="shared" si="165"/>
        <v>0</v>
      </c>
      <c r="EF50" s="243">
        <f t="shared" si="165"/>
        <v>0</v>
      </c>
      <c r="EG50" s="243">
        <f t="shared" si="165"/>
        <v>0</v>
      </c>
      <c r="EH50" s="243">
        <f>EH45*EH22</f>
        <v>0</v>
      </c>
      <c r="EI50" s="243">
        <f>EI45*EI22</f>
        <v>0</v>
      </c>
      <c r="EJ50" s="243">
        <f>EJ45*EJ22</f>
        <v>0</v>
      </c>
      <c r="EL50" s="12">
        <f>SUMIF($H$4:$EJ$4,EL$5,$H50:$EJ50)</f>
        <v>0</v>
      </c>
      <c r="EM50" s="12">
        <f t="shared" si="163"/>
        <v>0</v>
      </c>
      <c r="EN50" s="12">
        <f t="shared" si="163"/>
        <v>-135362.2945316374</v>
      </c>
      <c r="EO50" s="12">
        <f t="shared" si="163"/>
        <v>-263099.15953707858</v>
      </c>
      <c r="EP50" s="12">
        <f t="shared" si="163"/>
        <v>0</v>
      </c>
      <c r="EQ50" s="12">
        <f t="shared" si="163"/>
        <v>0</v>
      </c>
      <c r="ER50" s="12">
        <f t="shared" si="163"/>
        <v>0</v>
      </c>
      <c r="ES50" s="12">
        <f t="shared" si="163"/>
        <v>0</v>
      </c>
      <c r="ET50" s="12">
        <f t="shared" si="163"/>
        <v>0</v>
      </c>
      <c r="EU50" s="12">
        <f t="shared" si="163"/>
        <v>0</v>
      </c>
      <c r="EV50" s="12">
        <f t="shared" si="163"/>
        <v>0</v>
      </c>
      <c r="EW50" s="12">
        <f t="shared" si="163"/>
        <v>0</v>
      </c>
    </row>
    <row r="51" spans="2:153" x14ac:dyDescent="0.4">
      <c r="B51" s="107" t="s">
        <v>38</v>
      </c>
      <c r="E51" s="57"/>
      <c r="F51" s="97">
        <f>SUM(F49:F50)</f>
        <v>6705161.2156362804</v>
      </c>
      <c r="H51" s="12"/>
      <c r="I51" s="243">
        <f>SUM(I49:I50)</f>
        <v>0</v>
      </c>
      <c r="J51" s="243">
        <f t="shared" ref="J51:BU51" si="166">SUM(J49:J50)</f>
        <v>0</v>
      </c>
      <c r="K51" s="243">
        <f t="shared" si="166"/>
        <v>0</v>
      </c>
      <c r="L51" s="243">
        <f t="shared" si="166"/>
        <v>0</v>
      </c>
      <c r="M51" s="243">
        <f t="shared" si="166"/>
        <v>0</v>
      </c>
      <c r="N51" s="243">
        <f t="shared" si="166"/>
        <v>0</v>
      </c>
      <c r="O51" s="243">
        <f t="shared" si="166"/>
        <v>0</v>
      </c>
      <c r="P51" s="243">
        <f t="shared" si="166"/>
        <v>0</v>
      </c>
      <c r="Q51" s="243">
        <f t="shared" si="166"/>
        <v>0</v>
      </c>
      <c r="R51" s="243">
        <f t="shared" si="166"/>
        <v>0</v>
      </c>
      <c r="S51" s="243">
        <f t="shared" si="166"/>
        <v>0</v>
      </c>
      <c r="T51" s="243">
        <f t="shared" si="166"/>
        <v>0</v>
      </c>
      <c r="U51" s="243">
        <f t="shared" si="166"/>
        <v>0</v>
      </c>
      <c r="V51" s="243">
        <f t="shared" si="166"/>
        <v>0</v>
      </c>
      <c r="W51" s="243">
        <f t="shared" si="166"/>
        <v>0</v>
      </c>
      <c r="X51" s="243">
        <f t="shared" si="166"/>
        <v>0</v>
      </c>
      <c r="Y51" s="243">
        <f t="shared" si="166"/>
        <v>41040.299108052226</v>
      </c>
      <c r="Z51" s="243">
        <f t="shared" si="166"/>
        <v>82217.399213131284</v>
      </c>
      <c r="AA51" s="243">
        <f t="shared" si="166"/>
        <v>123531.64231772978</v>
      </c>
      <c r="AB51" s="243">
        <f t="shared" si="166"/>
        <v>164983.3711843458</v>
      </c>
      <c r="AC51" s="243">
        <f t="shared" si="166"/>
        <v>206572.92933706631</v>
      </c>
      <c r="AD51" s="243">
        <f t="shared" si="166"/>
        <v>248300.6610631537</v>
      </c>
      <c r="AE51" s="243">
        <f t="shared" si="166"/>
        <v>290166.91141463543</v>
      </c>
      <c r="AF51" s="243">
        <f t="shared" si="166"/>
        <v>332172.02620989695</v>
      </c>
      <c r="AG51" s="243">
        <f t="shared" si="166"/>
        <v>374627.76330984937</v>
      </c>
      <c r="AH51" s="243">
        <f t="shared" si="166"/>
        <v>417293.70302013779</v>
      </c>
      <c r="AI51" s="243">
        <f t="shared" si="166"/>
        <v>418336.93727768806</v>
      </c>
      <c r="AJ51" s="243">
        <f t="shared" si="166"/>
        <v>419382.77962088224</v>
      </c>
      <c r="AK51" s="243">
        <f t="shared" si="166"/>
        <v>420431.23656993447</v>
      </c>
      <c r="AL51" s="243">
        <f t="shared" si="166"/>
        <v>421482.31466135924</v>
      </c>
      <c r="AM51" s="243">
        <f t="shared" si="166"/>
        <v>422536.02044801263</v>
      </c>
      <c r="AN51" s="243">
        <f t="shared" si="166"/>
        <v>462100.75690814474</v>
      </c>
      <c r="AO51" s="243">
        <f t="shared" si="166"/>
        <v>463256.00880041509</v>
      </c>
      <c r="AP51" s="243">
        <f t="shared" si="166"/>
        <v>464414.14882241609</v>
      </c>
      <c r="AQ51" s="243">
        <f t="shared" si="166"/>
        <v>465575.18419447215</v>
      </c>
      <c r="AR51" s="243">
        <f t="shared" si="166"/>
        <v>466739.12215495826</v>
      </c>
      <c r="AS51" s="243">
        <f t="shared" si="166"/>
        <v>467905.96996034565</v>
      </c>
      <c r="AT51" s="243">
        <f t="shared" si="166"/>
        <v>469075.73488524655</v>
      </c>
      <c r="AU51" s="243">
        <f t="shared" si="166"/>
        <v>470248.42422245961</v>
      </c>
      <c r="AV51" s="243">
        <f t="shared" si="166"/>
        <v>471424.04528301576</v>
      </c>
      <c r="AW51" s="243">
        <f t="shared" si="166"/>
        <v>472602.60539622325</v>
      </c>
      <c r="AX51" s="243">
        <f t="shared" si="166"/>
        <v>473784.11190971377</v>
      </c>
      <c r="AY51" s="243">
        <f t="shared" si="166"/>
        <v>474968.57218948804</v>
      </c>
      <c r="AZ51" s="243">
        <f t="shared" si="166"/>
        <v>476155.99361996178</v>
      </c>
      <c r="BA51" s="243">
        <f t="shared" si="166"/>
        <v>477346.38360401161</v>
      </c>
      <c r="BB51" s="243">
        <f t="shared" si="166"/>
        <v>478539.74956302164</v>
      </c>
      <c r="BC51" s="243">
        <f t="shared" si="166"/>
        <v>479736.09893692919</v>
      </c>
      <c r="BD51" s="243">
        <f t="shared" si="166"/>
        <v>480935.43918427144</v>
      </c>
      <c r="BE51" s="243">
        <f t="shared" si="166"/>
        <v>482137.77778223209</v>
      </c>
      <c r="BF51" s="243">
        <f t="shared" si="166"/>
        <v>483343.12222668761</v>
      </c>
      <c r="BG51" s="243">
        <f t="shared" si="166"/>
        <v>484551.48003225436</v>
      </c>
      <c r="BH51" s="243">
        <f t="shared" si="166"/>
        <v>485762.85873233492</v>
      </c>
      <c r="BI51" s="243">
        <f t="shared" si="166"/>
        <v>486977.26587916573</v>
      </c>
      <c r="BJ51" s="243">
        <f t="shared" si="166"/>
        <v>488194.70904386364</v>
      </c>
      <c r="BK51" s="243">
        <f t="shared" si="166"/>
        <v>489415.19581647322</v>
      </c>
      <c r="BL51" s="243">
        <f t="shared" si="166"/>
        <v>490638.73380601441</v>
      </c>
      <c r="BM51" s="243">
        <f t="shared" si="166"/>
        <v>491865.3306405294</v>
      </c>
      <c r="BN51" s="243">
        <f t="shared" si="166"/>
        <v>493094.99396713072</v>
      </c>
      <c r="BO51" s="243">
        <f t="shared" si="166"/>
        <v>494327.73145204858</v>
      </c>
      <c r="BP51" s="243">
        <f t="shared" si="166"/>
        <v>495563.55078067863</v>
      </c>
      <c r="BQ51" s="243">
        <f t="shared" si="166"/>
        <v>496802.45965763036</v>
      </c>
      <c r="BR51" s="243">
        <f t="shared" si="166"/>
        <v>498044.46580677445</v>
      </c>
      <c r="BS51" s="243">
        <f t="shared" si="166"/>
        <v>499289.57697129133</v>
      </c>
      <c r="BT51" s="243">
        <f t="shared" si="166"/>
        <v>500537.80091371952</v>
      </c>
      <c r="BU51" s="243">
        <f t="shared" si="166"/>
        <v>501789.14541600377</v>
      </c>
      <c r="BV51" s="243">
        <f t="shared" ref="BV51:EG51" si="167">SUM(BV49:BV50)</f>
        <v>503043.61827954376</v>
      </c>
      <c r="BW51" s="243">
        <f t="shared" si="167"/>
        <v>504301.22732524259</v>
      </c>
      <c r="BX51" s="243">
        <f t="shared" si="167"/>
        <v>505561.98039355566</v>
      </c>
      <c r="BY51" s="243">
        <f t="shared" si="167"/>
        <v>506825.88534453948</v>
      </c>
      <c r="BZ51" s="243">
        <f t="shared" si="167"/>
        <v>508092.95005790086</v>
      </c>
      <c r="CA51" s="243">
        <f t="shared" si="167"/>
        <v>509363.18243304553</v>
      </c>
      <c r="CB51" s="243">
        <f t="shared" si="167"/>
        <v>510636.59038912813</v>
      </c>
      <c r="CC51" s="243">
        <f t="shared" si="167"/>
        <v>511913.18186510092</v>
      </c>
      <c r="CD51" s="243">
        <f t="shared" si="167"/>
        <v>513192.96481976367</v>
      </c>
      <c r="CE51" s="243">
        <f t="shared" si="167"/>
        <v>514475.94723181304</v>
      </c>
      <c r="CF51" s="243">
        <f t="shared" si="167"/>
        <v>515762.13709989254</v>
      </c>
      <c r="CG51" s="243">
        <f t="shared" si="167"/>
        <v>517051.54244264227</v>
      </c>
      <c r="CH51" s="243">
        <f t="shared" si="167"/>
        <v>518344.17129874887</v>
      </c>
      <c r="CI51" s="243">
        <f t="shared" si="167"/>
        <v>519640.03172699566</v>
      </c>
      <c r="CJ51" s="243">
        <f t="shared" si="167"/>
        <v>520939.13180631312</v>
      </c>
      <c r="CK51" s="243">
        <f t="shared" si="167"/>
        <v>522241.47963582887</v>
      </c>
      <c r="CL51" s="243">
        <f t="shared" si="167"/>
        <v>523547.08333491842</v>
      </c>
      <c r="CM51" s="243">
        <f t="shared" si="167"/>
        <v>524855.95104325574</v>
      </c>
      <c r="CN51" s="243">
        <f t="shared" si="167"/>
        <v>526168.09092086391</v>
      </c>
      <c r="CO51" s="243">
        <f t="shared" si="167"/>
        <v>527483.51114816603</v>
      </c>
      <c r="CP51" s="243">
        <f t="shared" si="167"/>
        <v>528802.21992603643</v>
      </c>
      <c r="CQ51" s="243">
        <f t="shared" si="167"/>
        <v>530124.22547585145</v>
      </c>
      <c r="CR51" s="243">
        <f t="shared" si="167"/>
        <v>531449.53603954101</v>
      </c>
      <c r="CS51" s="243">
        <f t="shared" si="167"/>
        <v>532778.15987963986</v>
      </c>
      <c r="CT51" s="243">
        <f t="shared" si="167"/>
        <v>534110.10527933901</v>
      </c>
      <c r="CU51" s="243">
        <f t="shared" si="167"/>
        <v>535445.38054253731</v>
      </c>
      <c r="CV51" s="243">
        <f t="shared" si="167"/>
        <v>536783.99399389361</v>
      </c>
      <c r="CW51" s="243">
        <f t="shared" si="167"/>
        <v>538125.95397887833</v>
      </c>
      <c r="CX51" s="243">
        <f t="shared" si="167"/>
        <v>539471.26886382548</v>
      </c>
      <c r="CY51" s="243">
        <f t="shared" si="167"/>
        <v>540819.94703598507</v>
      </c>
      <c r="CZ51" s="243">
        <f t="shared" si="167"/>
        <v>542171.99690357503</v>
      </c>
      <c r="DA51" s="243">
        <f t="shared" si="167"/>
        <v>543527.42689583381</v>
      </c>
      <c r="DB51" s="243">
        <f t="shared" si="167"/>
        <v>544886.24546307337</v>
      </c>
      <c r="DC51" s="243">
        <f t="shared" si="167"/>
        <v>546248.46107673098</v>
      </c>
      <c r="DD51" s="243">
        <f t="shared" si="167"/>
        <v>547614.08222942287</v>
      </c>
      <c r="DE51" s="243">
        <f t="shared" si="167"/>
        <v>548983.1174349963</v>
      </c>
      <c r="DF51" s="243">
        <f t="shared" si="167"/>
        <v>550355.57522858377</v>
      </c>
      <c r="DG51" s="243">
        <f t="shared" si="167"/>
        <v>551731.46416665521</v>
      </c>
      <c r="DH51" s="243">
        <f t="shared" si="167"/>
        <v>553110.79282707185</v>
      </c>
      <c r="DI51" s="243">
        <f t="shared" si="167"/>
        <v>554493.56980913947</v>
      </c>
      <c r="DJ51" s="243">
        <f t="shared" si="167"/>
        <v>555879.80373366224</v>
      </c>
      <c r="DK51" s="243">
        <f t="shared" si="167"/>
        <v>557269.5032429964</v>
      </c>
      <c r="DL51" s="243">
        <f t="shared" si="167"/>
        <v>558662.67700110388</v>
      </c>
      <c r="DM51" s="243">
        <f t="shared" si="167"/>
        <v>560059.33369360655</v>
      </c>
      <c r="DN51" s="243">
        <f t="shared" si="167"/>
        <v>561459.48202784057</v>
      </c>
      <c r="DO51" s="243">
        <f t="shared" si="167"/>
        <v>562863.13073291013</v>
      </c>
      <c r="DP51" s="243">
        <f t="shared" si="167"/>
        <v>564270.28855974239</v>
      </c>
      <c r="DQ51" s="243">
        <f t="shared" si="167"/>
        <v>565680.96428114176</v>
      </c>
      <c r="DR51" s="243">
        <f t="shared" si="167"/>
        <v>567095.16669184447</v>
      </c>
      <c r="DS51" s="243">
        <f t="shared" si="167"/>
        <v>568512.90460857411</v>
      </c>
      <c r="DT51" s="243">
        <f t="shared" si="167"/>
        <v>569934.18687009555</v>
      </c>
      <c r="DU51" s="243">
        <f t="shared" si="167"/>
        <v>571359.02233727067</v>
      </c>
      <c r="DV51" s="243">
        <f t="shared" si="167"/>
        <v>572787.4198931139</v>
      </c>
      <c r="DW51" s="243">
        <f t="shared" si="167"/>
        <v>574219.3884428466</v>
      </c>
      <c r="DX51" s="243">
        <f t="shared" si="167"/>
        <v>575654.93691395363</v>
      </c>
      <c r="DY51" s="243">
        <f t="shared" si="167"/>
        <v>577094.07425623841</v>
      </c>
      <c r="DZ51" s="243">
        <f t="shared" si="167"/>
        <v>578536.80944187904</v>
      </c>
      <c r="EA51" s="243">
        <f t="shared" si="167"/>
        <v>579983.15146548371</v>
      </c>
      <c r="EB51" s="243">
        <f t="shared" si="167"/>
        <v>581433.10934414738</v>
      </c>
      <c r="EC51" s="243">
        <f t="shared" si="167"/>
        <v>582886.69211750769</v>
      </c>
      <c r="ED51" s="243">
        <f t="shared" si="167"/>
        <v>584343.90884780139</v>
      </c>
      <c r="EE51" s="243">
        <f t="shared" si="167"/>
        <v>585804.76861992083</v>
      </c>
      <c r="EF51" s="243">
        <f t="shared" si="167"/>
        <v>587269.28054147062</v>
      </c>
      <c r="EG51" s="243">
        <f t="shared" si="167"/>
        <v>588737.45374282426</v>
      </c>
      <c r="EH51" s="243">
        <f>SUM(EH49:EH50)</f>
        <v>590209.29737718136</v>
      </c>
      <c r="EI51" s="243">
        <f>SUM(EI49:EI50)</f>
        <v>591684.82062062423</v>
      </c>
      <c r="EJ51" s="243">
        <f>SUM(EJ49:EJ50)</f>
        <v>593164.03267217579</v>
      </c>
      <c r="EK51" s="8"/>
      <c r="EL51" s="97">
        <f t="shared" ref="EL51:EW51" si="168">SUM(EL49:EL50)</f>
        <v>0</v>
      </c>
      <c r="EM51" s="97">
        <f t="shared" si="168"/>
        <v>0</v>
      </c>
      <c r="EN51" s="97">
        <f t="shared" si="168"/>
        <v>1488985.2398480116</v>
      </c>
      <c r="EO51" s="97">
        <f t="shared" si="168"/>
        <v>5216175.9757882692</v>
      </c>
      <c r="EP51" s="97">
        <f t="shared" si="168"/>
        <v>5692723.1287546884</v>
      </c>
      <c r="EQ51" s="97">
        <f t="shared" si="168"/>
        <v>5865872.7501594145</v>
      </c>
      <c r="ER51" s="97">
        <f t="shared" si="168"/>
        <v>6044288.8829883747</v>
      </c>
      <c r="ES51" s="97">
        <f t="shared" si="168"/>
        <v>6228131.7132261358</v>
      </c>
      <c r="ET51" s="97">
        <f t="shared" si="168"/>
        <v>6417566.2990672681</v>
      </c>
      <c r="EU51" s="97">
        <f t="shared" si="168"/>
        <v>6612762.7191092698</v>
      </c>
      <c r="EV51" s="97">
        <f t="shared" si="168"/>
        <v>6813896.2250529416</v>
      </c>
      <c r="EW51" s="97">
        <f t="shared" si="168"/>
        <v>7021147.3990472546</v>
      </c>
    </row>
    <row r="52" spans="2:153" x14ac:dyDescent="0.4">
      <c r="B52" s="60" t="s">
        <v>18</v>
      </c>
      <c r="E52" s="57"/>
      <c r="F52" s="12" cm="1">
        <f t="array" ref="F52">SUMPRODUCT(($H52:$EJ52)*($H$6:$EJ$6&lt;=$C$5))</f>
        <v>-499140.98989149951</v>
      </c>
      <c r="H52" s="12"/>
      <c r="I52" s="97">
        <f>-(1-INDEX('Inputs &amp; Drivers'!$D$68:$D$78,MATCH(Model!I$4,'Inputs &amp; Drivers'!$B$68:$B$78,0)))*I51</f>
        <v>0</v>
      </c>
      <c r="J52" s="12">
        <f>-(1-INDEX('Inputs &amp; Drivers'!$D$68:$D$78,MATCH(Model!J$4,'Inputs &amp; Drivers'!$B$68:$B$78,0)))*J51</f>
        <v>0</v>
      </c>
      <c r="K52" s="12">
        <f>-(1-INDEX('Inputs &amp; Drivers'!$D$68:$D$78,MATCH(Model!K$4,'Inputs &amp; Drivers'!$B$68:$B$78,0)))*K51</f>
        <v>0</v>
      </c>
      <c r="L52" s="12">
        <f>-(1-INDEX('Inputs &amp; Drivers'!$D$68:$D$78,MATCH(Model!L$4,'Inputs &amp; Drivers'!$B$68:$B$78,0)))*L51</f>
        <v>0</v>
      </c>
      <c r="M52" s="12">
        <f>-(1-INDEX('Inputs &amp; Drivers'!$D$68:$D$78,MATCH(Model!M$4,'Inputs &amp; Drivers'!$B$68:$B$78,0)))*M51</f>
        <v>0</v>
      </c>
      <c r="N52" s="12">
        <f>-(1-INDEX('Inputs &amp; Drivers'!$D$68:$D$78,MATCH(Model!N$4,'Inputs &amp; Drivers'!$B$68:$B$78,0)))*N51</f>
        <v>0</v>
      </c>
      <c r="O52" s="12">
        <f>-(1-INDEX('Inputs &amp; Drivers'!$D$68:$D$78,MATCH(Model!O$4,'Inputs &amp; Drivers'!$B$68:$B$78,0)))*O51</f>
        <v>0</v>
      </c>
      <c r="P52" s="12">
        <f>-(1-INDEX('Inputs &amp; Drivers'!$D$68:$D$78,MATCH(Model!P$4,'Inputs &amp; Drivers'!$B$68:$B$78,0)))*P51</f>
        <v>0</v>
      </c>
      <c r="Q52" s="12">
        <f>-(1-INDEX('Inputs &amp; Drivers'!$D$68:$D$78,MATCH(Model!Q$4,'Inputs &amp; Drivers'!$B$68:$B$78,0)))*Q51</f>
        <v>0</v>
      </c>
      <c r="R52" s="12">
        <f>-(1-INDEX('Inputs &amp; Drivers'!$D$68:$D$78,MATCH(Model!R$4,'Inputs &amp; Drivers'!$B$68:$B$78,0)))*R51</f>
        <v>0</v>
      </c>
      <c r="S52" s="12">
        <f>-(1-INDEX('Inputs &amp; Drivers'!$D$68:$D$78,MATCH(Model!S$4,'Inputs &amp; Drivers'!$B$68:$B$78,0)))*S51</f>
        <v>0</v>
      </c>
      <c r="T52" s="12">
        <f>-(1-INDEX('Inputs &amp; Drivers'!$D$68:$D$78,MATCH(Model!T$4,'Inputs &amp; Drivers'!$B$68:$B$78,0)))*T51</f>
        <v>0</v>
      </c>
      <c r="U52" s="12">
        <f>-(1-INDEX('Inputs &amp; Drivers'!$D$68:$D$78,MATCH(Model!U$4,'Inputs &amp; Drivers'!$B$68:$B$78,0)))*U51</f>
        <v>0</v>
      </c>
      <c r="V52" s="12">
        <f>-(1-INDEX('Inputs &amp; Drivers'!$D$68:$D$78,MATCH(Model!V$4,'Inputs &amp; Drivers'!$B$68:$B$78,0)))*V51</f>
        <v>0</v>
      </c>
      <c r="W52" s="12">
        <f>-(1-INDEX('Inputs &amp; Drivers'!$D$68:$D$78,MATCH(Model!W$4,'Inputs &amp; Drivers'!$B$68:$B$78,0)))*W51</f>
        <v>0</v>
      </c>
      <c r="X52" s="12">
        <f>-(1-INDEX('Inputs &amp; Drivers'!$D$68:$D$78,MATCH(Model!X$4,'Inputs &amp; Drivers'!$B$68:$B$78,0)))*X51</f>
        <v>0</v>
      </c>
      <c r="Y52" s="12">
        <f>-(1-INDEX('Inputs &amp; Drivers'!$D$68:$D$78,MATCH(Model!Y$4,'Inputs &amp; Drivers'!$B$68:$B$78,0)))*Y51</f>
        <v>-3693.6269197246993</v>
      </c>
      <c r="Z52" s="12">
        <f>-(1-INDEX('Inputs &amp; Drivers'!$D$68:$D$78,MATCH(Model!Z$4,'Inputs &amp; Drivers'!$B$68:$B$78,0)))*Z51</f>
        <v>-7399.5659291818129</v>
      </c>
      <c r="AA52" s="12">
        <f>-(1-INDEX('Inputs &amp; Drivers'!$D$68:$D$78,MATCH(Model!AA$4,'Inputs &amp; Drivers'!$B$68:$B$78,0)))*AA51</f>
        <v>-11117.847808595676</v>
      </c>
      <c r="AB52" s="12">
        <f>-(1-INDEX('Inputs &amp; Drivers'!$D$68:$D$78,MATCH(Model!AB$4,'Inputs &amp; Drivers'!$B$68:$B$78,0)))*AB51</f>
        <v>-14848.503406591117</v>
      </c>
      <c r="AC52" s="12">
        <f>-(1-INDEX('Inputs &amp; Drivers'!$D$68:$D$78,MATCH(Model!AC$4,'Inputs &amp; Drivers'!$B$68:$B$78,0)))*AC51</f>
        <v>-18591.56364033596</v>
      </c>
      <c r="AD52" s="12">
        <f>-(1-INDEX('Inputs &amp; Drivers'!$D$68:$D$78,MATCH(Model!AD$4,'Inputs &amp; Drivers'!$B$68:$B$78,0)))*AD51</f>
        <v>-22347.059495683825</v>
      </c>
      <c r="AE52" s="12">
        <f>-(1-INDEX('Inputs &amp; Drivers'!$D$68:$D$78,MATCH(Model!AE$4,'Inputs &amp; Drivers'!$B$68:$B$78,0)))*AE51</f>
        <v>-26115.02202731718</v>
      </c>
      <c r="AF52" s="12">
        <f>-(1-INDEX('Inputs &amp; Drivers'!$D$68:$D$78,MATCH(Model!AF$4,'Inputs &amp; Drivers'!$B$68:$B$78,0)))*AF51</f>
        <v>-29895.482358890717</v>
      </c>
      <c r="AG52" s="12">
        <f>-(1-INDEX('Inputs &amp; Drivers'!$D$68:$D$78,MATCH(Model!AG$4,'Inputs &amp; Drivers'!$B$68:$B$78,0)))*AG51</f>
        <v>-26223.943431689437</v>
      </c>
      <c r="AH52" s="12">
        <f>-(1-INDEX('Inputs &amp; Drivers'!$D$68:$D$78,MATCH(Model!AH$4,'Inputs &amp; Drivers'!$B$68:$B$78,0)))*AH51</f>
        <v>-29210.559211409625</v>
      </c>
      <c r="AI52" s="12">
        <f>-(1-INDEX('Inputs &amp; Drivers'!$D$68:$D$78,MATCH(Model!AI$4,'Inputs &amp; Drivers'!$B$68:$B$78,0)))*AI51</f>
        <v>-29283.585609438145</v>
      </c>
      <c r="AJ52" s="12">
        <f>-(1-INDEX('Inputs &amp; Drivers'!$D$68:$D$78,MATCH(Model!AJ$4,'Inputs &amp; Drivers'!$B$68:$B$78,0)))*AJ51</f>
        <v>-29356.794573461735</v>
      </c>
      <c r="AK52" s="12">
        <f>-(1-INDEX('Inputs &amp; Drivers'!$D$68:$D$78,MATCH(Model!AK$4,'Inputs &amp; Drivers'!$B$68:$B$78,0)))*AK51</f>
        <v>-29430.186559895392</v>
      </c>
      <c r="AL52" s="12">
        <f>-(1-INDEX('Inputs &amp; Drivers'!$D$68:$D$78,MATCH(Model!AL$4,'Inputs &amp; Drivers'!$B$68:$B$78,0)))*AL51</f>
        <v>-29503.762026295128</v>
      </c>
      <c r="AM52" s="12">
        <f>-(1-INDEX('Inputs &amp; Drivers'!$D$68:$D$78,MATCH(Model!AM$4,'Inputs &amp; Drivers'!$B$68:$B$78,0)))*AM51</f>
        <v>-29577.521431360863</v>
      </c>
      <c r="AN52" s="12">
        <f>-(1-INDEX('Inputs &amp; Drivers'!$D$68:$D$78,MATCH(Model!AN$4,'Inputs &amp; Drivers'!$B$68:$B$78,0)))*AN51</f>
        <v>-32347.052983570109</v>
      </c>
      <c r="AO52" s="12">
        <f>-(1-INDEX('Inputs &amp; Drivers'!$D$68:$D$78,MATCH(Model!AO$4,'Inputs &amp; Drivers'!$B$68:$B$78,0)))*AO51</f>
        <v>-32427.920616029034</v>
      </c>
      <c r="AP52" s="12">
        <f>-(1-INDEX('Inputs &amp; Drivers'!$D$68:$D$78,MATCH(Model!AP$4,'Inputs &amp; Drivers'!$B$68:$B$78,0)))*AP51</f>
        <v>-32508.990417569104</v>
      </c>
      <c r="AQ52" s="12">
        <f>-(1-INDEX('Inputs &amp; Drivers'!$D$68:$D$78,MATCH(Model!AQ$4,'Inputs &amp; Drivers'!$B$68:$B$78,0)))*AQ51</f>
        <v>-32590.262893613028</v>
      </c>
      <c r="AR52" s="12">
        <f>-(1-INDEX('Inputs &amp; Drivers'!$D$68:$D$78,MATCH(Model!AR$4,'Inputs &amp; Drivers'!$B$68:$B$78,0)))*AR51</f>
        <v>-32671.738550847054</v>
      </c>
      <c r="AS52" s="12">
        <f>-(1-INDEX('Inputs &amp; Drivers'!$D$68:$D$78,MATCH(Model!AS$4,'Inputs &amp; Drivers'!$B$68:$B$78,0)))*AS51</f>
        <v>-32753.417897224172</v>
      </c>
      <c r="AT52" s="12">
        <f>-(1-INDEX('Inputs &amp; Drivers'!$D$68:$D$78,MATCH(Model!AT$4,'Inputs &amp; Drivers'!$B$68:$B$78,0)))*AT51</f>
        <v>-32835.301441967233</v>
      </c>
      <c r="AU52" s="12">
        <f>-(1-INDEX('Inputs &amp; Drivers'!$D$68:$D$78,MATCH(Model!AU$4,'Inputs &amp; Drivers'!$B$68:$B$78,0)))*AU51</f>
        <v>-32917.38969557215</v>
      </c>
      <c r="AV52" s="12">
        <f>-(1-INDEX('Inputs &amp; Drivers'!$D$68:$D$78,MATCH(Model!AV$4,'Inputs &amp; Drivers'!$B$68:$B$78,0)))*AV51</f>
        <v>-32999.683169811084</v>
      </c>
      <c r="AW52" s="12">
        <f>-(1-INDEX('Inputs &amp; Drivers'!$D$68:$D$78,MATCH(Model!AW$4,'Inputs &amp; Drivers'!$B$68:$B$78,0)))*AW51</f>
        <v>-33082.182377735604</v>
      </c>
      <c r="AX52" s="12">
        <f>-(1-INDEX('Inputs &amp; Drivers'!$D$68:$D$78,MATCH(Model!AX$4,'Inputs &amp; Drivers'!$B$68:$B$78,0)))*AX51</f>
        <v>-33164.887833679939</v>
      </c>
      <c r="AY52" s="12">
        <f>-(1-INDEX('Inputs &amp; Drivers'!$D$68:$D$78,MATCH(Model!AY$4,'Inputs &amp; Drivers'!$B$68:$B$78,0)))*AY51</f>
        <v>-33247.800053264138</v>
      </c>
      <c r="AZ52" s="12">
        <f>-(1-INDEX('Inputs &amp; Drivers'!$D$68:$D$78,MATCH(Model!AZ$4,'Inputs &amp; Drivers'!$B$68:$B$78,0)))*AZ51</f>
        <v>-33330.919553397303</v>
      </c>
      <c r="BA52" s="12">
        <f>-(1-INDEX('Inputs &amp; Drivers'!$D$68:$D$78,MATCH(Model!BA$4,'Inputs &amp; Drivers'!$B$68:$B$78,0)))*BA51</f>
        <v>-33414.24685228079</v>
      </c>
      <c r="BB52" s="12">
        <f>-(1-INDEX('Inputs &amp; Drivers'!$D$68:$D$78,MATCH(Model!BB$4,'Inputs &amp; Drivers'!$B$68:$B$78,0)))*BB51</f>
        <v>-33497.78246941149</v>
      </c>
      <c r="BC52" s="12">
        <f>-(1-INDEX('Inputs &amp; Drivers'!$D$68:$D$78,MATCH(Model!BC$4,'Inputs &amp; Drivers'!$B$68:$B$78,0)))*BC51</f>
        <v>-33581.526925585022</v>
      </c>
      <c r="BD52" s="12">
        <f>-(1-INDEX('Inputs &amp; Drivers'!$D$68:$D$78,MATCH(Model!BD$4,'Inputs &amp; Drivers'!$B$68:$B$78,0)))*BD51</f>
        <v>-33665.480742898981</v>
      </c>
      <c r="BE52" s="12">
        <f>-(1-INDEX('Inputs &amp; Drivers'!$D$68:$D$78,MATCH(Model!BE$4,'Inputs &amp; Drivers'!$B$68:$B$78,0)))*BE51</f>
        <v>-33749.644444756224</v>
      </c>
      <c r="BF52" s="12">
        <f>-(1-INDEX('Inputs &amp; Drivers'!$D$68:$D$78,MATCH(Model!BF$4,'Inputs &amp; Drivers'!$B$68:$B$78,0)))*BF51</f>
        <v>-33834.018555868111</v>
      </c>
      <c r="BG52" s="12">
        <f>-(1-INDEX('Inputs &amp; Drivers'!$D$68:$D$78,MATCH(Model!BG$4,'Inputs &amp; Drivers'!$B$68:$B$78,0)))*BG51</f>
        <v>-33918.603602257783</v>
      </c>
      <c r="BH52" s="12">
        <f>-(1-INDEX('Inputs &amp; Drivers'!$D$68:$D$78,MATCH(Model!BH$4,'Inputs &amp; Drivers'!$B$68:$B$78,0)))*BH51</f>
        <v>-34003.400111263421</v>
      </c>
      <c r="BI52" s="12">
        <f>-(1-INDEX('Inputs &amp; Drivers'!$D$68:$D$78,MATCH(Model!BI$4,'Inputs &amp; Drivers'!$B$68:$B$78,0)))*BI51</f>
        <v>-34088.408611541578</v>
      </c>
      <c r="BJ52" s="12">
        <f>-(1-INDEX('Inputs &amp; Drivers'!$D$68:$D$78,MATCH(Model!BJ$4,'Inputs &amp; Drivers'!$B$68:$B$78,0)))*BJ51</f>
        <v>-34173.629633070428</v>
      </c>
      <c r="BK52" s="12">
        <f>-(1-INDEX('Inputs &amp; Drivers'!$D$68:$D$78,MATCH(Model!BK$4,'Inputs &amp; Drivers'!$B$68:$B$78,0)))*BK51</f>
        <v>-34259.063707153102</v>
      </c>
      <c r="BL52" s="12">
        <f>-(1-INDEX('Inputs &amp; Drivers'!$D$68:$D$78,MATCH(Model!BL$4,'Inputs &amp; Drivers'!$B$68:$B$78,0)))*BL51</f>
        <v>-34344.711366420983</v>
      </c>
      <c r="BM52" s="12">
        <f>-(1-INDEX('Inputs &amp; Drivers'!$D$68:$D$78,MATCH(Model!BM$4,'Inputs &amp; Drivers'!$B$68:$B$78,0)))*BM51</f>
        <v>-34430.573144837035</v>
      </c>
      <c r="BN52" s="12">
        <f>-(1-INDEX('Inputs &amp; Drivers'!$D$68:$D$78,MATCH(Model!BN$4,'Inputs &amp; Drivers'!$B$68:$B$78,0)))*BN51</f>
        <v>-34516.649577699129</v>
      </c>
      <c r="BO52" s="12">
        <f>-(1-INDEX('Inputs &amp; Drivers'!$D$68:$D$78,MATCH(Model!BO$4,'Inputs &amp; Drivers'!$B$68:$B$78,0)))*BO51</f>
        <v>-34602.941201643378</v>
      </c>
      <c r="BP52" s="12">
        <f>-(1-INDEX('Inputs &amp; Drivers'!$D$68:$D$78,MATCH(Model!BP$4,'Inputs &amp; Drivers'!$B$68:$B$78,0)))*BP51</f>
        <v>-34689.448554647483</v>
      </c>
      <c r="BQ52" s="12">
        <f>-(1-INDEX('Inputs &amp; Drivers'!$D$68:$D$78,MATCH(Model!BQ$4,'Inputs &amp; Drivers'!$B$68:$B$78,0)))*BQ51</f>
        <v>-34776.172176034102</v>
      </c>
      <c r="BR52" s="12">
        <f>-(1-INDEX('Inputs &amp; Drivers'!$D$68:$D$78,MATCH(Model!BR$4,'Inputs &amp; Drivers'!$B$68:$B$78,0)))*BR51</f>
        <v>-34863.112606474184</v>
      </c>
      <c r="BS52" s="12">
        <f>-(1-INDEX('Inputs &amp; Drivers'!$D$68:$D$78,MATCH(Model!BS$4,'Inputs &amp; Drivers'!$B$68:$B$78,0)))*BS51</f>
        <v>-34950.270387990371</v>
      </c>
      <c r="BT52" s="12">
        <f>-(1-INDEX('Inputs &amp; Drivers'!$D$68:$D$78,MATCH(Model!BT$4,'Inputs &amp; Drivers'!$B$68:$B$78,0)))*BT51</f>
        <v>-35037.646063960339</v>
      </c>
      <c r="BU52" s="12">
        <f>-(1-INDEX('Inputs &amp; Drivers'!$D$68:$D$78,MATCH(Model!BU$4,'Inputs &amp; Drivers'!$B$68:$B$78,0)))*BU51</f>
        <v>-35125.240179120243</v>
      </c>
      <c r="BV52" s="12">
        <f>-(1-INDEX('Inputs &amp; Drivers'!$D$68:$D$78,MATCH(Model!BV$4,'Inputs &amp; Drivers'!$B$68:$B$78,0)))*BV51</f>
        <v>-35213.053279568041</v>
      </c>
      <c r="BW52" s="12">
        <f>-(1-INDEX('Inputs &amp; Drivers'!$D$68:$D$78,MATCH(Model!BW$4,'Inputs &amp; Drivers'!$B$68:$B$78,0)))*BW51</f>
        <v>-35301.085912766954</v>
      </c>
      <c r="BX52" s="12">
        <f>-(1-INDEX('Inputs &amp; Drivers'!$D$68:$D$78,MATCH(Model!BX$4,'Inputs &amp; Drivers'!$B$68:$B$78,0)))*BX51</f>
        <v>-35389.338627548874</v>
      </c>
      <c r="BY52" s="12">
        <f>-(1-INDEX('Inputs &amp; Drivers'!$D$68:$D$78,MATCH(Model!BY$4,'Inputs &amp; Drivers'!$B$68:$B$78,0)))*BY51</f>
        <v>-35477.811974117736</v>
      </c>
      <c r="BZ52" s="12">
        <f>-(1-INDEX('Inputs &amp; Drivers'!$D$68:$D$78,MATCH(Model!BZ$4,'Inputs &amp; Drivers'!$B$68:$B$78,0)))*BZ51</f>
        <v>-35566.506504053039</v>
      </c>
      <c r="CA52" s="12">
        <f>-(1-INDEX('Inputs &amp; Drivers'!$D$68:$D$78,MATCH(Model!CA$4,'Inputs &amp; Drivers'!$B$68:$B$78,0)))*CA51</f>
        <v>-35655.422770313162</v>
      </c>
      <c r="CB52" s="12">
        <f>-(1-INDEX('Inputs &amp; Drivers'!$D$68:$D$78,MATCH(Model!CB$4,'Inputs &amp; Drivers'!$B$68:$B$78,0)))*CB51</f>
        <v>-35744.561327238946</v>
      </c>
      <c r="CC52" s="12">
        <f>-(1-INDEX('Inputs &amp; Drivers'!$D$68:$D$78,MATCH(Model!CC$4,'Inputs &amp; Drivers'!$B$68:$B$78,0)))*CC51</f>
        <v>-35833.922730557038</v>
      </c>
      <c r="CD52" s="12">
        <f>-(1-INDEX('Inputs &amp; Drivers'!$D$68:$D$78,MATCH(Model!CD$4,'Inputs &amp; Drivers'!$B$68:$B$78,0)))*CD51</f>
        <v>-35923.507537383433</v>
      </c>
      <c r="CE52" s="12">
        <f>-(1-INDEX('Inputs &amp; Drivers'!$D$68:$D$78,MATCH(Model!CE$4,'Inputs &amp; Drivers'!$B$68:$B$78,0)))*CE51</f>
        <v>-36013.316306226887</v>
      </c>
      <c r="CF52" s="12">
        <f>-(1-INDEX('Inputs &amp; Drivers'!$D$68:$D$78,MATCH(Model!CF$4,'Inputs &amp; Drivers'!$B$68:$B$78,0)))*CF51</f>
        <v>-36103.349596992455</v>
      </c>
      <c r="CG52" s="12">
        <f>-(1-INDEX('Inputs &amp; Drivers'!$D$68:$D$78,MATCH(Model!CG$4,'Inputs &amp; Drivers'!$B$68:$B$78,0)))*CG51</f>
        <v>-36193.607970984936</v>
      </c>
      <c r="CH52" s="12">
        <f>-(1-INDEX('Inputs &amp; Drivers'!$D$68:$D$78,MATCH(Model!CH$4,'Inputs &amp; Drivers'!$B$68:$B$78,0)))*CH51</f>
        <v>-36284.091990912399</v>
      </c>
      <c r="CI52" s="12">
        <f>-(1-INDEX('Inputs &amp; Drivers'!$D$68:$D$78,MATCH(Model!CI$4,'Inputs &amp; Drivers'!$B$68:$B$78,0)))*CI51</f>
        <v>-36374.802220889673</v>
      </c>
      <c r="CJ52" s="12">
        <f>-(1-INDEX('Inputs &amp; Drivers'!$D$68:$D$78,MATCH(Model!CJ$4,'Inputs &amp; Drivers'!$B$68:$B$78,0)))*CJ51</f>
        <v>-36465.739226441896</v>
      </c>
      <c r="CK52" s="12">
        <f>-(1-INDEX('Inputs &amp; Drivers'!$D$68:$D$78,MATCH(Model!CK$4,'Inputs &amp; Drivers'!$B$68:$B$78,0)))*CK51</f>
        <v>-36556.903574507996</v>
      </c>
      <c r="CL52" s="12">
        <f>-(1-INDEX('Inputs &amp; Drivers'!$D$68:$D$78,MATCH(Model!CL$4,'Inputs &amp; Drivers'!$B$68:$B$78,0)))*CL51</f>
        <v>-36648.295833444266</v>
      </c>
      <c r="CM52" s="12">
        <f>-(1-INDEX('Inputs &amp; Drivers'!$D$68:$D$78,MATCH(Model!CM$4,'Inputs &amp; Drivers'!$B$68:$B$78,0)))*CM51</f>
        <v>-36739.916573027876</v>
      </c>
      <c r="CN52" s="12">
        <f>-(1-INDEX('Inputs &amp; Drivers'!$D$68:$D$78,MATCH(Model!CN$4,'Inputs &amp; Drivers'!$B$68:$B$78,0)))*CN51</f>
        <v>-36831.766364460447</v>
      </c>
      <c r="CO52" s="12">
        <f>-(1-INDEX('Inputs &amp; Drivers'!$D$68:$D$78,MATCH(Model!CO$4,'Inputs &amp; Drivers'!$B$68:$B$78,0)))*CO51</f>
        <v>-36923.845780371594</v>
      </c>
      <c r="CP52" s="12">
        <f>-(1-INDEX('Inputs &amp; Drivers'!$D$68:$D$78,MATCH(Model!CP$4,'Inputs &amp; Drivers'!$B$68:$B$78,0)))*CP51</f>
        <v>-37016.155394822526</v>
      </c>
      <c r="CQ52" s="12">
        <f>-(1-INDEX('Inputs &amp; Drivers'!$D$68:$D$78,MATCH(Model!CQ$4,'Inputs &amp; Drivers'!$B$68:$B$78,0)))*CQ51</f>
        <v>-37108.695783309573</v>
      </c>
      <c r="CR52" s="12">
        <f>-(1-INDEX('Inputs &amp; Drivers'!$D$68:$D$78,MATCH(Model!CR$4,'Inputs &amp; Drivers'!$B$68:$B$78,0)))*CR51</f>
        <v>-37201.467522767845</v>
      </c>
      <c r="CS52" s="12">
        <f>-(1-INDEX('Inputs &amp; Drivers'!$D$68:$D$78,MATCH(Model!CS$4,'Inputs &amp; Drivers'!$B$68:$B$78,0)))*CS51</f>
        <v>-37294.471191574761</v>
      </c>
      <c r="CT52" s="12">
        <f>-(1-INDEX('Inputs &amp; Drivers'!$D$68:$D$78,MATCH(Model!CT$4,'Inputs &amp; Drivers'!$B$68:$B$78,0)))*CT51</f>
        <v>-37387.707369553704</v>
      </c>
      <c r="CU52" s="12">
        <f>-(1-INDEX('Inputs &amp; Drivers'!$D$68:$D$78,MATCH(Model!CU$4,'Inputs &amp; Drivers'!$B$68:$B$78,0)))*CU51</f>
        <v>-37481.176637977587</v>
      </c>
      <c r="CV52" s="12">
        <f>-(1-INDEX('Inputs &amp; Drivers'!$D$68:$D$78,MATCH(Model!CV$4,'Inputs &amp; Drivers'!$B$68:$B$78,0)))*CV51</f>
        <v>-37574.879579572524</v>
      </c>
      <c r="CW52" s="12">
        <f>-(1-INDEX('Inputs &amp; Drivers'!$D$68:$D$78,MATCH(Model!CW$4,'Inputs &amp; Drivers'!$B$68:$B$78,0)))*CW51</f>
        <v>-37668.816778521454</v>
      </c>
      <c r="CX52" s="12">
        <f>-(1-INDEX('Inputs &amp; Drivers'!$D$68:$D$78,MATCH(Model!CX$4,'Inputs &amp; Drivers'!$B$68:$B$78,0)))*CX51</f>
        <v>-37762.988820467755</v>
      </c>
      <c r="CY52" s="12">
        <f>-(1-INDEX('Inputs &amp; Drivers'!$D$68:$D$78,MATCH(Model!CY$4,'Inputs &amp; Drivers'!$B$68:$B$78,0)))*CY51</f>
        <v>-37857.396292518926</v>
      </c>
      <c r="CZ52" s="12">
        <f>-(1-INDEX('Inputs &amp; Drivers'!$D$68:$D$78,MATCH(Model!CZ$4,'Inputs &amp; Drivers'!$B$68:$B$78,0)))*CZ51</f>
        <v>-37952.039783250228</v>
      </c>
      <c r="DA52" s="12">
        <f>-(1-INDEX('Inputs &amp; Drivers'!$D$68:$D$78,MATCH(Model!DA$4,'Inputs &amp; Drivers'!$B$68:$B$78,0)))*DA51</f>
        <v>-38046.919882708338</v>
      </c>
      <c r="DB52" s="12">
        <f>-(1-INDEX('Inputs &amp; Drivers'!$D$68:$D$78,MATCH(Model!DB$4,'Inputs &amp; Drivers'!$B$68:$B$78,0)))*DB51</f>
        <v>-38142.037182415108</v>
      </c>
      <c r="DC52" s="12">
        <f>-(1-INDEX('Inputs &amp; Drivers'!$D$68:$D$78,MATCH(Model!DC$4,'Inputs &amp; Drivers'!$B$68:$B$78,0)))*DC51</f>
        <v>-38237.392275371145</v>
      </c>
      <c r="DD52" s="12">
        <f>-(1-INDEX('Inputs &amp; Drivers'!$D$68:$D$78,MATCH(Model!DD$4,'Inputs &amp; Drivers'!$B$68:$B$78,0)))*DD51</f>
        <v>-38332.985756059577</v>
      </c>
      <c r="DE52" s="12">
        <f>-(1-INDEX('Inputs &amp; Drivers'!$D$68:$D$78,MATCH(Model!DE$4,'Inputs &amp; Drivers'!$B$68:$B$78,0)))*DE51</f>
        <v>-38428.818220449713</v>
      </c>
      <c r="DF52" s="12">
        <f>-(1-INDEX('Inputs &amp; Drivers'!$D$68:$D$78,MATCH(Model!DF$4,'Inputs &amp; Drivers'!$B$68:$B$78,0)))*DF51</f>
        <v>-38524.890266000839</v>
      </c>
      <c r="DG52" s="12">
        <f>-(1-INDEX('Inputs &amp; Drivers'!$D$68:$D$78,MATCH(Model!DG$4,'Inputs &amp; Drivers'!$B$68:$B$78,0)))*DG51</f>
        <v>-38621.202491665834</v>
      </c>
      <c r="DH52" s="12">
        <f>-(1-INDEX('Inputs &amp; Drivers'!$D$68:$D$78,MATCH(Model!DH$4,'Inputs &amp; Drivers'!$B$68:$B$78,0)))*DH51</f>
        <v>-38717.755497894999</v>
      </c>
      <c r="DI52" s="12">
        <f>-(1-INDEX('Inputs &amp; Drivers'!$D$68:$D$78,MATCH(Model!DI$4,'Inputs &amp; Drivers'!$B$68:$B$78,0)))*DI51</f>
        <v>-38814.549886639739</v>
      </c>
      <c r="DJ52" s="12">
        <f>-(1-INDEX('Inputs &amp; Drivers'!$D$68:$D$78,MATCH(Model!DJ$4,'Inputs &amp; Drivers'!$B$68:$B$78,0)))*DJ51</f>
        <v>-38911.586261356329</v>
      </c>
      <c r="DK52" s="12">
        <f>-(1-INDEX('Inputs &amp; Drivers'!$D$68:$D$78,MATCH(Model!DK$4,'Inputs &amp; Drivers'!$B$68:$B$78,0)))*DK51</f>
        <v>-39008.865227009723</v>
      </c>
      <c r="DL52" s="12">
        <f>-(1-INDEX('Inputs &amp; Drivers'!$D$68:$D$78,MATCH(Model!DL$4,'Inputs &amp; Drivers'!$B$68:$B$78,0)))*DL51</f>
        <v>-39106.387390077245</v>
      </c>
      <c r="DM52" s="12">
        <f>-(1-INDEX('Inputs &amp; Drivers'!$D$68:$D$78,MATCH(Model!DM$4,'Inputs &amp; Drivers'!$B$68:$B$78,0)))*DM51</f>
        <v>-39204.15335855243</v>
      </c>
      <c r="DN52" s="12">
        <f>-(1-INDEX('Inputs &amp; Drivers'!$D$68:$D$78,MATCH(Model!DN$4,'Inputs &amp; Drivers'!$B$68:$B$78,0)))*DN51</f>
        <v>-39302.163741948811</v>
      </c>
      <c r="DO52" s="12">
        <f>-(1-INDEX('Inputs &amp; Drivers'!$D$68:$D$78,MATCH(Model!DO$4,'Inputs &amp; Drivers'!$B$68:$B$78,0)))*DO51</f>
        <v>-39400.419151303679</v>
      </c>
      <c r="DP52" s="12">
        <f>-(1-INDEX('Inputs &amp; Drivers'!$D$68:$D$78,MATCH(Model!DP$4,'Inputs &amp; Drivers'!$B$68:$B$78,0)))*DP51</f>
        <v>-39498.920199181943</v>
      </c>
      <c r="DQ52" s="12">
        <f>-(1-INDEX('Inputs &amp; Drivers'!$D$68:$D$78,MATCH(Model!DQ$4,'Inputs &amp; Drivers'!$B$68:$B$78,0)))*DQ51</f>
        <v>-39597.667499679897</v>
      </c>
      <c r="DR52" s="12">
        <f>-(1-INDEX('Inputs &amp; Drivers'!$D$68:$D$78,MATCH(Model!DR$4,'Inputs &amp; Drivers'!$B$68:$B$78,0)))*DR51</f>
        <v>-39696.661668429086</v>
      </c>
      <c r="DS52" s="12">
        <f>-(1-INDEX('Inputs &amp; Drivers'!$D$68:$D$78,MATCH(Model!DS$4,'Inputs &amp; Drivers'!$B$68:$B$78,0)))*DS51</f>
        <v>-39795.903322600163</v>
      </c>
      <c r="DT52" s="12">
        <f>-(1-INDEX('Inputs &amp; Drivers'!$D$68:$D$78,MATCH(Model!DT$4,'Inputs &amp; Drivers'!$B$68:$B$78,0)))*DT51</f>
        <v>-39895.393080906659</v>
      </c>
      <c r="DU52" s="12">
        <f>-(1-INDEX('Inputs &amp; Drivers'!$D$68:$D$78,MATCH(Model!DU$4,'Inputs &amp; Drivers'!$B$68:$B$78,0)))*DU51</f>
        <v>-39995.13156360892</v>
      </c>
      <c r="DV52" s="12">
        <f>-(1-INDEX('Inputs &amp; Drivers'!$D$68:$D$78,MATCH(Model!DV$4,'Inputs &amp; Drivers'!$B$68:$B$78,0)))*DV51</f>
        <v>-40095.119392517947</v>
      </c>
      <c r="DW52" s="12">
        <f>-(1-INDEX('Inputs &amp; Drivers'!$D$68:$D$78,MATCH(Model!DW$4,'Inputs &amp; Drivers'!$B$68:$B$78,0)))*DW51</f>
        <v>-40195.357190999232</v>
      </c>
      <c r="DX52" s="12">
        <f>-(1-INDEX('Inputs &amp; Drivers'!$D$68:$D$78,MATCH(Model!DX$4,'Inputs &amp; Drivers'!$B$68:$B$78,0)))*DX51</f>
        <v>-40295.845583976727</v>
      </c>
      <c r="DY52" s="12">
        <f>-(1-INDEX('Inputs &amp; Drivers'!$D$68:$D$78,MATCH(Model!DY$4,'Inputs &amp; Drivers'!$B$68:$B$78,0)))*DY51</f>
        <v>-40396.585197936663</v>
      </c>
      <c r="DZ52" s="12">
        <f>-(1-INDEX('Inputs &amp; Drivers'!$D$68:$D$78,MATCH(Model!DZ$4,'Inputs &amp; Drivers'!$B$68:$B$78,0)))*DZ51</f>
        <v>-40497.576660931503</v>
      </c>
      <c r="EA52" s="12">
        <f>-(1-INDEX('Inputs &amp; Drivers'!$D$68:$D$78,MATCH(Model!EA$4,'Inputs &amp; Drivers'!$B$68:$B$78,0)))*EA51</f>
        <v>-40598.82060258383</v>
      </c>
      <c r="EB52" s="12">
        <f>-(1-INDEX('Inputs &amp; Drivers'!$D$68:$D$78,MATCH(Model!EB$4,'Inputs &amp; Drivers'!$B$68:$B$78,0)))*EB51</f>
        <v>-40700.317654090286</v>
      </c>
      <c r="EC52" s="12">
        <f>-(1-INDEX('Inputs &amp; Drivers'!$D$68:$D$78,MATCH(Model!EC$4,'Inputs &amp; Drivers'!$B$68:$B$78,0)))*EC51</f>
        <v>-40802.068448225509</v>
      </c>
      <c r="ED52" s="12">
        <f>-(1-INDEX('Inputs &amp; Drivers'!$D$68:$D$78,MATCH(Model!ED$4,'Inputs &amp; Drivers'!$B$68:$B$78,0)))*ED51</f>
        <v>-40904.073619346069</v>
      </c>
      <c r="EE52" s="12">
        <f>-(1-INDEX('Inputs &amp; Drivers'!$D$68:$D$78,MATCH(Model!EE$4,'Inputs &amp; Drivers'!$B$68:$B$78,0)))*EE51</f>
        <v>-41006.333803394431</v>
      </c>
      <c r="EF52" s="12">
        <f>-(1-INDEX('Inputs &amp; Drivers'!$D$68:$D$78,MATCH(Model!EF$4,'Inputs &amp; Drivers'!$B$68:$B$78,0)))*EF51</f>
        <v>-41108.849637902917</v>
      </c>
      <c r="EG52" s="12">
        <f>-(1-INDEX('Inputs &amp; Drivers'!$D$68:$D$78,MATCH(Model!EG$4,'Inputs &amp; Drivers'!$B$68:$B$78,0)))*EG51</f>
        <v>-41211.621761997667</v>
      </c>
      <c r="EH52" s="12">
        <f>-(1-INDEX('Inputs &amp; Drivers'!$D$68:$D$78,MATCH(Model!EH$4,'Inputs &amp; Drivers'!$B$68:$B$78,0)))*EH51</f>
        <v>-41314.650816402667</v>
      </c>
      <c r="EI52" s="12">
        <f>-(1-INDEX('Inputs &amp; Drivers'!$D$68:$D$78,MATCH(Model!EI$4,'Inputs &amp; Drivers'!$B$68:$B$78,0)))*EI51</f>
        <v>-41417.937443443669</v>
      </c>
      <c r="EJ52" s="12">
        <f>-(1-INDEX('Inputs &amp; Drivers'!$D$68:$D$78,MATCH(Model!EJ$4,'Inputs &amp; Drivers'!$B$68:$B$78,0)))*EJ51</f>
        <v>-41521.482287052277</v>
      </c>
      <c r="EK52" s="12"/>
      <c r="EL52" s="12">
        <f>SUMIF($H$4:$EJ$4,EL$5,$H52:$EJ52)</f>
        <v>0</v>
      </c>
      <c r="EM52" s="12">
        <f t="shared" si="163"/>
        <v>0</v>
      </c>
      <c r="EN52" s="12">
        <f t="shared" si="163"/>
        <v>-134008.67158632097</v>
      </c>
      <c r="EO52" s="12">
        <f t="shared" si="163"/>
        <v>-365132.31830517866</v>
      </c>
      <c r="EP52" s="12">
        <f t="shared" si="163"/>
        <v>-398490.61901282793</v>
      </c>
      <c r="EQ52" s="12">
        <f t="shared" si="163"/>
        <v>-410611.09251115873</v>
      </c>
      <c r="ER52" s="12">
        <f t="shared" si="163"/>
        <v>-423100.22180918604</v>
      </c>
      <c r="ES52" s="12">
        <f t="shared" si="163"/>
        <v>-435969.21992582933</v>
      </c>
      <c r="ET52" s="12">
        <f t="shared" si="163"/>
        <v>-449229.64093470847</v>
      </c>
      <c r="EU52" s="12">
        <f t="shared" si="163"/>
        <v>-462893.39033764857</v>
      </c>
      <c r="EV52" s="12">
        <f t="shared" si="163"/>
        <v>-476972.73575370549</v>
      </c>
      <c r="EW52" s="12">
        <f t="shared" si="163"/>
        <v>-491480.31793330749</v>
      </c>
    </row>
    <row r="53" spans="2:153" x14ac:dyDescent="0.4">
      <c r="B53" s="60" t="s">
        <v>19</v>
      </c>
      <c r="E53" s="57"/>
      <c r="F53" s="12" cm="1">
        <f t="array" ref="F53">SUMPRODUCT(($H53:$EJ53)*($H$6:$EJ$6&lt;=$C$5))</f>
        <v>-33525.806078181406</v>
      </c>
      <c r="H53" s="12"/>
      <c r="I53" s="12">
        <f>-'Inputs &amp; Drivers'!$D57*Model!I$51</f>
        <v>0</v>
      </c>
      <c r="J53" s="12">
        <f>-'Inputs &amp; Drivers'!$D57*Model!J$51</f>
        <v>0</v>
      </c>
      <c r="K53" s="12">
        <f>-'Inputs &amp; Drivers'!$D57*Model!K$51</f>
        <v>0</v>
      </c>
      <c r="L53" s="12">
        <f>-'Inputs &amp; Drivers'!$D57*Model!L$51</f>
        <v>0</v>
      </c>
      <c r="M53" s="12">
        <f>-'Inputs &amp; Drivers'!$D57*Model!M$51</f>
        <v>0</v>
      </c>
      <c r="N53" s="12">
        <f>-'Inputs &amp; Drivers'!$D57*Model!N$51</f>
        <v>0</v>
      </c>
      <c r="O53" s="12">
        <f>-'Inputs &amp; Drivers'!$D57*Model!O$51</f>
        <v>0</v>
      </c>
      <c r="P53" s="12">
        <f>-'Inputs &amp; Drivers'!$D57*Model!P$51</f>
        <v>0</v>
      </c>
      <c r="Q53" s="12">
        <f>-'Inputs &amp; Drivers'!$D57*Model!Q$51</f>
        <v>0</v>
      </c>
      <c r="R53" s="12">
        <f>-'Inputs &amp; Drivers'!$D57*Model!R$51</f>
        <v>0</v>
      </c>
      <c r="S53" s="12">
        <f>-'Inputs &amp; Drivers'!$D57*Model!S$51</f>
        <v>0</v>
      </c>
      <c r="T53" s="12">
        <f>-'Inputs &amp; Drivers'!$D57*Model!T$51</f>
        <v>0</v>
      </c>
      <c r="U53" s="12">
        <f>-'Inputs &amp; Drivers'!$D57*Model!U$51</f>
        <v>0</v>
      </c>
      <c r="V53" s="12">
        <f>-'Inputs &amp; Drivers'!$D57*Model!V$51</f>
        <v>0</v>
      </c>
      <c r="W53" s="12">
        <f>-'Inputs &amp; Drivers'!$D57*Model!W$51</f>
        <v>0</v>
      </c>
      <c r="X53" s="12">
        <f>-'Inputs &amp; Drivers'!$D57*Model!X$51</f>
        <v>0</v>
      </c>
      <c r="Y53" s="12">
        <f>-'Inputs &amp; Drivers'!$D57*Model!Y$51</f>
        <v>-205.20149554026113</v>
      </c>
      <c r="Z53" s="12">
        <f>-'Inputs &amp; Drivers'!$D57*Model!Z$51</f>
        <v>-411.08699606565642</v>
      </c>
      <c r="AA53" s="12">
        <f>-'Inputs &amp; Drivers'!$D57*Model!AA$51</f>
        <v>-617.6582115886489</v>
      </c>
      <c r="AB53" s="12">
        <f>-'Inputs &amp; Drivers'!$D57*Model!AB$51</f>
        <v>-824.91685592172905</v>
      </c>
      <c r="AC53" s="12">
        <f>-'Inputs &amp; Drivers'!$D57*Model!AC$51</f>
        <v>-1032.8646466853315</v>
      </c>
      <c r="AD53" s="12">
        <f>-'Inputs &amp; Drivers'!$D57*Model!AD$51</f>
        <v>-1241.5033053157686</v>
      </c>
      <c r="AE53" s="12">
        <f>-'Inputs &amp; Drivers'!$D57*Model!AE$51</f>
        <v>-1450.8345570731772</v>
      </c>
      <c r="AF53" s="12">
        <f>-'Inputs &amp; Drivers'!$D57*Model!AF$51</f>
        <v>-1660.8601310494848</v>
      </c>
      <c r="AG53" s="12">
        <f>-'Inputs &amp; Drivers'!$D57*Model!AG$51</f>
        <v>-1873.1388165492469</v>
      </c>
      <c r="AH53" s="12">
        <f>-'Inputs &amp; Drivers'!$D57*Model!AH$51</f>
        <v>-2086.4685151006888</v>
      </c>
      <c r="AI53" s="12">
        <f>-'Inputs &amp; Drivers'!$D57*Model!AI$51</f>
        <v>-2091.6846863884402</v>
      </c>
      <c r="AJ53" s="12">
        <f>-'Inputs &amp; Drivers'!$D57*Model!AJ$51</f>
        <v>-2096.9138981044111</v>
      </c>
      <c r="AK53" s="12">
        <f>-'Inputs &amp; Drivers'!$D57*Model!AK$51</f>
        <v>-2102.1561828496724</v>
      </c>
      <c r="AL53" s="12">
        <f>-'Inputs &amp; Drivers'!$D57*Model!AL$51</f>
        <v>-2107.4115733067961</v>
      </c>
      <c r="AM53" s="12">
        <f>-'Inputs &amp; Drivers'!$D57*Model!AM$51</f>
        <v>-2112.6801022400632</v>
      </c>
      <c r="AN53" s="12">
        <f>-'Inputs &amp; Drivers'!$D57*Model!AN$51</f>
        <v>-2310.5037845407237</v>
      </c>
      <c r="AO53" s="12">
        <f>-'Inputs &amp; Drivers'!$D57*Model!AO$51</f>
        <v>-2316.2800440020756</v>
      </c>
      <c r="AP53" s="12">
        <f>-'Inputs &amp; Drivers'!$D57*Model!AP$51</f>
        <v>-2322.0707441120803</v>
      </c>
      <c r="AQ53" s="12">
        <f>-'Inputs &amp; Drivers'!$D57*Model!AQ$51</f>
        <v>-2327.8759209723607</v>
      </c>
      <c r="AR53" s="12">
        <f>-'Inputs &amp; Drivers'!$D57*Model!AR$51</f>
        <v>-2333.6956107747915</v>
      </c>
      <c r="AS53" s="12">
        <f>-'Inputs &amp; Drivers'!$D57*Model!AS$51</f>
        <v>-2339.5298498017282</v>
      </c>
      <c r="AT53" s="12">
        <f>-'Inputs &amp; Drivers'!$D57*Model!AT$51</f>
        <v>-2345.3786744262329</v>
      </c>
      <c r="AU53" s="12">
        <f>-'Inputs &amp; Drivers'!$D57*Model!AU$51</f>
        <v>-2351.2421211122983</v>
      </c>
      <c r="AV53" s="12">
        <f>-'Inputs &amp; Drivers'!$D57*Model!AV$51</f>
        <v>-2357.1202264150788</v>
      </c>
      <c r="AW53" s="12">
        <f>-'Inputs &amp; Drivers'!$D57*Model!AW$51</f>
        <v>-2363.0130269811161</v>
      </c>
      <c r="AX53" s="12">
        <f>-'Inputs &amp; Drivers'!$D57*Model!AX$51</f>
        <v>-2368.9205595485687</v>
      </c>
      <c r="AY53" s="12">
        <f>-'Inputs &amp; Drivers'!$D57*Model!AY$51</f>
        <v>-2374.8428609474404</v>
      </c>
      <c r="AZ53" s="12">
        <f>-'Inputs &amp; Drivers'!$D57*Model!AZ$51</f>
        <v>-2380.7799680998091</v>
      </c>
      <c r="BA53" s="12">
        <f>-'Inputs &amp; Drivers'!$D57*Model!BA$51</f>
        <v>-2386.7319180200579</v>
      </c>
      <c r="BB53" s="12">
        <f>-'Inputs &amp; Drivers'!$D57*Model!BB$51</f>
        <v>-2392.6987478151082</v>
      </c>
      <c r="BC53" s="12">
        <f>-'Inputs &amp; Drivers'!$D57*Model!BC$51</f>
        <v>-2398.680494684646</v>
      </c>
      <c r="BD53" s="12">
        <f>-'Inputs &amp; Drivers'!$D57*Model!BD$51</f>
        <v>-2404.6771959213575</v>
      </c>
      <c r="BE53" s="12">
        <f>-'Inputs &amp; Drivers'!$D57*Model!BE$51</f>
        <v>-2410.6888889111606</v>
      </c>
      <c r="BF53" s="12">
        <f>-'Inputs &amp; Drivers'!$D57*Model!BF$51</f>
        <v>-2416.715611133438</v>
      </c>
      <c r="BG53" s="12">
        <f>-'Inputs &amp; Drivers'!$D57*Model!BG$51</f>
        <v>-2422.757400161272</v>
      </c>
      <c r="BH53" s="12">
        <f>-'Inputs &amp; Drivers'!$D57*Model!BH$51</f>
        <v>-2428.8142936616746</v>
      </c>
      <c r="BI53" s="12">
        <f>-'Inputs &amp; Drivers'!$D57*Model!BI$51</f>
        <v>-2434.8863293958289</v>
      </c>
      <c r="BJ53" s="12">
        <f>-'Inputs &amp; Drivers'!$D57*Model!BJ$51</f>
        <v>-2440.9735452193181</v>
      </c>
      <c r="BK53" s="12">
        <f>-'Inputs &amp; Drivers'!$D57*Model!BK$51</f>
        <v>-2447.0759790823663</v>
      </c>
      <c r="BL53" s="12">
        <f>-'Inputs &amp; Drivers'!$D57*Model!BL$51</f>
        <v>-2453.1936690300722</v>
      </c>
      <c r="BM53" s="12">
        <f>-'Inputs &amp; Drivers'!$D57*Model!BM$51</f>
        <v>-2459.3266532026469</v>
      </c>
      <c r="BN53" s="12">
        <f>-'Inputs &amp; Drivers'!$D57*Model!BN$51</f>
        <v>-2465.4749698356536</v>
      </c>
      <c r="BO53" s="12">
        <f>-'Inputs &amp; Drivers'!$D57*Model!BO$51</f>
        <v>-2471.6386572602428</v>
      </c>
      <c r="BP53" s="12">
        <f>-'Inputs &amp; Drivers'!$D57*Model!BP$51</f>
        <v>-2477.8177539033932</v>
      </c>
      <c r="BQ53" s="12">
        <f>-'Inputs &amp; Drivers'!$D57*Model!BQ$51</f>
        <v>-2484.0122982881517</v>
      </c>
      <c r="BR53" s="12">
        <f>-'Inputs &amp; Drivers'!$D57*Model!BR$51</f>
        <v>-2490.2223290338725</v>
      </c>
      <c r="BS53" s="12">
        <f>-'Inputs &amp; Drivers'!$D57*Model!BS$51</f>
        <v>-2496.4478848564568</v>
      </c>
      <c r="BT53" s="12">
        <f>-'Inputs &amp; Drivers'!$D57*Model!BT$51</f>
        <v>-2502.6890045685977</v>
      </c>
      <c r="BU53" s="12">
        <f>-'Inputs &amp; Drivers'!$D57*Model!BU$51</f>
        <v>-2508.945727080019</v>
      </c>
      <c r="BV53" s="12">
        <f>-'Inputs &amp; Drivers'!$D57*Model!BV$51</f>
        <v>-2515.218091397719</v>
      </c>
      <c r="BW53" s="12">
        <f>-'Inputs &amp; Drivers'!$D57*Model!BW$51</f>
        <v>-2521.506136626213</v>
      </c>
      <c r="BX53" s="12">
        <f>-'Inputs &amp; Drivers'!$D57*Model!BX$51</f>
        <v>-2527.8099019677784</v>
      </c>
      <c r="BY53" s="12">
        <f>-'Inputs &amp; Drivers'!$D57*Model!BY$51</f>
        <v>-2534.1294267226976</v>
      </c>
      <c r="BZ53" s="12">
        <f>-'Inputs &amp; Drivers'!$D57*Model!BZ$51</f>
        <v>-2540.4647502895045</v>
      </c>
      <c r="CA53" s="12">
        <f>-'Inputs &amp; Drivers'!$D57*Model!CA$51</f>
        <v>-2546.8159121652275</v>
      </c>
      <c r="CB53" s="12">
        <f>-'Inputs &amp; Drivers'!$D57*Model!CB$51</f>
        <v>-2553.1829519456405</v>
      </c>
      <c r="CC53" s="12">
        <f>-'Inputs &amp; Drivers'!$D57*Model!CC$51</f>
        <v>-2559.5659093255049</v>
      </c>
      <c r="CD53" s="12">
        <f>-'Inputs &amp; Drivers'!$D57*Model!CD$51</f>
        <v>-2565.9648240988186</v>
      </c>
      <c r="CE53" s="12">
        <f>-'Inputs &amp; Drivers'!$D57*Model!CE$51</f>
        <v>-2572.3797361590655</v>
      </c>
      <c r="CF53" s="12">
        <f>-'Inputs &amp; Drivers'!$D57*Model!CF$51</f>
        <v>-2578.8106854994626</v>
      </c>
      <c r="CG53" s="12">
        <f>-'Inputs &amp; Drivers'!$D57*Model!CG$51</f>
        <v>-2585.2577122132116</v>
      </c>
      <c r="CH53" s="12">
        <f>-'Inputs &amp; Drivers'!$D57*Model!CH$51</f>
        <v>-2591.7208564937446</v>
      </c>
      <c r="CI53" s="12">
        <f>-'Inputs &amp; Drivers'!$D57*Model!CI$51</f>
        <v>-2598.2001586349784</v>
      </c>
      <c r="CJ53" s="12">
        <f>-'Inputs &amp; Drivers'!$D57*Model!CJ$51</f>
        <v>-2604.6956590315658</v>
      </c>
      <c r="CK53" s="12">
        <f>-'Inputs &amp; Drivers'!$D57*Model!CK$51</f>
        <v>-2611.2073981791445</v>
      </c>
      <c r="CL53" s="12">
        <f>-'Inputs &amp; Drivers'!$D57*Model!CL$51</f>
        <v>-2617.7354166745922</v>
      </c>
      <c r="CM53" s="12">
        <f>-'Inputs &amp; Drivers'!$D57*Model!CM$51</f>
        <v>-2624.2797552162788</v>
      </c>
      <c r="CN53" s="12">
        <f>-'Inputs &amp; Drivers'!$D57*Model!CN$51</f>
        <v>-2630.8404546043198</v>
      </c>
      <c r="CO53" s="12">
        <f>-'Inputs &amp; Drivers'!$D57*Model!CO$51</f>
        <v>-2637.4175557408303</v>
      </c>
      <c r="CP53" s="12">
        <f>-'Inputs &amp; Drivers'!$D57*Model!CP$51</f>
        <v>-2644.0110996301823</v>
      </c>
      <c r="CQ53" s="12">
        <f>-'Inputs &amp; Drivers'!$D57*Model!CQ$51</f>
        <v>-2650.6211273792574</v>
      </c>
      <c r="CR53" s="12">
        <f>-'Inputs &amp; Drivers'!$D57*Model!CR$51</f>
        <v>-2657.247680197705</v>
      </c>
      <c r="CS53" s="12">
        <f>-'Inputs &amp; Drivers'!$D57*Model!CS$51</f>
        <v>-2663.8907993981993</v>
      </c>
      <c r="CT53" s="12">
        <f>-'Inputs &amp; Drivers'!$D57*Model!CT$51</f>
        <v>-2670.5505263966952</v>
      </c>
      <c r="CU53" s="12">
        <f>-'Inputs &amp; Drivers'!$D57*Model!CU$51</f>
        <v>-2677.2269027126868</v>
      </c>
      <c r="CV53" s="12">
        <f>-'Inputs &amp; Drivers'!$D57*Model!CV$51</f>
        <v>-2683.9199699694682</v>
      </c>
      <c r="CW53" s="12">
        <f>-'Inputs &amp; Drivers'!$D57*Model!CW$51</f>
        <v>-2690.6297698943918</v>
      </c>
      <c r="CX53" s="12">
        <f>-'Inputs &amp; Drivers'!$D57*Model!CX$51</f>
        <v>-2697.3563443191274</v>
      </c>
      <c r="CY53" s="12">
        <f>-'Inputs &amp; Drivers'!$D57*Model!CY$51</f>
        <v>-2704.0997351799256</v>
      </c>
      <c r="CZ53" s="12">
        <f>-'Inputs &amp; Drivers'!$D57*Model!CZ$51</f>
        <v>-2710.8599845178751</v>
      </c>
      <c r="DA53" s="12">
        <f>-'Inputs &amp; Drivers'!$D57*Model!DA$51</f>
        <v>-2717.6371344791692</v>
      </c>
      <c r="DB53" s="12">
        <f>-'Inputs &amp; Drivers'!$D57*Model!DB$51</f>
        <v>-2724.4312273153669</v>
      </c>
      <c r="DC53" s="12">
        <f>-'Inputs &amp; Drivers'!$D57*Model!DC$51</f>
        <v>-2731.2423053836551</v>
      </c>
      <c r="DD53" s="12">
        <f>-'Inputs &amp; Drivers'!$D57*Model!DD$51</f>
        <v>-2738.0704111471146</v>
      </c>
      <c r="DE53" s="12">
        <f>-'Inputs &amp; Drivers'!$D57*Model!DE$51</f>
        <v>-2744.9155871749817</v>
      </c>
      <c r="DF53" s="12">
        <f>-'Inputs &amp; Drivers'!$D57*Model!DF$51</f>
        <v>-2751.777876142919</v>
      </c>
      <c r="DG53" s="12">
        <f>-'Inputs &amp; Drivers'!$D57*Model!DG$51</f>
        <v>-2758.6573208332761</v>
      </c>
      <c r="DH53" s="12">
        <f>-'Inputs &amp; Drivers'!$D57*Model!DH$51</f>
        <v>-2765.5539641353594</v>
      </c>
      <c r="DI53" s="12">
        <f>-'Inputs &amp; Drivers'!$D57*Model!DI$51</f>
        <v>-2772.4678490456972</v>
      </c>
      <c r="DJ53" s="12">
        <f>-'Inputs &amp; Drivers'!$D57*Model!DJ$51</f>
        <v>-2779.3990186683113</v>
      </c>
      <c r="DK53" s="12">
        <f>-'Inputs &amp; Drivers'!$D57*Model!DK$51</f>
        <v>-2786.3475162149821</v>
      </c>
      <c r="DL53" s="12">
        <f>-'Inputs &amp; Drivers'!$D57*Model!DL$51</f>
        <v>-2793.3133850055196</v>
      </c>
      <c r="DM53" s="12">
        <f>-'Inputs &amp; Drivers'!$D57*Model!DM$51</f>
        <v>-2800.2966684680327</v>
      </c>
      <c r="DN53" s="12">
        <f>-'Inputs &amp; Drivers'!$D57*Model!DN$51</f>
        <v>-2807.2974101392028</v>
      </c>
      <c r="DO53" s="12">
        <f>-'Inputs &amp; Drivers'!$D57*Model!DO$51</f>
        <v>-2814.3156536645506</v>
      </c>
      <c r="DP53" s="12">
        <f>-'Inputs &amp; Drivers'!$D57*Model!DP$51</f>
        <v>-2821.351442798712</v>
      </c>
      <c r="DQ53" s="12">
        <f>-'Inputs &amp; Drivers'!$D57*Model!DQ$51</f>
        <v>-2828.4048214057088</v>
      </c>
      <c r="DR53" s="12">
        <f>-'Inputs &amp; Drivers'!$D57*Model!DR$51</f>
        <v>-2835.4758334592225</v>
      </c>
      <c r="DS53" s="12">
        <f>-'Inputs &amp; Drivers'!$D57*Model!DS$51</f>
        <v>-2842.5645230428704</v>
      </c>
      <c r="DT53" s="12">
        <f>-'Inputs &amp; Drivers'!$D57*Model!DT$51</f>
        <v>-2849.6709343504776</v>
      </c>
      <c r="DU53" s="12">
        <f>-'Inputs &amp; Drivers'!$D57*Model!DU$51</f>
        <v>-2856.7951116863533</v>
      </c>
      <c r="DV53" s="12">
        <f>-'Inputs &amp; Drivers'!$D57*Model!DV$51</f>
        <v>-2863.9370994655696</v>
      </c>
      <c r="DW53" s="12">
        <f>-'Inputs &amp; Drivers'!$D57*Model!DW$51</f>
        <v>-2871.096942214233</v>
      </c>
      <c r="DX53" s="12">
        <f>-'Inputs &amp; Drivers'!$D57*Model!DX$51</f>
        <v>-2878.2746845697684</v>
      </c>
      <c r="DY53" s="12">
        <f>-'Inputs &amp; Drivers'!$D57*Model!DY$51</f>
        <v>-2885.470371281192</v>
      </c>
      <c r="DZ53" s="12">
        <f>-'Inputs &amp; Drivers'!$D57*Model!DZ$51</f>
        <v>-2892.6840472093954</v>
      </c>
      <c r="EA53" s="12">
        <f>-'Inputs &amp; Drivers'!$D57*Model!EA$51</f>
        <v>-2899.9157573274188</v>
      </c>
      <c r="EB53" s="12">
        <f>-'Inputs &amp; Drivers'!$D57*Model!EB$51</f>
        <v>-2907.165546720737</v>
      </c>
      <c r="EC53" s="12">
        <f>-'Inputs &amp; Drivers'!$D57*Model!EC$51</f>
        <v>-2914.4334605875383</v>
      </c>
      <c r="ED53" s="12">
        <f>-'Inputs &amp; Drivers'!$D57*Model!ED$51</f>
        <v>-2921.7195442390071</v>
      </c>
      <c r="EE53" s="12">
        <f>-'Inputs &amp; Drivers'!$D57*Model!EE$51</f>
        <v>-2929.0238430996042</v>
      </c>
      <c r="EF53" s="12">
        <f>-'Inputs &amp; Drivers'!$D57*Model!EF$51</f>
        <v>-2936.3464027073533</v>
      </c>
      <c r="EG53" s="12">
        <f>-'Inputs &amp; Drivers'!$D57*Model!EG$51</f>
        <v>-2943.6872687141213</v>
      </c>
      <c r="EH53" s="12">
        <f>-'Inputs &amp; Drivers'!$D57*Model!EH$51</f>
        <v>-2951.0464868859067</v>
      </c>
      <c r="EI53" s="12">
        <f>-'Inputs &amp; Drivers'!$D57*Model!EI$51</f>
        <v>-2958.4241031031211</v>
      </c>
      <c r="EJ53" s="12">
        <f>-'Inputs &amp; Drivers'!$D57*Model!EJ$51</f>
        <v>-2965.8201633608792</v>
      </c>
      <c r="EK53" s="8"/>
      <c r="EL53" s="12">
        <f>SUMIF($H$4:$EJ$4,EL$5,$H53:$EJ53)</f>
        <v>0</v>
      </c>
      <c r="EM53" s="12">
        <f t="shared" si="163"/>
        <v>0</v>
      </c>
      <c r="EN53" s="12">
        <f t="shared" si="163"/>
        <v>-7444.9261992400579</v>
      </c>
      <c r="EO53" s="12">
        <f t="shared" si="163"/>
        <v>-26080.879878941349</v>
      </c>
      <c r="EP53" s="12">
        <f t="shared" si="163"/>
        <v>-28463.615643773446</v>
      </c>
      <c r="EQ53" s="12">
        <f t="shared" si="163"/>
        <v>-29329.363750797067</v>
      </c>
      <c r="ER53" s="12">
        <f t="shared" si="163"/>
        <v>-30221.444414941885</v>
      </c>
      <c r="ES53" s="12">
        <f t="shared" si="163"/>
        <v>-31140.658566130685</v>
      </c>
      <c r="ET53" s="12">
        <f t="shared" si="163"/>
        <v>-32087.831495336348</v>
      </c>
      <c r="EU53" s="12">
        <f t="shared" si="163"/>
        <v>-33063.813595546351</v>
      </c>
      <c r="EV53" s="12">
        <f t="shared" si="163"/>
        <v>-34069.481125264698</v>
      </c>
      <c r="EW53" s="12">
        <f t="shared" si="163"/>
        <v>-35105.736995236271</v>
      </c>
    </row>
    <row r="54" spans="2:153" x14ac:dyDescent="0.4">
      <c r="B54" s="60" t="s">
        <v>34</v>
      </c>
      <c r="E54" s="57"/>
      <c r="F54" s="12" cm="1">
        <f t="array" ref="F54">SUMPRODUCT(($H54:$EJ54)*($H$6:$EJ$6&lt;=$C$5))</f>
        <v>-50288.709117272112</v>
      </c>
      <c r="H54" s="12"/>
      <c r="I54" s="12">
        <f>-'Inputs &amp; Drivers'!$D58*Model!I$51</f>
        <v>0</v>
      </c>
      <c r="J54" s="12">
        <f>-'Inputs &amp; Drivers'!$D58*Model!J$51</f>
        <v>0</v>
      </c>
      <c r="K54" s="12">
        <f>-'Inputs &amp; Drivers'!$D58*Model!K$51</f>
        <v>0</v>
      </c>
      <c r="L54" s="12">
        <f>-'Inputs &amp; Drivers'!$D58*Model!L$51</f>
        <v>0</v>
      </c>
      <c r="M54" s="12">
        <f>-'Inputs &amp; Drivers'!$D58*Model!M$51</f>
        <v>0</v>
      </c>
      <c r="N54" s="12">
        <f>-'Inputs &amp; Drivers'!$D58*Model!N$51</f>
        <v>0</v>
      </c>
      <c r="O54" s="12">
        <f>-'Inputs &amp; Drivers'!$D58*Model!O$51</f>
        <v>0</v>
      </c>
      <c r="P54" s="12">
        <f>-'Inputs &amp; Drivers'!$D58*Model!P$51</f>
        <v>0</v>
      </c>
      <c r="Q54" s="12">
        <f>-'Inputs &amp; Drivers'!$D58*Model!Q$51</f>
        <v>0</v>
      </c>
      <c r="R54" s="12">
        <f>-'Inputs &amp; Drivers'!$D58*Model!R$51</f>
        <v>0</v>
      </c>
      <c r="S54" s="12">
        <f>-'Inputs &amp; Drivers'!$D58*Model!S$51</f>
        <v>0</v>
      </c>
      <c r="T54" s="12">
        <f>-'Inputs &amp; Drivers'!$D58*Model!T$51</f>
        <v>0</v>
      </c>
      <c r="U54" s="12">
        <f>-'Inputs &amp; Drivers'!$D58*Model!U$51</f>
        <v>0</v>
      </c>
      <c r="V54" s="12">
        <f>-'Inputs &amp; Drivers'!$D58*Model!V$51</f>
        <v>0</v>
      </c>
      <c r="W54" s="12">
        <f>-'Inputs &amp; Drivers'!$D58*Model!W$51</f>
        <v>0</v>
      </c>
      <c r="X54" s="12">
        <f>-'Inputs &amp; Drivers'!$D58*Model!X$51</f>
        <v>0</v>
      </c>
      <c r="Y54" s="12">
        <f>-'Inputs &amp; Drivers'!$D58*Model!Y$51</f>
        <v>-307.8022433103917</v>
      </c>
      <c r="Z54" s="12">
        <f>-'Inputs &amp; Drivers'!$D58*Model!Z$51</f>
        <v>-616.63049409848463</v>
      </c>
      <c r="AA54" s="12">
        <f>-'Inputs &amp; Drivers'!$D58*Model!AA$51</f>
        <v>-926.48731738297329</v>
      </c>
      <c r="AB54" s="12">
        <f>-'Inputs &amp; Drivers'!$D58*Model!AB$51</f>
        <v>-1237.3752838825935</v>
      </c>
      <c r="AC54" s="12">
        <f>-'Inputs &amp; Drivers'!$D58*Model!AC$51</f>
        <v>-1549.2969700279973</v>
      </c>
      <c r="AD54" s="12">
        <f>-'Inputs &amp; Drivers'!$D58*Model!AD$51</f>
        <v>-1862.2549579736526</v>
      </c>
      <c r="AE54" s="12">
        <f>-'Inputs &amp; Drivers'!$D58*Model!AE$51</f>
        <v>-2176.2518356097657</v>
      </c>
      <c r="AF54" s="12">
        <f>-'Inputs &amp; Drivers'!$D58*Model!AF$51</f>
        <v>-2491.2901965742271</v>
      </c>
      <c r="AG54" s="12">
        <f>-'Inputs &amp; Drivers'!$D58*Model!AG$51</f>
        <v>-2809.7082248238703</v>
      </c>
      <c r="AH54" s="12">
        <f>-'Inputs &amp; Drivers'!$D58*Model!AH$51</f>
        <v>-3129.7027726510332</v>
      </c>
      <c r="AI54" s="12">
        <f>-'Inputs &amp; Drivers'!$D58*Model!AI$51</f>
        <v>-3137.5270295826604</v>
      </c>
      <c r="AJ54" s="12">
        <f>-'Inputs &amp; Drivers'!$D58*Model!AJ$51</f>
        <v>-3145.3708471566165</v>
      </c>
      <c r="AK54" s="12">
        <f>-'Inputs &amp; Drivers'!$D58*Model!AK$51</f>
        <v>-3153.2342742745086</v>
      </c>
      <c r="AL54" s="12">
        <f>-'Inputs &amp; Drivers'!$D58*Model!AL$51</f>
        <v>-3161.1173599601943</v>
      </c>
      <c r="AM54" s="12">
        <f>-'Inputs &amp; Drivers'!$D58*Model!AM$51</f>
        <v>-3169.0201533600948</v>
      </c>
      <c r="AN54" s="12">
        <f>-'Inputs &amp; Drivers'!$D58*Model!AN$51</f>
        <v>-3465.7556768110853</v>
      </c>
      <c r="AO54" s="12">
        <f>-'Inputs &amp; Drivers'!$D58*Model!AO$51</f>
        <v>-3474.4200660031129</v>
      </c>
      <c r="AP54" s="12">
        <f>-'Inputs &amp; Drivers'!$D58*Model!AP$51</f>
        <v>-3483.1061161681205</v>
      </c>
      <c r="AQ54" s="12">
        <f>-'Inputs &amp; Drivers'!$D58*Model!AQ$51</f>
        <v>-3491.8138814585409</v>
      </c>
      <c r="AR54" s="12">
        <f>-'Inputs &amp; Drivers'!$D58*Model!AR$51</f>
        <v>-3500.543416162187</v>
      </c>
      <c r="AS54" s="12">
        <f>-'Inputs &amp; Drivers'!$D58*Model!AS$51</f>
        <v>-3509.2947747025923</v>
      </c>
      <c r="AT54" s="12">
        <f>-'Inputs &amp; Drivers'!$D58*Model!AT$51</f>
        <v>-3518.0680116393492</v>
      </c>
      <c r="AU54" s="12">
        <f>-'Inputs &amp; Drivers'!$D58*Model!AU$51</f>
        <v>-3526.8631816684469</v>
      </c>
      <c r="AV54" s="12">
        <f>-'Inputs &amp; Drivers'!$D58*Model!AV$51</f>
        <v>-3535.6803396226182</v>
      </c>
      <c r="AW54" s="12">
        <f>-'Inputs &amp; Drivers'!$D58*Model!AW$51</f>
        <v>-3544.5195404716742</v>
      </c>
      <c r="AX54" s="12">
        <f>-'Inputs &amp; Drivers'!$D58*Model!AX$51</f>
        <v>-3553.3808393228533</v>
      </c>
      <c r="AY54" s="12">
        <f>-'Inputs &amp; Drivers'!$D58*Model!AY$51</f>
        <v>-3562.2642914211601</v>
      </c>
      <c r="AZ54" s="12">
        <f>-'Inputs &amp; Drivers'!$D58*Model!AZ$51</f>
        <v>-3571.169952149713</v>
      </c>
      <c r="BA54" s="12">
        <f>-'Inputs &amp; Drivers'!$D58*Model!BA$51</f>
        <v>-3580.0978770300871</v>
      </c>
      <c r="BB54" s="12">
        <f>-'Inputs &amp; Drivers'!$D58*Model!BB$51</f>
        <v>-3589.048121722662</v>
      </c>
      <c r="BC54" s="12">
        <f>-'Inputs &amp; Drivers'!$D58*Model!BC$51</f>
        <v>-3598.0207420269689</v>
      </c>
      <c r="BD54" s="12">
        <f>-'Inputs &amp; Drivers'!$D58*Model!BD$51</f>
        <v>-3607.0157938820357</v>
      </c>
      <c r="BE54" s="12">
        <f>-'Inputs &amp; Drivers'!$D58*Model!BE$51</f>
        <v>-3616.0333333667404</v>
      </c>
      <c r="BF54" s="12">
        <f>-'Inputs &amp; Drivers'!$D58*Model!BF$51</f>
        <v>-3625.0734167001569</v>
      </c>
      <c r="BG54" s="12">
        <f>-'Inputs &amp; Drivers'!$D58*Model!BG$51</f>
        <v>-3634.1361002419076</v>
      </c>
      <c r="BH54" s="12">
        <f>-'Inputs &amp; Drivers'!$D58*Model!BH$51</f>
        <v>-3643.2214404925116</v>
      </c>
      <c r="BI54" s="12">
        <f>-'Inputs &amp; Drivers'!$D58*Model!BI$51</f>
        <v>-3652.3294940937431</v>
      </c>
      <c r="BJ54" s="12">
        <f>-'Inputs &amp; Drivers'!$D58*Model!BJ$51</f>
        <v>-3661.4603178289772</v>
      </c>
      <c r="BK54" s="12">
        <f>-'Inputs &amp; Drivers'!$D58*Model!BK$51</f>
        <v>-3670.6139686235492</v>
      </c>
      <c r="BL54" s="12">
        <f>-'Inputs &amp; Drivers'!$D58*Model!BL$51</f>
        <v>-3679.7905035451081</v>
      </c>
      <c r="BM54" s="12">
        <f>-'Inputs &amp; Drivers'!$D58*Model!BM$51</f>
        <v>-3688.9899798039705</v>
      </c>
      <c r="BN54" s="12">
        <f>-'Inputs &amp; Drivers'!$D58*Model!BN$51</f>
        <v>-3698.2124547534804</v>
      </c>
      <c r="BO54" s="12">
        <f>-'Inputs &amp; Drivers'!$D58*Model!BO$51</f>
        <v>-3707.4579858903644</v>
      </c>
      <c r="BP54" s="12">
        <f>-'Inputs &amp; Drivers'!$D58*Model!BP$51</f>
        <v>-3716.7266308550898</v>
      </c>
      <c r="BQ54" s="12">
        <f>-'Inputs &amp; Drivers'!$D58*Model!BQ$51</f>
        <v>-3726.0184474322277</v>
      </c>
      <c r="BR54" s="12">
        <f>-'Inputs &amp; Drivers'!$D58*Model!BR$51</f>
        <v>-3735.3334935508083</v>
      </c>
      <c r="BS54" s="12">
        <f>-'Inputs &amp; Drivers'!$D58*Model!BS$51</f>
        <v>-3744.6718272846847</v>
      </c>
      <c r="BT54" s="12">
        <f>-'Inputs &amp; Drivers'!$D58*Model!BT$51</f>
        <v>-3754.0335068528962</v>
      </c>
      <c r="BU54" s="12">
        <f>-'Inputs &amp; Drivers'!$D58*Model!BU$51</f>
        <v>-3763.4185906200282</v>
      </c>
      <c r="BV54" s="12">
        <f>-'Inputs &amp; Drivers'!$D58*Model!BV$51</f>
        <v>-3772.8271370965781</v>
      </c>
      <c r="BW54" s="12">
        <f>-'Inputs &amp; Drivers'!$D58*Model!BW$51</f>
        <v>-3782.2592049393193</v>
      </c>
      <c r="BX54" s="12">
        <f>-'Inputs &amp; Drivers'!$D58*Model!BX$51</f>
        <v>-3791.7148529516671</v>
      </c>
      <c r="BY54" s="12">
        <f>-'Inputs &amp; Drivers'!$D58*Model!BY$51</f>
        <v>-3801.194140084046</v>
      </c>
      <c r="BZ54" s="12">
        <f>-'Inputs &amp; Drivers'!$D58*Model!BZ$51</f>
        <v>-3810.6971254342561</v>
      </c>
      <c r="CA54" s="12">
        <f>-'Inputs &amp; Drivers'!$D58*Model!CA$51</f>
        <v>-3820.2238682478414</v>
      </c>
      <c r="CB54" s="12">
        <f>-'Inputs &amp; Drivers'!$D58*Model!CB$51</f>
        <v>-3829.7744279184608</v>
      </c>
      <c r="CC54" s="12">
        <f>-'Inputs &amp; Drivers'!$D58*Model!CC$51</f>
        <v>-3839.3488639882567</v>
      </c>
      <c r="CD54" s="12">
        <f>-'Inputs &amp; Drivers'!$D58*Model!CD$51</f>
        <v>-3848.9472361482276</v>
      </c>
      <c r="CE54" s="12">
        <f>-'Inputs &amp; Drivers'!$D58*Model!CE$51</f>
        <v>-3858.5696042385975</v>
      </c>
      <c r="CF54" s="12">
        <f>-'Inputs &amp; Drivers'!$D58*Model!CF$51</f>
        <v>-3868.2160282491941</v>
      </c>
      <c r="CG54" s="12">
        <f>-'Inputs &amp; Drivers'!$D58*Model!CG$51</f>
        <v>-3877.8865683198169</v>
      </c>
      <c r="CH54" s="12">
        <f>-'Inputs &amp; Drivers'!$D58*Model!CH$51</f>
        <v>-3887.5812847406164</v>
      </c>
      <c r="CI54" s="12">
        <f>-'Inputs &amp; Drivers'!$D58*Model!CI$51</f>
        <v>-3897.3002379524673</v>
      </c>
      <c r="CJ54" s="12">
        <f>-'Inputs &amp; Drivers'!$D58*Model!CJ$51</f>
        <v>-3907.0434885473483</v>
      </c>
      <c r="CK54" s="12">
        <f>-'Inputs &amp; Drivers'!$D58*Model!CK$51</f>
        <v>-3916.8110972687164</v>
      </c>
      <c r="CL54" s="12">
        <f>-'Inputs &amp; Drivers'!$D58*Model!CL$51</f>
        <v>-3926.6031250118881</v>
      </c>
      <c r="CM54" s="12">
        <f>-'Inputs &amp; Drivers'!$D58*Model!CM$51</f>
        <v>-3936.4196328244179</v>
      </c>
      <c r="CN54" s="12">
        <f>-'Inputs &amp; Drivers'!$D58*Model!CN$51</f>
        <v>-3946.260681906479</v>
      </c>
      <c r="CO54" s="12">
        <f>-'Inputs &amp; Drivers'!$D58*Model!CO$51</f>
        <v>-3956.1263336112452</v>
      </c>
      <c r="CP54" s="12">
        <f>-'Inputs &amp; Drivers'!$D58*Model!CP$51</f>
        <v>-3966.0166494452733</v>
      </c>
      <c r="CQ54" s="12">
        <f>-'Inputs &amp; Drivers'!$D58*Model!CQ$51</f>
        <v>-3975.9316910688858</v>
      </c>
      <c r="CR54" s="12">
        <f>-'Inputs &amp; Drivers'!$D58*Model!CR$51</f>
        <v>-3985.8715202965573</v>
      </c>
      <c r="CS54" s="12">
        <f>-'Inputs &amp; Drivers'!$D58*Model!CS$51</f>
        <v>-3995.836199097299</v>
      </c>
      <c r="CT54" s="12">
        <f>-'Inputs &amp; Drivers'!$D58*Model!CT$51</f>
        <v>-4005.8257895950424</v>
      </c>
      <c r="CU54" s="12">
        <f>-'Inputs &amp; Drivers'!$D58*Model!CU$51</f>
        <v>-4015.8403540690297</v>
      </c>
      <c r="CV54" s="12">
        <f>-'Inputs &amp; Drivers'!$D58*Model!CV$51</f>
        <v>-4025.8799549542018</v>
      </c>
      <c r="CW54" s="12">
        <f>-'Inputs &amp; Drivers'!$D58*Model!CW$51</f>
        <v>-4035.9446548415872</v>
      </c>
      <c r="CX54" s="12">
        <f>-'Inputs &amp; Drivers'!$D58*Model!CX$51</f>
        <v>-4046.0345164786909</v>
      </c>
      <c r="CY54" s="12">
        <f>-'Inputs &amp; Drivers'!$D58*Model!CY$51</f>
        <v>-4056.1496027698877</v>
      </c>
      <c r="CZ54" s="12">
        <f>-'Inputs &amp; Drivers'!$D58*Model!CZ$51</f>
        <v>-4066.2899767768126</v>
      </c>
      <c r="DA54" s="12">
        <f>-'Inputs &amp; Drivers'!$D58*Model!DA$51</f>
        <v>-4076.4557017187535</v>
      </c>
      <c r="DB54" s="12">
        <f>-'Inputs &amp; Drivers'!$D58*Model!DB$51</f>
        <v>-4086.6468409730501</v>
      </c>
      <c r="DC54" s="12">
        <f>-'Inputs &amp; Drivers'!$D58*Model!DC$51</f>
        <v>-4096.8634580754824</v>
      </c>
      <c r="DD54" s="12">
        <f>-'Inputs &amp; Drivers'!$D58*Model!DD$51</f>
        <v>-4107.1056167206716</v>
      </c>
      <c r="DE54" s="12">
        <f>-'Inputs &amp; Drivers'!$D58*Model!DE$51</f>
        <v>-4117.3733807624722</v>
      </c>
      <c r="DF54" s="12">
        <f>-'Inputs &amp; Drivers'!$D58*Model!DF$51</f>
        <v>-4127.6668142143781</v>
      </c>
      <c r="DG54" s="12">
        <f>-'Inputs &amp; Drivers'!$D58*Model!DG$51</f>
        <v>-4137.9859812499135</v>
      </c>
      <c r="DH54" s="12">
        <f>-'Inputs &amp; Drivers'!$D58*Model!DH$51</f>
        <v>-4148.3309462030384</v>
      </c>
      <c r="DI54" s="12">
        <f>-'Inputs &amp; Drivers'!$D58*Model!DI$51</f>
        <v>-4158.7017735685458</v>
      </c>
      <c r="DJ54" s="12">
        <f>-'Inputs &amp; Drivers'!$D58*Model!DJ$51</f>
        <v>-4169.098528002467</v>
      </c>
      <c r="DK54" s="12">
        <f>-'Inputs &amp; Drivers'!$D58*Model!DK$51</f>
        <v>-4179.5212743224729</v>
      </c>
      <c r="DL54" s="12">
        <f>-'Inputs &amp; Drivers'!$D58*Model!DL$51</f>
        <v>-4189.9700775082792</v>
      </c>
      <c r="DM54" s="12">
        <f>-'Inputs &amp; Drivers'!$D58*Model!DM$51</f>
        <v>-4200.4450027020494</v>
      </c>
      <c r="DN54" s="12">
        <f>-'Inputs &amp; Drivers'!$D58*Model!DN$51</f>
        <v>-4210.9461152088043</v>
      </c>
      <c r="DO54" s="12">
        <f>-'Inputs &amp; Drivers'!$D58*Model!DO$51</f>
        <v>-4221.4734804968257</v>
      </c>
      <c r="DP54" s="12">
        <f>-'Inputs &amp; Drivers'!$D58*Model!DP$51</f>
        <v>-4232.027164198068</v>
      </c>
      <c r="DQ54" s="12">
        <f>-'Inputs &amp; Drivers'!$D58*Model!DQ$51</f>
        <v>-4242.607232108563</v>
      </c>
      <c r="DR54" s="12">
        <f>-'Inputs &amp; Drivers'!$D58*Model!DR$51</f>
        <v>-4253.2137501888337</v>
      </c>
      <c r="DS54" s="12">
        <f>-'Inputs &amp; Drivers'!$D58*Model!DS$51</f>
        <v>-4263.8467845643054</v>
      </c>
      <c r="DT54" s="12">
        <f>-'Inputs &amp; Drivers'!$D58*Model!DT$51</f>
        <v>-4274.5064015257167</v>
      </c>
      <c r="DU54" s="12">
        <f>-'Inputs &amp; Drivers'!$D58*Model!DU$51</f>
        <v>-4285.1926675295299</v>
      </c>
      <c r="DV54" s="12">
        <f>-'Inputs &amp; Drivers'!$D58*Model!DV$51</f>
        <v>-4295.9056491983538</v>
      </c>
      <c r="DW54" s="12">
        <f>-'Inputs &amp; Drivers'!$D58*Model!DW$51</f>
        <v>-4306.6454133213492</v>
      </c>
      <c r="DX54" s="12">
        <f>-'Inputs &amp; Drivers'!$D58*Model!DX$51</f>
        <v>-4317.4120268546521</v>
      </c>
      <c r="DY54" s="12">
        <f>-'Inputs &amp; Drivers'!$D58*Model!DY$51</f>
        <v>-4328.2055569217882</v>
      </c>
      <c r="DZ54" s="12">
        <f>-'Inputs &amp; Drivers'!$D58*Model!DZ$51</f>
        <v>-4339.0260708140922</v>
      </c>
      <c r="EA54" s="12">
        <f>-'Inputs &amp; Drivers'!$D58*Model!EA$51</f>
        <v>-4349.8736359911272</v>
      </c>
      <c r="EB54" s="12">
        <f>-'Inputs &amp; Drivers'!$D58*Model!EB$51</f>
        <v>-4360.7483200811048</v>
      </c>
      <c r="EC54" s="12">
        <f>-'Inputs &amp; Drivers'!$D58*Model!EC$51</f>
        <v>-4371.6501908813079</v>
      </c>
      <c r="ED54" s="12">
        <f>-'Inputs &amp; Drivers'!$D58*Model!ED$51</f>
        <v>-4382.5793163585104</v>
      </c>
      <c r="EE54" s="12">
        <f>-'Inputs &amp; Drivers'!$D58*Model!EE$51</f>
        <v>-4393.5357646494058</v>
      </c>
      <c r="EF54" s="12">
        <f>-'Inputs &amp; Drivers'!$D58*Model!EF$51</f>
        <v>-4404.5196040610299</v>
      </c>
      <c r="EG54" s="12">
        <f>-'Inputs &amp; Drivers'!$D58*Model!EG$51</f>
        <v>-4415.5309030711815</v>
      </c>
      <c r="EH54" s="12">
        <f>-'Inputs &amp; Drivers'!$D58*Model!EH$51</f>
        <v>-4426.5697303288598</v>
      </c>
      <c r="EI54" s="12">
        <f>-'Inputs &amp; Drivers'!$D58*Model!EI$51</f>
        <v>-4437.6361546546814</v>
      </c>
      <c r="EJ54" s="12">
        <f>-'Inputs &amp; Drivers'!$D58*Model!EJ$51</f>
        <v>-4448.7302450413181</v>
      </c>
      <c r="EK54" s="8"/>
      <c r="EL54" s="12">
        <f>SUMIF($H$4:$EJ$4,EL$5,$H54:$EJ54)</f>
        <v>0</v>
      </c>
      <c r="EM54" s="12">
        <f t="shared" si="163"/>
        <v>0</v>
      </c>
      <c r="EN54" s="12">
        <f t="shared" si="163"/>
        <v>-11167.389298860086</v>
      </c>
      <c r="EO54" s="12">
        <f t="shared" si="163"/>
        <v>-39121.319818412027</v>
      </c>
      <c r="EP54" s="12">
        <f t="shared" si="163"/>
        <v>-42695.423465660162</v>
      </c>
      <c r="EQ54" s="12">
        <f t="shared" si="163"/>
        <v>-43994.045626195606</v>
      </c>
      <c r="ER54" s="12">
        <f t="shared" si="163"/>
        <v>-45332.16662241282</v>
      </c>
      <c r="ES54" s="12">
        <f t="shared" si="163"/>
        <v>-46710.987849196026</v>
      </c>
      <c r="ET54" s="12">
        <f t="shared" si="163"/>
        <v>-48131.747243004509</v>
      </c>
      <c r="EU54" s="12">
        <f t="shared" si="163"/>
        <v>-49595.720393319534</v>
      </c>
      <c r="EV54" s="12">
        <f t="shared" si="163"/>
        <v>-51104.221687897058</v>
      </c>
      <c r="EW54" s="12">
        <f t="shared" si="163"/>
        <v>-52658.605492854411</v>
      </c>
    </row>
    <row r="55" spans="2:153" x14ac:dyDescent="0.4">
      <c r="B55" s="40" t="s">
        <v>20</v>
      </c>
      <c r="C55" s="41"/>
      <c r="D55" s="41"/>
      <c r="E55" s="58"/>
      <c r="F55" s="219">
        <f>SUM(F51:F54)</f>
        <v>6122205.7105493275</v>
      </c>
      <c r="G55" s="220"/>
      <c r="H55" s="220"/>
      <c r="I55" s="219">
        <f>SUM(I51:I54)</f>
        <v>0</v>
      </c>
      <c r="J55" s="219">
        <f t="shared" ref="J55:AF55" si="169">SUM(J51:J54)</f>
        <v>0</v>
      </c>
      <c r="K55" s="219">
        <f t="shared" si="169"/>
        <v>0</v>
      </c>
      <c r="L55" s="219">
        <f t="shared" si="169"/>
        <v>0</v>
      </c>
      <c r="M55" s="219">
        <f t="shared" si="169"/>
        <v>0</v>
      </c>
      <c r="N55" s="219">
        <f t="shared" si="169"/>
        <v>0</v>
      </c>
      <c r="O55" s="219">
        <f t="shared" si="169"/>
        <v>0</v>
      </c>
      <c r="P55" s="219">
        <f t="shared" si="169"/>
        <v>0</v>
      </c>
      <c r="Q55" s="219">
        <f t="shared" si="169"/>
        <v>0</v>
      </c>
      <c r="R55" s="219">
        <f t="shared" si="169"/>
        <v>0</v>
      </c>
      <c r="S55" s="219">
        <f t="shared" si="169"/>
        <v>0</v>
      </c>
      <c r="T55" s="219">
        <f t="shared" si="169"/>
        <v>0</v>
      </c>
      <c r="U55" s="219">
        <f t="shared" si="169"/>
        <v>0</v>
      </c>
      <c r="V55" s="219">
        <f t="shared" si="169"/>
        <v>0</v>
      </c>
      <c r="W55" s="219">
        <f t="shared" si="169"/>
        <v>0</v>
      </c>
      <c r="X55" s="219">
        <f t="shared" si="169"/>
        <v>0</v>
      </c>
      <c r="Y55" s="219">
        <f t="shared" si="169"/>
        <v>36833.668449476871</v>
      </c>
      <c r="Z55" s="219">
        <f t="shared" si="169"/>
        <v>73790.115793785328</v>
      </c>
      <c r="AA55" s="219">
        <f t="shared" si="169"/>
        <v>110869.64898016248</v>
      </c>
      <c r="AB55" s="219">
        <f t="shared" si="169"/>
        <v>148072.57563795033</v>
      </c>
      <c r="AC55" s="219">
        <f t="shared" si="169"/>
        <v>185399.20408001702</v>
      </c>
      <c r="AD55" s="219">
        <f t="shared" si="169"/>
        <v>222849.84330418045</v>
      </c>
      <c r="AE55" s="219">
        <f t="shared" si="169"/>
        <v>260424.80299463528</v>
      </c>
      <c r="AF55" s="219">
        <f t="shared" si="169"/>
        <v>298124.39352338255</v>
      </c>
      <c r="AG55" s="219">
        <f t="shared" ref="AG55:CR55" si="170">SUM(AG51:AG54)</f>
        <v>343720.97283678676</v>
      </c>
      <c r="AH55" s="219">
        <f t="shared" si="170"/>
        <v>382866.97252097639</v>
      </c>
      <c r="AI55" s="219">
        <f t="shared" si="170"/>
        <v>383824.13995227887</v>
      </c>
      <c r="AJ55" s="219">
        <f t="shared" si="170"/>
        <v>384783.70030215947</v>
      </c>
      <c r="AK55" s="219">
        <f t="shared" si="170"/>
        <v>385745.65955291491</v>
      </c>
      <c r="AL55" s="219">
        <f t="shared" si="170"/>
        <v>386710.02370179712</v>
      </c>
      <c r="AM55" s="219">
        <f t="shared" si="170"/>
        <v>387676.79876105161</v>
      </c>
      <c r="AN55" s="219">
        <f t="shared" si="170"/>
        <v>423977.44446322281</v>
      </c>
      <c r="AO55" s="219">
        <f t="shared" si="170"/>
        <v>425037.38807438087</v>
      </c>
      <c r="AP55" s="219">
        <f t="shared" si="170"/>
        <v>426099.98154456675</v>
      </c>
      <c r="AQ55" s="219">
        <f t="shared" si="170"/>
        <v>427165.23149842821</v>
      </c>
      <c r="AR55" s="219">
        <f t="shared" si="170"/>
        <v>428233.14457717421</v>
      </c>
      <c r="AS55" s="219">
        <f t="shared" si="170"/>
        <v>429303.72743861715</v>
      </c>
      <c r="AT55" s="219">
        <f t="shared" si="170"/>
        <v>430376.98675721372</v>
      </c>
      <c r="AU55" s="219">
        <f t="shared" si="170"/>
        <v>431452.92922410672</v>
      </c>
      <c r="AV55" s="219">
        <f t="shared" si="170"/>
        <v>432531.56154716696</v>
      </c>
      <c r="AW55" s="219">
        <f t="shared" si="170"/>
        <v>433612.89045103488</v>
      </c>
      <c r="AX55" s="219">
        <f t="shared" si="170"/>
        <v>434696.92267716239</v>
      </c>
      <c r="AY55" s="219">
        <f t="shared" si="170"/>
        <v>435783.66498385533</v>
      </c>
      <c r="AZ55" s="219">
        <f t="shared" si="170"/>
        <v>436873.12414631498</v>
      </c>
      <c r="BA55" s="219">
        <f t="shared" si="170"/>
        <v>437965.30695668067</v>
      </c>
      <c r="BB55" s="219">
        <f t="shared" si="170"/>
        <v>439060.2202240724</v>
      </c>
      <c r="BC55" s="219">
        <f t="shared" si="170"/>
        <v>440157.87077463255</v>
      </c>
      <c r="BD55" s="219">
        <f t="shared" si="170"/>
        <v>441258.26545156905</v>
      </c>
      <c r="BE55" s="219">
        <f t="shared" si="170"/>
        <v>442361.41111519799</v>
      </c>
      <c r="BF55" s="219">
        <f t="shared" si="170"/>
        <v>443467.31464298588</v>
      </c>
      <c r="BG55" s="219">
        <f t="shared" si="170"/>
        <v>444575.98292959336</v>
      </c>
      <c r="BH55" s="219">
        <f t="shared" si="170"/>
        <v>445687.42288691731</v>
      </c>
      <c r="BI55" s="219">
        <f t="shared" si="170"/>
        <v>446801.64144413464</v>
      </c>
      <c r="BJ55" s="219">
        <f t="shared" si="170"/>
        <v>447918.64554774488</v>
      </c>
      <c r="BK55" s="219">
        <f t="shared" si="170"/>
        <v>449038.44216161419</v>
      </c>
      <c r="BL55" s="219">
        <f t="shared" si="170"/>
        <v>450161.03826701827</v>
      </c>
      <c r="BM55" s="219">
        <f t="shared" si="170"/>
        <v>451286.44086268573</v>
      </c>
      <c r="BN55" s="219">
        <f t="shared" si="170"/>
        <v>452414.65696484246</v>
      </c>
      <c r="BO55" s="219">
        <f t="shared" si="170"/>
        <v>453545.69360725459</v>
      </c>
      <c r="BP55" s="219">
        <f t="shared" si="170"/>
        <v>454679.55784127268</v>
      </c>
      <c r="BQ55" s="219">
        <f t="shared" si="170"/>
        <v>455816.25673587585</v>
      </c>
      <c r="BR55" s="219">
        <f t="shared" si="170"/>
        <v>456955.79737771553</v>
      </c>
      <c r="BS55" s="219">
        <f t="shared" si="170"/>
        <v>458098.18687115982</v>
      </c>
      <c r="BT55" s="219">
        <f t="shared" si="170"/>
        <v>459243.43233833765</v>
      </c>
      <c r="BU55" s="219">
        <f t="shared" si="170"/>
        <v>460391.54091918352</v>
      </c>
      <c r="BV55" s="219">
        <f t="shared" si="170"/>
        <v>461542.51977148146</v>
      </c>
      <c r="BW55" s="219">
        <f t="shared" si="170"/>
        <v>462696.37607091008</v>
      </c>
      <c r="BX55" s="219">
        <f t="shared" si="170"/>
        <v>463853.11701108736</v>
      </c>
      <c r="BY55" s="219">
        <f t="shared" si="170"/>
        <v>465012.74980361504</v>
      </c>
      <c r="BZ55" s="219">
        <f t="shared" si="170"/>
        <v>466175.2816781241</v>
      </c>
      <c r="CA55" s="219">
        <f t="shared" si="170"/>
        <v>467340.71988231933</v>
      </c>
      <c r="CB55" s="219">
        <f t="shared" si="170"/>
        <v>468509.07168202504</v>
      </c>
      <c r="CC55" s="219">
        <f t="shared" si="170"/>
        <v>469680.34436123015</v>
      </c>
      <c r="CD55" s="219">
        <f t="shared" si="170"/>
        <v>470854.54522213322</v>
      </c>
      <c r="CE55" s="219">
        <f t="shared" si="170"/>
        <v>472031.68158518849</v>
      </c>
      <c r="CF55" s="219">
        <f t="shared" si="170"/>
        <v>473211.76078915148</v>
      </c>
      <c r="CG55" s="219">
        <f t="shared" si="170"/>
        <v>474394.79019112431</v>
      </c>
      <c r="CH55" s="219">
        <f t="shared" si="170"/>
        <v>475580.77716660214</v>
      </c>
      <c r="CI55" s="219">
        <f t="shared" si="170"/>
        <v>476769.72910951858</v>
      </c>
      <c r="CJ55" s="219">
        <f t="shared" si="170"/>
        <v>477961.65343229234</v>
      </c>
      <c r="CK55" s="219">
        <f t="shared" si="170"/>
        <v>479156.55756587302</v>
      </c>
      <c r="CL55" s="219">
        <f t="shared" si="170"/>
        <v>480354.44895978767</v>
      </c>
      <c r="CM55" s="219">
        <f t="shared" si="170"/>
        <v>481555.3350821872</v>
      </c>
      <c r="CN55" s="219">
        <f t="shared" si="170"/>
        <v>482759.22341989266</v>
      </c>
      <c r="CO55" s="219">
        <f t="shared" si="170"/>
        <v>483966.12147844239</v>
      </c>
      <c r="CP55" s="219">
        <f t="shared" si="170"/>
        <v>485176.0367821384</v>
      </c>
      <c r="CQ55" s="219">
        <f t="shared" si="170"/>
        <v>486388.97687409376</v>
      </c>
      <c r="CR55" s="219">
        <f t="shared" si="170"/>
        <v>487604.94931627891</v>
      </c>
      <c r="CS55" s="219">
        <f t="shared" ref="CS55:EW55" si="171">SUM(CS51:CS54)</f>
        <v>488823.96168956964</v>
      </c>
      <c r="CT55" s="219">
        <f t="shared" si="171"/>
        <v>490046.02159379359</v>
      </c>
      <c r="CU55" s="219">
        <f t="shared" si="171"/>
        <v>491271.13664777804</v>
      </c>
      <c r="CV55" s="219">
        <f t="shared" si="171"/>
        <v>492499.31448939739</v>
      </c>
      <c r="CW55" s="219">
        <f t="shared" si="171"/>
        <v>493730.56277562084</v>
      </c>
      <c r="CX55" s="219">
        <f t="shared" si="171"/>
        <v>494964.88918255991</v>
      </c>
      <c r="CY55" s="219">
        <f t="shared" si="171"/>
        <v>496202.30140551634</v>
      </c>
      <c r="CZ55" s="219">
        <f t="shared" si="171"/>
        <v>497442.80715903011</v>
      </c>
      <c r="DA55" s="219">
        <f t="shared" si="171"/>
        <v>498686.41417692753</v>
      </c>
      <c r="DB55" s="219">
        <f t="shared" si="171"/>
        <v>499933.13021236978</v>
      </c>
      <c r="DC55" s="219">
        <f t="shared" si="171"/>
        <v>501182.96303790068</v>
      </c>
      <c r="DD55" s="219">
        <f t="shared" si="171"/>
        <v>502435.92044549546</v>
      </c>
      <c r="DE55" s="219">
        <f t="shared" si="171"/>
        <v>503692.0102466091</v>
      </c>
      <c r="DF55" s="219">
        <f t="shared" si="171"/>
        <v>504951.24027222564</v>
      </c>
      <c r="DG55" s="219">
        <f t="shared" si="171"/>
        <v>506213.61837290617</v>
      </c>
      <c r="DH55" s="219">
        <f t="shared" si="171"/>
        <v>507479.15241883846</v>
      </c>
      <c r="DI55" s="219">
        <f t="shared" si="171"/>
        <v>508747.8502998855</v>
      </c>
      <c r="DJ55" s="219">
        <f t="shared" si="171"/>
        <v>510019.71992563515</v>
      </c>
      <c r="DK55" s="219">
        <f t="shared" si="171"/>
        <v>511294.76922544918</v>
      </c>
      <c r="DL55" s="219">
        <f t="shared" si="171"/>
        <v>512573.00614851282</v>
      </c>
      <c r="DM55" s="219">
        <f t="shared" si="171"/>
        <v>513854.43866388401</v>
      </c>
      <c r="DN55" s="219">
        <f t="shared" si="171"/>
        <v>515139.07476054376</v>
      </c>
      <c r="DO55" s="219">
        <f t="shared" si="171"/>
        <v>516426.92244744505</v>
      </c>
      <c r="DP55" s="219">
        <f t="shared" si="171"/>
        <v>517717.9897535636</v>
      </c>
      <c r="DQ55" s="219">
        <f t="shared" si="171"/>
        <v>519012.28472794767</v>
      </c>
      <c r="DR55" s="219">
        <f t="shared" si="171"/>
        <v>520309.81543976744</v>
      </c>
      <c r="DS55" s="219">
        <f t="shared" si="171"/>
        <v>521610.58997836674</v>
      </c>
      <c r="DT55" s="219">
        <f t="shared" si="171"/>
        <v>522914.61645331269</v>
      </c>
      <c r="DU55" s="219">
        <f t="shared" si="171"/>
        <v>524221.90299444593</v>
      </c>
      <c r="DV55" s="219">
        <f t="shared" si="171"/>
        <v>525532.45775193209</v>
      </c>
      <c r="DW55" s="219">
        <f t="shared" si="171"/>
        <v>526846.28889631189</v>
      </c>
      <c r="DX55" s="219">
        <f t="shared" si="171"/>
        <v>528163.40461855242</v>
      </c>
      <c r="DY55" s="219">
        <f t="shared" si="171"/>
        <v>529483.81313009886</v>
      </c>
      <c r="DZ55" s="219">
        <f t="shared" si="171"/>
        <v>530807.52266292402</v>
      </c>
      <c r="EA55" s="219">
        <f t="shared" si="171"/>
        <v>532134.54146958131</v>
      </c>
      <c r="EB55" s="219">
        <f t="shared" si="171"/>
        <v>533464.87782325526</v>
      </c>
      <c r="EC55" s="219">
        <f t="shared" si="171"/>
        <v>534798.54001781333</v>
      </c>
      <c r="ED55" s="219">
        <f t="shared" si="171"/>
        <v>536135.53636785783</v>
      </c>
      <c r="EE55" s="219">
        <f t="shared" si="171"/>
        <v>537475.87520877738</v>
      </c>
      <c r="EF55" s="219">
        <f t="shared" si="171"/>
        <v>538819.56489679927</v>
      </c>
      <c r="EG55" s="219">
        <f t="shared" si="171"/>
        <v>540166.61380904133</v>
      </c>
      <c r="EH55" s="219">
        <f t="shared" si="171"/>
        <v>541517.03034356399</v>
      </c>
      <c r="EI55" s="219">
        <f t="shared" si="171"/>
        <v>542870.82291942276</v>
      </c>
      <c r="EJ55" s="219">
        <f t="shared" si="171"/>
        <v>544227.99997672124</v>
      </c>
      <c r="EK55" s="118"/>
      <c r="EL55" s="219">
        <f t="shared" si="171"/>
        <v>0</v>
      </c>
      <c r="EM55" s="219">
        <f t="shared" si="171"/>
        <v>0</v>
      </c>
      <c r="EN55" s="219">
        <f t="shared" si="171"/>
        <v>1336364.2527635905</v>
      </c>
      <c r="EO55" s="219">
        <f t="shared" si="171"/>
        <v>4785841.4577857377</v>
      </c>
      <c r="EP55" s="219">
        <f t="shared" si="171"/>
        <v>5223073.4706324274</v>
      </c>
      <c r="EQ55" s="219">
        <f t="shared" si="171"/>
        <v>5381938.2482712641</v>
      </c>
      <c r="ER55" s="219">
        <f t="shared" si="171"/>
        <v>5545635.0501418347</v>
      </c>
      <c r="ES55" s="219">
        <f t="shared" si="171"/>
        <v>5714310.8468849799</v>
      </c>
      <c r="ET55" s="219">
        <f t="shared" si="171"/>
        <v>5888117.0793942185</v>
      </c>
      <c r="EU55" s="219">
        <f t="shared" si="171"/>
        <v>6067209.794782755</v>
      </c>
      <c r="EV55" s="219">
        <f t="shared" si="171"/>
        <v>6251749.7864860743</v>
      </c>
      <c r="EW55" s="219">
        <f t="shared" si="171"/>
        <v>6441902.738625857</v>
      </c>
    </row>
    <row r="56" spans="2:153" x14ac:dyDescent="0.4">
      <c r="B56" s="9" t="s">
        <v>17</v>
      </c>
      <c r="E56" s="59"/>
      <c r="F56" s="59"/>
      <c r="I56" s="59">
        <f t="shared" ref="I56:AN56" si="172">IFERROR(I51/I22,0)</f>
        <v>0</v>
      </c>
      <c r="J56" s="59">
        <f t="shared" si="172"/>
        <v>0</v>
      </c>
      <c r="K56" s="59">
        <f t="shared" si="172"/>
        <v>0</v>
      </c>
      <c r="L56" s="59">
        <f t="shared" si="172"/>
        <v>0</v>
      </c>
      <c r="M56" s="59">
        <f t="shared" si="172"/>
        <v>0</v>
      </c>
      <c r="N56" s="59">
        <f t="shared" si="172"/>
        <v>0</v>
      </c>
      <c r="O56" s="59">
        <f t="shared" si="172"/>
        <v>0</v>
      </c>
      <c r="P56" s="59">
        <f t="shared" si="172"/>
        <v>0</v>
      </c>
      <c r="Q56" s="59">
        <f t="shared" si="172"/>
        <v>0</v>
      </c>
      <c r="R56" s="59">
        <f t="shared" si="172"/>
        <v>0</v>
      </c>
      <c r="S56" s="59">
        <f t="shared" si="172"/>
        <v>0</v>
      </c>
      <c r="T56" s="59">
        <f t="shared" si="172"/>
        <v>0</v>
      </c>
      <c r="U56" s="59">
        <f t="shared" si="172"/>
        <v>0</v>
      </c>
      <c r="V56" s="59">
        <f t="shared" si="172"/>
        <v>0</v>
      </c>
      <c r="W56" s="59">
        <f t="shared" si="172"/>
        <v>0</v>
      </c>
      <c r="X56" s="59">
        <f t="shared" si="172"/>
        <v>0</v>
      </c>
      <c r="Y56" s="59">
        <f t="shared" si="172"/>
        <v>1368.0099702684076</v>
      </c>
      <c r="Z56" s="59">
        <f t="shared" si="172"/>
        <v>1370.2899868855213</v>
      </c>
      <c r="AA56" s="59">
        <f t="shared" si="172"/>
        <v>1372.5738035303309</v>
      </c>
      <c r="AB56" s="59">
        <f t="shared" si="172"/>
        <v>1374.861426536215</v>
      </c>
      <c r="AC56" s="59">
        <f t="shared" si="172"/>
        <v>1377.1528622471087</v>
      </c>
      <c r="AD56" s="59">
        <f t="shared" si="172"/>
        <v>1379.4481170175206</v>
      </c>
      <c r="AE56" s="59">
        <f t="shared" si="172"/>
        <v>1381.7471972125497</v>
      </c>
      <c r="AF56" s="59">
        <f t="shared" si="172"/>
        <v>1384.0501092079039</v>
      </c>
      <c r="AG56" s="59">
        <f t="shared" si="172"/>
        <v>1387.5102344809236</v>
      </c>
      <c r="AH56" s="59">
        <f t="shared" si="172"/>
        <v>1390.979010067126</v>
      </c>
      <c r="AI56" s="59">
        <f t="shared" si="172"/>
        <v>1394.4564575922936</v>
      </c>
      <c r="AJ56" s="59">
        <f t="shared" si="172"/>
        <v>1397.942598736274</v>
      </c>
      <c r="AK56" s="59">
        <f t="shared" si="172"/>
        <v>1401.4374552331149</v>
      </c>
      <c r="AL56" s="59">
        <f t="shared" si="172"/>
        <v>1404.9410488711974</v>
      </c>
      <c r="AM56" s="59">
        <f t="shared" si="172"/>
        <v>1408.4534014933754</v>
      </c>
      <c r="AN56" s="59">
        <f t="shared" si="172"/>
        <v>1540.3358563604825</v>
      </c>
      <c r="AO56" s="59">
        <f t="shared" ref="AO56:BT56" si="173">IFERROR(AO51/AO22,0)</f>
        <v>1544.1866960013836</v>
      </c>
      <c r="AP56" s="59">
        <f t="shared" si="173"/>
        <v>1548.047162741387</v>
      </c>
      <c r="AQ56" s="59">
        <f t="shared" si="173"/>
        <v>1551.9172806482404</v>
      </c>
      <c r="AR56" s="59">
        <f t="shared" si="173"/>
        <v>1555.7970738498609</v>
      </c>
      <c r="AS56" s="59">
        <f t="shared" si="173"/>
        <v>1559.6865665344856</v>
      </c>
      <c r="AT56" s="59">
        <f t="shared" si="173"/>
        <v>1563.5857829508218</v>
      </c>
      <c r="AU56" s="59">
        <f t="shared" si="173"/>
        <v>1567.4947474081987</v>
      </c>
      <c r="AV56" s="59">
        <f t="shared" si="173"/>
        <v>1571.4134842767191</v>
      </c>
      <c r="AW56" s="59">
        <f t="shared" si="173"/>
        <v>1575.3420179874108</v>
      </c>
      <c r="AX56" s="59">
        <f t="shared" si="173"/>
        <v>1579.2803730323792</v>
      </c>
      <c r="AY56" s="59">
        <f t="shared" si="173"/>
        <v>1583.2285739649601</v>
      </c>
      <c r="AZ56" s="59">
        <f t="shared" si="173"/>
        <v>1587.1866453998725</v>
      </c>
      <c r="BA56" s="59">
        <f t="shared" si="173"/>
        <v>1591.1546120133721</v>
      </c>
      <c r="BB56" s="59">
        <f t="shared" si="173"/>
        <v>1595.1324985434055</v>
      </c>
      <c r="BC56" s="59">
        <f t="shared" si="173"/>
        <v>1599.1203297897639</v>
      </c>
      <c r="BD56" s="59">
        <f t="shared" si="173"/>
        <v>1603.1181306142382</v>
      </c>
      <c r="BE56" s="59">
        <f t="shared" si="173"/>
        <v>1607.1259259407736</v>
      </c>
      <c r="BF56" s="59">
        <f t="shared" si="173"/>
        <v>1611.1437407556255</v>
      </c>
      <c r="BG56" s="59">
        <f t="shared" si="173"/>
        <v>1615.1716001075145</v>
      </c>
      <c r="BH56" s="59">
        <f t="shared" si="173"/>
        <v>1619.2095291077831</v>
      </c>
      <c r="BI56" s="59">
        <f t="shared" si="173"/>
        <v>1623.2575529305525</v>
      </c>
      <c r="BJ56" s="59">
        <f t="shared" si="173"/>
        <v>1627.3156968128787</v>
      </c>
      <c r="BK56" s="59">
        <f t="shared" si="173"/>
        <v>1631.3839860549108</v>
      </c>
      <c r="BL56" s="59">
        <f t="shared" si="173"/>
        <v>1635.462446020048</v>
      </c>
      <c r="BM56" s="59">
        <f t="shared" si="173"/>
        <v>1639.5511021350981</v>
      </c>
      <c r="BN56" s="59">
        <f t="shared" si="173"/>
        <v>1643.6499798904358</v>
      </c>
      <c r="BO56" s="59">
        <f t="shared" si="173"/>
        <v>1647.7591048401619</v>
      </c>
      <c r="BP56" s="59">
        <f t="shared" si="173"/>
        <v>1651.8785026022622</v>
      </c>
      <c r="BQ56" s="59">
        <f t="shared" si="173"/>
        <v>1656.0081988587679</v>
      </c>
      <c r="BR56" s="59">
        <f t="shared" si="173"/>
        <v>1660.1482193559148</v>
      </c>
      <c r="BS56" s="59">
        <f t="shared" si="173"/>
        <v>1664.2985899043044</v>
      </c>
      <c r="BT56" s="59">
        <f t="shared" si="173"/>
        <v>1668.459336379065</v>
      </c>
      <c r="BU56" s="59">
        <f t="shared" ref="BU56:CZ56" si="174">IFERROR(BU51/BU22,0)</f>
        <v>1672.6304847200126</v>
      </c>
      <c r="BV56" s="59">
        <f t="shared" si="174"/>
        <v>1676.8120609318125</v>
      </c>
      <c r="BW56" s="59">
        <f t="shared" si="174"/>
        <v>1681.0040910841419</v>
      </c>
      <c r="BX56" s="59">
        <f t="shared" si="174"/>
        <v>1685.2066013118522</v>
      </c>
      <c r="BY56" s="59">
        <f t="shared" si="174"/>
        <v>1689.4196178151317</v>
      </c>
      <c r="BZ56" s="59">
        <f t="shared" si="174"/>
        <v>1693.6431668596695</v>
      </c>
      <c r="CA56" s="59">
        <f t="shared" si="174"/>
        <v>1697.8772747768185</v>
      </c>
      <c r="CB56" s="59">
        <f t="shared" si="174"/>
        <v>1702.1219679637604</v>
      </c>
      <c r="CC56" s="59">
        <f t="shared" si="174"/>
        <v>1706.3772728836698</v>
      </c>
      <c r="CD56" s="59">
        <f t="shared" si="174"/>
        <v>1710.643216065879</v>
      </c>
      <c r="CE56" s="59">
        <f t="shared" si="174"/>
        <v>1714.9198241060435</v>
      </c>
      <c r="CF56" s="59">
        <f t="shared" si="174"/>
        <v>1719.2071236663085</v>
      </c>
      <c r="CG56" s="59">
        <f t="shared" si="174"/>
        <v>1723.5051414754741</v>
      </c>
      <c r="CH56" s="59">
        <f t="shared" si="174"/>
        <v>1727.8139043291628</v>
      </c>
      <c r="CI56" s="59">
        <f t="shared" si="174"/>
        <v>1732.1334390899856</v>
      </c>
      <c r="CJ56" s="59">
        <f t="shared" si="174"/>
        <v>1736.4637726877104</v>
      </c>
      <c r="CK56" s="59">
        <f t="shared" si="174"/>
        <v>1740.8049321194296</v>
      </c>
      <c r="CL56" s="59">
        <f t="shared" si="174"/>
        <v>1745.1569444497281</v>
      </c>
      <c r="CM56" s="59">
        <f t="shared" si="174"/>
        <v>1749.5198368108524</v>
      </c>
      <c r="CN56" s="59">
        <f t="shared" si="174"/>
        <v>1753.8936364028798</v>
      </c>
      <c r="CO56" s="59">
        <f t="shared" si="174"/>
        <v>1758.2783704938868</v>
      </c>
      <c r="CP56" s="59">
        <f t="shared" si="174"/>
        <v>1762.6740664201213</v>
      </c>
      <c r="CQ56" s="59">
        <f t="shared" si="174"/>
        <v>1767.0807515861716</v>
      </c>
      <c r="CR56" s="59">
        <f t="shared" si="174"/>
        <v>1771.4984534651367</v>
      </c>
      <c r="CS56" s="59">
        <f t="shared" si="174"/>
        <v>1775.9271995987995</v>
      </c>
      <c r="CT56" s="59">
        <f t="shared" si="174"/>
        <v>1780.3670175977968</v>
      </c>
      <c r="CU56" s="59">
        <f t="shared" si="174"/>
        <v>1784.8179351417909</v>
      </c>
      <c r="CV56" s="59">
        <f t="shared" si="174"/>
        <v>1789.2799799796453</v>
      </c>
      <c r="CW56" s="59">
        <f t="shared" si="174"/>
        <v>1793.7531799295944</v>
      </c>
      <c r="CX56" s="59">
        <f t="shared" si="174"/>
        <v>1798.2375628794182</v>
      </c>
      <c r="CY56" s="59">
        <f t="shared" si="174"/>
        <v>1802.733156786617</v>
      </c>
      <c r="CZ56" s="59">
        <f t="shared" si="174"/>
        <v>1807.2399896785835</v>
      </c>
      <c r="DA56" s="59">
        <f t="shared" ref="DA56:EJ56" si="175">IFERROR(DA51/DA22,0)</f>
        <v>1811.7580896527793</v>
      </c>
      <c r="DB56" s="59">
        <f t="shared" si="175"/>
        <v>1816.2874848769113</v>
      </c>
      <c r="DC56" s="59">
        <f t="shared" si="175"/>
        <v>1820.8282035891032</v>
      </c>
      <c r="DD56" s="59">
        <f t="shared" si="175"/>
        <v>1825.3802740980761</v>
      </c>
      <c r="DE56" s="59">
        <f t="shared" si="175"/>
        <v>1829.9437247833209</v>
      </c>
      <c r="DF56" s="59">
        <f t="shared" si="175"/>
        <v>1834.5185840952793</v>
      </c>
      <c r="DG56" s="59">
        <f t="shared" si="175"/>
        <v>1839.1048805555174</v>
      </c>
      <c r="DH56" s="59">
        <f t="shared" si="175"/>
        <v>1843.7026427569062</v>
      </c>
      <c r="DI56" s="59">
        <f t="shared" si="175"/>
        <v>1848.3118993637981</v>
      </c>
      <c r="DJ56" s="59">
        <f t="shared" si="175"/>
        <v>1852.9326791122076</v>
      </c>
      <c r="DK56" s="59">
        <f t="shared" si="175"/>
        <v>1857.5650108099881</v>
      </c>
      <c r="DL56" s="59">
        <f t="shared" si="175"/>
        <v>1862.2089233370129</v>
      </c>
      <c r="DM56" s="59">
        <f t="shared" si="175"/>
        <v>1866.8644456453551</v>
      </c>
      <c r="DN56" s="59">
        <f t="shared" si="175"/>
        <v>1871.5316067594686</v>
      </c>
      <c r="DO56" s="59">
        <f t="shared" si="175"/>
        <v>1876.2104357763671</v>
      </c>
      <c r="DP56" s="59">
        <f t="shared" si="175"/>
        <v>1880.9009618658079</v>
      </c>
      <c r="DQ56" s="59">
        <f t="shared" si="175"/>
        <v>1885.6032142704726</v>
      </c>
      <c r="DR56" s="59">
        <f t="shared" si="175"/>
        <v>1890.3172223061483</v>
      </c>
      <c r="DS56" s="59">
        <f t="shared" si="175"/>
        <v>1895.0430153619136</v>
      </c>
      <c r="DT56" s="59">
        <f t="shared" si="175"/>
        <v>1899.7806229003186</v>
      </c>
      <c r="DU56" s="59">
        <f t="shared" si="175"/>
        <v>1904.5300744575688</v>
      </c>
      <c r="DV56" s="59">
        <f t="shared" si="175"/>
        <v>1909.291399643713</v>
      </c>
      <c r="DW56" s="59">
        <f t="shared" si="175"/>
        <v>1914.0646281428219</v>
      </c>
      <c r="DX56" s="59">
        <f t="shared" si="175"/>
        <v>1918.8497897131788</v>
      </c>
      <c r="DY56" s="59">
        <f t="shared" si="175"/>
        <v>1923.6469141874613</v>
      </c>
      <c r="DZ56" s="59">
        <f t="shared" si="175"/>
        <v>1928.4560314729301</v>
      </c>
      <c r="EA56" s="59">
        <f t="shared" si="175"/>
        <v>1933.2771715516124</v>
      </c>
      <c r="EB56" s="59">
        <f t="shared" si="175"/>
        <v>1938.1103644804912</v>
      </c>
      <c r="EC56" s="59">
        <f t="shared" si="175"/>
        <v>1942.9556403916922</v>
      </c>
      <c r="ED56" s="59">
        <f t="shared" si="175"/>
        <v>1947.8130294926714</v>
      </c>
      <c r="EE56" s="59">
        <f t="shared" si="175"/>
        <v>1952.6825620664029</v>
      </c>
      <c r="EF56" s="59">
        <f t="shared" si="175"/>
        <v>1957.5642684715688</v>
      </c>
      <c r="EG56" s="59">
        <f t="shared" si="175"/>
        <v>1962.4581791427474</v>
      </c>
      <c r="EH56" s="59">
        <f t="shared" si="175"/>
        <v>1967.3643245906046</v>
      </c>
      <c r="EI56" s="59">
        <f t="shared" si="175"/>
        <v>1972.2827354020808</v>
      </c>
      <c r="EJ56" s="59">
        <f t="shared" si="175"/>
        <v>1977.2134422405859</v>
      </c>
      <c r="EK56" s="59"/>
      <c r="EL56" s="59"/>
      <c r="EM56" s="59">
        <f>EM46</f>
        <v>1356.6666666666667</v>
      </c>
      <c r="EN56" s="59">
        <f t="shared" ref="EN56:EW56" si="176">EN46</f>
        <v>1384.0501092079039</v>
      </c>
      <c r="EO56" s="59">
        <f t="shared" si="176"/>
        <v>1555.7970738498609</v>
      </c>
      <c r="EP56" s="59">
        <f t="shared" si="176"/>
        <v>1603.1181306142382</v>
      </c>
      <c r="EQ56" s="59">
        <f t="shared" si="176"/>
        <v>1651.8785026022622</v>
      </c>
      <c r="ER56" s="59">
        <f t="shared" si="176"/>
        <v>1702.1219679637604</v>
      </c>
      <c r="ES56" s="59">
        <f t="shared" si="176"/>
        <v>1753.8936364028796</v>
      </c>
      <c r="ET56" s="59">
        <f t="shared" si="176"/>
        <v>1807.2399896785832</v>
      </c>
      <c r="EU56" s="59">
        <f t="shared" si="176"/>
        <v>1862.2089233370129</v>
      </c>
      <c r="EV56" s="59">
        <f t="shared" si="176"/>
        <v>1918.8497897131788</v>
      </c>
      <c r="EW56" s="59">
        <f t="shared" si="176"/>
        <v>1977.2134422405859</v>
      </c>
    </row>
    <row r="57" spans="2:153" x14ac:dyDescent="0.4">
      <c r="B57" s="9" t="s">
        <v>132</v>
      </c>
      <c r="E57" s="106"/>
      <c r="F57" s="106"/>
      <c r="I57" s="106">
        <f>I56/'Inputs &amp; Drivers'!$F$34</f>
        <v>0</v>
      </c>
      <c r="J57" s="106">
        <f>J56/'Inputs &amp; Drivers'!$F$34</f>
        <v>0</v>
      </c>
      <c r="K57" s="106">
        <f>K56/'Inputs &amp; Drivers'!$F$34</f>
        <v>0</v>
      </c>
      <c r="L57" s="106">
        <f>L56/'Inputs &amp; Drivers'!$F$34</f>
        <v>0</v>
      </c>
      <c r="M57" s="106">
        <f>M56/'Inputs &amp; Drivers'!$F$34</f>
        <v>0</v>
      </c>
      <c r="N57" s="106">
        <f>N56/'Inputs &amp; Drivers'!$F$34</f>
        <v>0</v>
      </c>
      <c r="O57" s="106">
        <f>O56/'Inputs &amp; Drivers'!$F$34</f>
        <v>0</v>
      </c>
      <c r="P57" s="106">
        <f>P56/'Inputs &amp; Drivers'!$F$34</f>
        <v>0</v>
      </c>
      <c r="Q57" s="106">
        <f>Q56/'Inputs &amp; Drivers'!$F$34</f>
        <v>0</v>
      </c>
      <c r="R57" s="106">
        <f>R56/'Inputs &amp; Drivers'!$F$34</f>
        <v>0</v>
      </c>
      <c r="S57" s="106">
        <f>S56/'Inputs &amp; Drivers'!$F$34</f>
        <v>0</v>
      </c>
      <c r="T57" s="106">
        <f>T56/'Inputs &amp; Drivers'!$F$34</f>
        <v>0</v>
      </c>
      <c r="U57" s="106">
        <f>U56/'Inputs &amp; Drivers'!$F$34</f>
        <v>0</v>
      </c>
      <c r="V57" s="106">
        <f>V56/'Inputs &amp; Drivers'!$F$34</f>
        <v>0</v>
      </c>
      <c r="W57" s="106">
        <f>W56/'Inputs &amp; Drivers'!$F$34</f>
        <v>0</v>
      </c>
      <c r="X57" s="106">
        <f>X56/'Inputs &amp; Drivers'!$F$34</f>
        <v>0</v>
      </c>
      <c r="Y57" s="106">
        <f>Y56/'Inputs &amp; Drivers'!$F$34</f>
        <v>1.4200795539118418</v>
      </c>
      <c r="Z57" s="106">
        <f>Z56/'Inputs &amp; Drivers'!$F$34</f>
        <v>1.4224463531683611</v>
      </c>
      <c r="AA57" s="106">
        <f>AA56/'Inputs &amp; Drivers'!$F$34</f>
        <v>1.4248170970903089</v>
      </c>
      <c r="AB57" s="106">
        <f>AB56/'Inputs &amp; Drivers'!$F$34</f>
        <v>1.4271917922521262</v>
      </c>
      <c r="AC57" s="106">
        <f>AC56/'Inputs &amp; Drivers'!$F$34</f>
        <v>1.4295704452392131</v>
      </c>
      <c r="AD57" s="106">
        <f>AD56/'Inputs &amp; Drivers'!$F$34</f>
        <v>1.4319530626479453</v>
      </c>
      <c r="AE57" s="106">
        <f>AE56/'Inputs &amp; Drivers'!$F$34</f>
        <v>1.4343396510856916</v>
      </c>
      <c r="AF57" s="106">
        <f>AF56/'Inputs &amp; Drivers'!$F$34</f>
        <v>1.4367302171708345</v>
      </c>
      <c r="AG57" s="106">
        <f>AG56/'Inputs &amp; Drivers'!$F$34</f>
        <v>1.4403220427137615</v>
      </c>
      <c r="AH57" s="106">
        <f>AH56/'Inputs &amp; Drivers'!$F$34</f>
        <v>1.4439228478205459</v>
      </c>
      <c r="AI57" s="106">
        <f>AI56/'Inputs &amp; Drivers'!$F$34</f>
        <v>1.4475326549400971</v>
      </c>
      <c r="AJ57" s="106">
        <f>AJ56/'Inputs &amp; Drivers'!$F$34</f>
        <v>1.4511514865774471</v>
      </c>
      <c r="AK57" s="106">
        <f>AK56/'Inputs &amp; Drivers'!$F$34</f>
        <v>1.4547793652938907</v>
      </c>
      <c r="AL57" s="106">
        <f>AL56/'Inputs &amp; Drivers'!$F$34</f>
        <v>1.4584163137071253</v>
      </c>
      <c r="AM57" s="106">
        <f>AM56/'Inputs &amp; Drivers'!$F$34</f>
        <v>1.4620623544913931</v>
      </c>
      <c r="AN57" s="106">
        <f>AN56/'Inputs &amp; Drivers'!$F$34</f>
        <v>1.5989645567755872</v>
      </c>
      <c r="AO57" s="106">
        <f>AO56/'Inputs &amp; Drivers'!$F$34</f>
        <v>1.602961968167526</v>
      </c>
      <c r="AP57" s="106">
        <f>AP56/'Inputs &amp; Drivers'!$F$34</f>
        <v>1.6069693730879449</v>
      </c>
      <c r="AQ57" s="106">
        <f>AQ56/'Inputs &amp; Drivers'!$F$34</f>
        <v>1.6109867965206648</v>
      </c>
      <c r="AR57" s="106">
        <f>AR56/'Inputs &amp; Drivers'!$F$34</f>
        <v>1.6150142635119662</v>
      </c>
      <c r="AS57" s="106">
        <f>AS56/'Inputs &amp; Drivers'!$F$34</f>
        <v>1.6190517991707463</v>
      </c>
      <c r="AT57" s="106">
        <f>AT56/'Inputs &amp; Drivers'!$F$34</f>
        <v>1.6230994286686731</v>
      </c>
      <c r="AU57" s="106">
        <f>AU56/'Inputs &amp; Drivers'!$F$34</f>
        <v>1.6271571772403446</v>
      </c>
      <c r="AV57" s="106">
        <f>AV56/'Inputs &amp; Drivers'!$F$34</f>
        <v>1.6312250701834454</v>
      </c>
      <c r="AW57" s="106">
        <f>AW56/'Inputs &amp; Drivers'!$F$34</f>
        <v>1.6353031328589038</v>
      </c>
      <c r="AX57" s="106">
        <f>AX56/'Inputs &amp; Drivers'!$F$34</f>
        <v>1.6393913906910511</v>
      </c>
      <c r="AY57" s="106">
        <f>AY56/'Inputs &amp; Drivers'!$F$34</f>
        <v>1.6434898691677786</v>
      </c>
      <c r="AZ57" s="106">
        <f>AZ56/'Inputs &amp; Drivers'!$F$34</f>
        <v>1.6475985938406981</v>
      </c>
      <c r="BA57" s="106">
        <f>BA56/'Inputs &amp; Drivers'!$F$34</f>
        <v>1.6517175903252996</v>
      </c>
      <c r="BB57" s="106">
        <f>BB56/'Inputs &amp; Drivers'!$F$34</f>
        <v>1.6558468843011129</v>
      </c>
      <c r="BC57" s="106">
        <f>BC56/'Inputs &amp; Drivers'!$F$34</f>
        <v>1.6599865015118656</v>
      </c>
      <c r="BD57" s="106">
        <f>BD56/'Inputs &amp; Drivers'!$F$34</f>
        <v>1.6641364677656452</v>
      </c>
      <c r="BE57" s="106">
        <f>BE56/'Inputs &amp; Drivers'!$F$34</f>
        <v>1.6682968089350592</v>
      </c>
      <c r="BF57" s="106">
        <f>BF56/'Inputs &amp; Drivers'!$F$34</f>
        <v>1.6724675509573965</v>
      </c>
      <c r="BG57" s="106">
        <f>BG56/'Inputs &amp; Drivers'!$F$34</f>
        <v>1.6766487198347899</v>
      </c>
      <c r="BH57" s="106">
        <f>BH56/'Inputs &amp; Drivers'!$F$34</f>
        <v>1.6808403416343769</v>
      </c>
      <c r="BI57" s="106">
        <f>BI56/'Inputs &amp; Drivers'!$F$34</f>
        <v>1.6850424424884627</v>
      </c>
      <c r="BJ57" s="106">
        <f>BJ56/'Inputs &amp; Drivers'!$F$34</f>
        <v>1.6892550485946838</v>
      </c>
      <c r="BK57" s="106">
        <f>BK56/'Inputs &amp; Drivers'!$F$34</f>
        <v>1.6934781862161703</v>
      </c>
      <c r="BL57" s="106">
        <f>BL56/'Inputs &amp; Drivers'!$F$34</f>
        <v>1.6977118816817107</v>
      </c>
      <c r="BM57" s="106">
        <f>BM56/'Inputs &amp; Drivers'!$F$34</f>
        <v>1.7019561613859149</v>
      </c>
      <c r="BN57" s="106">
        <f>BN56/'Inputs &amp; Drivers'!$F$34</f>
        <v>1.7062110517893796</v>
      </c>
      <c r="BO57" s="106">
        <f>BO56/'Inputs &amp; Drivers'!$F$34</f>
        <v>1.710476579418853</v>
      </c>
      <c r="BP57" s="106">
        <f>BP56/'Inputs &amp; Drivers'!$F$34</f>
        <v>1.7147527708674002</v>
      </c>
      <c r="BQ57" s="106">
        <f>BQ56/'Inputs &amp; Drivers'!$F$34</f>
        <v>1.7190396527945686</v>
      </c>
      <c r="BR57" s="106">
        <f>BR56/'Inputs &amp; Drivers'!$F$34</f>
        <v>1.7233372519265551</v>
      </c>
      <c r="BS57" s="106">
        <f>BS56/'Inputs &amp; Drivers'!$F$34</f>
        <v>1.7276455950563714</v>
      </c>
      <c r="BT57" s="106">
        <f>BT56/'Inputs &amp; Drivers'!$F$34</f>
        <v>1.731964709044012</v>
      </c>
      <c r="BU57" s="106">
        <f>BU56/'Inputs &amp; Drivers'!$F$34</f>
        <v>1.7362946208166221</v>
      </c>
      <c r="BV57" s="106">
        <f>BV56/'Inputs &amp; Drivers'!$F$34</f>
        <v>1.7406353573686635</v>
      </c>
      <c r="BW57" s="106">
        <f>BW56/'Inputs &amp; Drivers'!$F$34</f>
        <v>1.744986945762085</v>
      </c>
      <c r="BX57" s="106">
        <f>BX56/'Inputs &amp; Drivers'!$F$34</f>
        <v>1.7493494131264902</v>
      </c>
      <c r="BY57" s="106">
        <f>BY56/'Inputs &amp; Drivers'!$F$34</f>
        <v>1.7537227866593061</v>
      </c>
      <c r="BZ57" s="106">
        <f>BZ56/'Inputs &amp; Drivers'!$F$34</f>
        <v>1.7581070936259544</v>
      </c>
      <c r="CA57" s="106">
        <f>CA56/'Inputs &amp; Drivers'!$F$34</f>
        <v>1.762502361360019</v>
      </c>
      <c r="CB57" s="106">
        <f>CB56/'Inputs &amp; Drivers'!$F$34</f>
        <v>1.766908617263419</v>
      </c>
      <c r="CC57" s="106">
        <f>CC56/'Inputs &amp; Drivers'!$F$34</f>
        <v>1.7713258888065775</v>
      </c>
      <c r="CD57" s="106">
        <f>CD56/'Inputs &amp; Drivers'!$F$34</f>
        <v>1.775754203528594</v>
      </c>
      <c r="CE57" s="106">
        <f>CE56/'Inputs &amp; Drivers'!$F$34</f>
        <v>1.7801935890374154</v>
      </c>
      <c r="CF57" s="106">
        <f>CF56/'Inputs &amp; Drivers'!$F$34</f>
        <v>1.7846440730100088</v>
      </c>
      <c r="CG57" s="106">
        <f>CG56/'Inputs &amp; Drivers'!$F$34</f>
        <v>1.7891056831925336</v>
      </c>
      <c r="CH57" s="106">
        <f>CH56/'Inputs &amp; Drivers'!$F$34</f>
        <v>1.793578447400515</v>
      </c>
      <c r="CI57" s="106">
        <f>CI56/'Inputs &amp; Drivers'!$F$34</f>
        <v>1.7980623935190161</v>
      </c>
      <c r="CJ57" s="106">
        <f>CJ56/'Inputs &amp; Drivers'!$F$34</f>
        <v>1.8025575495028134</v>
      </c>
      <c r="CK57" s="106">
        <f>CK56/'Inputs &amp; Drivers'!$F$34</f>
        <v>1.8070639433765705</v>
      </c>
      <c r="CL57" s="106">
        <f>CL56/'Inputs &amp; Drivers'!$F$34</f>
        <v>1.8115816032350118</v>
      </c>
      <c r="CM57" s="106">
        <f>CM56/'Inputs &amp; Drivers'!$F$34</f>
        <v>1.8161105572430993</v>
      </c>
      <c r="CN57" s="106">
        <f>CN56/'Inputs &amp; Drivers'!$F$34</f>
        <v>1.8206508336362073</v>
      </c>
      <c r="CO57" s="106">
        <f>CO56/'Inputs &amp; Drivers'!$F$34</f>
        <v>1.8252024607202977</v>
      </c>
      <c r="CP57" s="106">
        <f>CP56/'Inputs &amp; Drivers'!$F$34</f>
        <v>1.8297654668720982</v>
      </c>
      <c r="CQ57" s="106">
        <f>CQ56/'Inputs &amp; Drivers'!$F$34</f>
        <v>1.8343398805392783</v>
      </c>
      <c r="CR57" s="106">
        <f>CR56/'Inputs &amp; Drivers'!$F$34</f>
        <v>1.8389257302406261</v>
      </c>
      <c r="CS57" s="106">
        <f>CS56/'Inputs &amp; Drivers'!$F$34</f>
        <v>1.8435230445662278</v>
      </c>
      <c r="CT57" s="106">
        <f>CT56/'Inputs &amp; Drivers'!$F$34</f>
        <v>1.8481318521776438</v>
      </c>
      <c r="CU57" s="106">
        <f>CU56/'Inputs &amp; Drivers'!$F$34</f>
        <v>1.8527521818080874</v>
      </c>
      <c r="CV57" s="106">
        <f>CV56/'Inputs &amp; Drivers'!$F$34</f>
        <v>1.8573840622626074</v>
      </c>
      <c r="CW57" s="106">
        <f>CW56/'Inputs &amp; Drivers'!$F$34</f>
        <v>1.8620275224182639</v>
      </c>
      <c r="CX57" s="106">
        <f>CX56/'Inputs &amp; Drivers'!$F$34</f>
        <v>1.8666825912243095</v>
      </c>
      <c r="CY57" s="106">
        <f>CY56/'Inputs &amp; Drivers'!$F$34</f>
        <v>1.8713492977023705</v>
      </c>
      <c r="CZ57" s="106">
        <f>CZ56/'Inputs &amp; Drivers'!$F$34</f>
        <v>1.8760276709466264</v>
      </c>
      <c r="DA57" s="106">
        <f>DA56/'Inputs &amp; Drivers'!$F$34</f>
        <v>1.8807177401239923</v>
      </c>
      <c r="DB57" s="106">
        <f>DB56/'Inputs &amp; Drivers'!$F$34</f>
        <v>1.8854195344743023</v>
      </c>
      <c r="DC57" s="106">
        <f>DC56/'Inputs &amp; Drivers'!$F$34</f>
        <v>1.8901330833104877</v>
      </c>
      <c r="DD57" s="106">
        <f>DD56/'Inputs &amp; Drivers'!$F$34</f>
        <v>1.894858416018764</v>
      </c>
      <c r="DE57" s="106">
        <f>DE56/'Inputs &amp; Drivers'!$F$34</f>
        <v>1.8995955620588105</v>
      </c>
      <c r="DF57" s="106">
        <f>DF56/'Inputs &amp; Drivers'!$F$34</f>
        <v>1.9043445509639576</v>
      </c>
      <c r="DG57" s="106">
        <f>DG56/'Inputs &amp; Drivers'!$F$34</f>
        <v>1.9091054123413675</v>
      </c>
      <c r="DH57" s="106">
        <f>DH56/'Inputs &amp; Drivers'!$F$34</f>
        <v>1.913878175872221</v>
      </c>
      <c r="DI57" s="106">
        <f>DI56/'Inputs &amp; Drivers'!$F$34</f>
        <v>1.9186628713119012</v>
      </c>
      <c r="DJ57" s="106">
        <f>DJ56/'Inputs &amp; Drivers'!$F$34</f>
        <v>1.9234595284901808</v>
      </c>
      <c r="DK57" s="106">
        <f>DK56/'Inputs &amp; Drivers'!$F$34</f>
        <v>1.9282681773114063</v>
      </c>
      <c r="DL57" s="106">
        <f>DL56/'Inputs &amp; Drivers'!$F$34</f>
        <v>1.9330888477546846</v>
      </c>
      <c r="DM57" s="106">
        <f>DM56/'Inputs &amp; Drivers'!$F$34</f>
        <v>1.937921569874071</v>
      </c>
      <c r="DN57" s="106">
        <f>DN56/'Inputs &amp; Drivers'!$F$34</f>
        <v>1.9427663737987562</v>
      </c>
      <c r="DO57" s="106">
        <f>DO56/'Inputs &amp; Drivers'!$F$34</f>
        <v>1.947623289733253</v>
      </c>
      <c r="DP57" s="106">
        <f>DP56/'Inputs &amp; Drivers'!$F$34</f>
        <v>1.952492347957586</v>
      </c>
      <c r="DQ57" s="106">
        <f>DQ56/'Inputs &amp; Drivers'!$F$34</f>
        <v>1.9573735788274802</v>
      </c>
      <c r="DR57" s="106">
        <f>DR56/'Inputs &amp; Drivers'!$F$34</f>
        <v>1.9622670127745483</v>
      </c>
      <c r="DS57" s="106">
        <f>DS56/'Inputs &amp; Drivers'!$F$34</f>
        <v>1.9671726803064846</v>
      </c>
      <c r="DT57" s="106">
        <f>DT56/'Inputs &amp; Drivers'!$F$34</f>
        <v>1.972090612007251</v>
      </c>
      <c r="DU57" s="106">
        <f>DU56/'Inputs &amp; Drivers'!$F$34</f>
        <v>1.9770208385372685</v>
      </c>
      <c r="DV57" s="106">
        <f>DV56/'Inputs &amp; Drivers'!$F$34</f>
        <v>1.981963390633612</v>
      </c>
      <c r="DW57" s="106">
        <f>DW56/'Inputs &amp; Drivers'!$F$34</f>
        <v>1.9869182991101957</v>
      </c>
      <c r="DX57" s="106">
        <f>DX56/'Inputs &amp; Drivers'!$F$34</f>
        <v>1.991885594857971</v>
      </c>
      <c r="DY57" s="106">
        <f>DY56/'Inputs &amp; Drivers'!$F$34</f>
        <v>1.9968653088451156</v>
      </c>
      <c r="DZ57" s="106">
        <f>DZ56/'Inputs &amp; Drivers'!$F$34</f>
        <v>2.0018574721172286</v>
      </c>
      <c r="EA57" s="106">
        <f>EA56/'Inputs &amp; Drivers'!$F$34</f>
        <v>2.0068621157975213</v>
      </c>
      <c r="EB57" s="106">
        <f>EB56/'Inputs &amp; Drivers'!$F$34</f>
        <v>2.011879271087015</v>
      </c>
      <c r="EC57" s="106">
        <f>EC56/'Inputs &amp; Drivers'!$F$34</f>
        <v>2.0169089692647324</v>
      </c>
      <c r="ED57" s="106">
        <f>ED56/'Inputs &amp; Drivers'!$F$34</f>
        <v>2.0219512416878942</v>
      </c>
      <c r="EE57" s="106">
        <f>EE56/'Inputs &amp; Drivers'!$F$34</f>
        <v>2.0270061197921136</v>
      </c>
      <c r="EF57" s="106">
        <f>EF56/'Inputs &amp; Drivers'!$F$34</f>
        <v>2.032073635091594</v>
      </c>
      <c r="EG57" s="106">
        <f>EG56/'Inputs &amp; Drivers'!$F$34</f>
        <v>2.0371538191793226</v>
      </c>
      <c r="EH57" s="106">
        <f>EH56/'Inputs &amp; Drivers'!$F$34</f>
        <v>2.0422467037272711</v>
      </c>
      <c r="EI57" s="106">
        <f>EI56/'Inputs &amp; Drivers'!$F$34</f>
        <v>2.0473523204865889</v>
      </c>
      <c r="EJ57" s="106">
        <f>EJ56/'Inputs &amp; Drivers'!$F$34</f>
        <v>2.0524707012878052</v>
      </c>
      <c r="EK57" s="59"/>
      <c r="EL57" s="106"/>
      <c r="EM57" s="106">
        <f>EM56/'Inputs &amp; Drivers'!$F$34</f>
        <v>1.4083044982698962</v>
      </c>
      <c r="EN57" s="106">
        <f>EN56/'Inputs &amp; Drivers'!$F$34</f>
        <v>1.4367302171708345</v>
      </c>
      <c r="EO57" s="106">
        <f>EO56/'Inputs &amp; Drivers'!$F$34</f>
        <v>1.6150142635119662</v>
      </c>
      <c r="EP57" s="106">
        <f>EP56/'Inputs &amp; Drivers'!$F$34</f>
        <v>1.6641364677656452</v>
      </c>
      <c r="EQ57" s="106">
        <f>EQ56/'Inputs &amp; Drivers'!$F$34</f>
        <v>1.7147527708674002</v>
      </c>
      <c r="ER57" s="106">
        <f>ER56/'Inputs &amp; Drivers'!$F$34</f>
        <v>1.766908617263419</v>
      </c>
      <c r="ES57" s="106">
        <f>ES56/'Inputs &amp; Drivers'!$F$34</f>
        <v>1.8206508336362071</v>
      </c>
      <c r="ET57" s="106">
        <f>ET56/'Inputs &amp; Drivers'!$F$34</f>
        <v>1.8760276709466261</v>
      </c>
      <c r="EU57" s="106">
        <f>EU56/'Inputs &amp; Drivers'!$F$34</f>
        <v>1.9330888477546846</v>
      </c>
      <c r="EV57" s="106">
        <f>EV56/'Inputs &amp; Drivers'!$F$34</f>
        <v>1.991885594857971</v>
      </c>
      <c r="EW57" s="106">
        <f>EW56/'Inputs &amp; Drivers'!$F$34</f>
        <v>2.0524707012878052</v>
      </c>
    </row>
    <row r="58" spans="2:153" x14ac:dyDescent="0.4">
      <c r="B58" s="9" t="s">
        <v>29</v>
      </c>
      <c r="E58" s="20"/>
      <c r="F58" s="20"/>
      <c r="I58" s="20">
        <f t="shared" ref="I58:AN58" si="177">IF(I22&lt;$C$6,I22/$C$6,I52/I51+1)</f>
        <v>0</v>
      </c>
      <c r="J58" s="20">
        <f t="shared" si="177"/>
        <v>0</v>
      </c>
      <c r="K58" s="20">
        <f t="shared" si="177"/>
        <v>0</v>
      </c>
      <c r="L58" s="20">
        <f t="shared" si="177"/>
        <v>0</v>
      </c>
      <c r="M58" s="20">
        <f t="shared" si="177"/>
        <v>0</v>
      </c>
      <c r="N58" s="20">
        <f t="shared" si="177"/>
        <v>0</v>
      </c>
      <c r="O58" s="20">
        <f t="shared" si="177"/>
        <v>0</v>
      </c>
      <c r="P58" s="20">
        <f t="shared" si="177"/>
        <v>0</v>
      </c>
      <c r="Q58" s="20">
        <f t="shared" si="177"/>
        <v>0</v>
      </c>
      <c r="R58" s="20">
        <f t="shared" si="177"/>
        <v>0</v>
      </c>
      <c r="S58" s="20">
        <f t="shared" si="177"/>
        <v>0</v>
      </c>
      <c r="T58" s="20">
        <f t="shared" si="177"/>
        <v>0</v>
      </c>
      <c r="U58" s="20">
        <f t="shared" si="177"/>
        <v>0</v>
      </c>
      <c r="V58" s="20">
        <f t="shared" si="177"/>
        <v>0</v>
      </c>
      <c r="W58" s="20">
        <f t="shared" si="177"/>
        <v>0</v>
      </c>
      <c r="X58" s="20">
        <f t="shared" si="177"/>
        <v>0</v>
      </c>
      <c r="Y58" s="20">
        <f t="shared" si="177"/>
        <v>0.1</v>
      </c>
      <c r="Z58" s="20">
        <f t="shared" si="177"/>
        <v>0.2</v>
      </c>
      <c r="AA58" s="20">
        <f t="shared" si="177"/>
        <v>0.3</v>
      </c>
      <c r="AB58" s="20">
        <f t="shared" si="177"/>
        <v>0.4</v>
      </c>
      <c r="AC58" s="20">
        <f t="shared" si="177"/>
        <v>0.5</v>
      </c>
      <c r="AD58" s="20">
        <f t="shared" si="177"/>
        <v>0.6</v>
      </c>
      <c r="AE58" s="20">
        <f t="shared" si="177"/>
        <v>0.7</v>
      </c>
      <c r="AF58" s="20">
        <f t="shared" si="177"/>
        <v>0.8</v>
      </c>
      <c r="AG58" s="20">
        <f t="shared" si="177"/>
        <v>0.9</v>
      </c>
      <c r="AH58" s="20">
        <f t="shared" si="177"/>
        <v>0.93</v>
      </c>
      <c r="AI58" s="20">
        <f t="shared" si="177"/>
        <v>0.93</v>
      </c>
      <c r="AJ58" s="20">
        <f t="shared" si="177"/>
        <v>0.93</v>
      </c>
      <c r="AK58" s="20">
        <f t="shared" si="177"/>
        <v>0.93</v>
      </c>
      <c r="AL58" s="20">
        <f t="shared" si="177"/>
        <v>0.93</v>
      </c>
      <c r="AM58" s="20">
        <f t="shared" si="177"/>
        <v>0.93</v>
      </c>
      <c r="AN58" s="20">
        <f t="shared" si="177"/>
        <v>0.93</v>
      </c>
      <c r="AO58" s="20">
        <f t="shared" ref="AO58:BT58" si="178">IF(AO22&lt;$C$6,AO22/$C$6,AO52/AO51+1)</f>
        <v>0.93</v>
      </c>
      <c r="AP58" s="20">
        <f t="shared" si="178"/>
        <v>0.93</v>
      </c>
      <c r="AQ58" s="20">
        <f t="shared" si="178"/>
        <v>0.93</v>
      </c>
      <c r="AR58" s="20">
        <f t="shared" si="178"/>
        <v>0.93</v>
      </c>
      <c r="AS58" s="20">
        <f t="shared" si="178"/>
        <v>0.93</v>
      </c>
      <c r="AT58" s="20">
        <f t="shared" si="178"/>
        <v>0.93</v>
      </c>
      <c r="AU58" s="20">
        <f t="shared" si="178"/>
        <v>0.93</v>
      </c>
      <c r="AV58" s="20">
        <f t="shared" si="178"/>
        <v>0.93</v>
      </c>
      <c r="AW58" s="20">
        <f t="shared" si="178"/>
        <v>0.93</v>
      </c>
      <c r="AX58" s="20">
        <f t="shared" si="178"/>
        <v>0.93</v>
      </c>
      <c r="AY58" s="20">
        <f t="shared" si="178"/>
        <v>0.93</v>
      </c>
      <c r="AZ58" s="20">
        <f t="shared" si="178"/>
        <v>0.93</v>
      </c>
      <c r="BA58" s="20">
        <f t="shared" si="178"/>
        <v>0.93</v>
      </c>
      <c r="BB58" s="20">
        <f t="shared" si="178"/>
        <v>0.93</v>
      </c>
      <c r="BC58" s="20">
        <f t="shared" si="178"/>
        <v>0.93</v>
      </c>
      <c r="BD58" s="20">
        <f t="shared" si="178"/>
        <v>0.93</v>
      </c>
      <c r="BE58" s="20">
        <f t="shared" si="178"/>
        <v>0.93</v>
      </c>
      <c r="BF58" s="20">
        <f t="shared" si="178"/>
        <v>0.93</v>
      </c>
      <c r="BG58" s="20">
        <f t="shared" si="178"/>
        <v>0.93</v>
      </c>
      <c r="BH58" s="20">
        <f t="shared" si="178"/>
        <v>0.93</v>
      </c>
      <c r="BI58" s="20">
        <f t="shared" si="178"/>
        <v>0.93</v>
      </c>
      <c r="BJ58" s="20">
        <f t="shared" si="178"/>
        <v>0.93</v>
      </c>
      <c r="BK58" s="20">
        <f t="shared" si="178"/>
        <v>0.93</v>
      </c>
      <c r="BL58" s="20">
        <f t="shared" si="178"/>
        <v>0.93</v>
      </c>
      <c r="BM58" s="20">
        <f t="shared" si="178"/>
        <v>0.93</v>
      </c>
      <c r="BN58" s="20">
        <f t="shared" si="178"/>
        <v>0.93</v>
      </c>
      <c r="BO58" s="20">
        <f t="shared" si="178"/>
        <v>0.93</v>
      </c>
      <c r="BP58" s="20">
        <f t="shared" si="178"/>
        <v>0.93</v>
      </c>
      <c r="BQ58" s="20">
        <f t="shared" si="178"/>
        <v>0.93</v>
      </c>
      <c r="BR58" s="20">
        <f t="shared" si="178"/>
        <v>0.93</v>
      </c>
      <c r="BS58" s="20">
        <f t="shared" si="178"/>
        <v>0.93</v>
      </c>
      <c r="BT58" s="20">
        <f t="shared" si="178"/>
        <v>0.93</v>
      </c>
      <c r="BU58" s="20">
        <f t="shared" ref="BU58:CZ58" si="179">IF(BU22&lt;$C$6,BU22/$C$6,BU52/BU51+1)</f>
        <v>0.93</v>
      </c>
      <c r="BV58" s="20">
        <f t="shared" si="179"/>
        <v>0.93</v>
      </c>
      <c r="BW58" s="20">
        <f t="shared" si="179"/>
        <v>0.93</v>
      </c>
      <c r="BX58" s="20">
        <f t="shared" si="179"/>
        <v>0.93</v>
      </c>
      <c r="BY58" s="20">
        <f t="shared" si="179"/>
        <v>0.93</v>
      </c>
      <c r="BZ58" s="20">
        <f t="shared" si="179"/>
        <v>0.93</v>
      </c>
      <c r="CA58" s="20">
        <f t="shared" si="179"/>
        <v>0.93</v>
      </c>
      <c r="CB58" s="20">
        <f t="shared" si="179"/>
        <v>0.93</v>
      </c>
      <c r="CC58" s="20">
        <f t="shared" si="179"/>
        <v>0.93</v>
      </c>
      <c r="CD58" s="20">
        <f t="shared" si="179"/>
        <v>0.93</v>
      </c>
      <c r="CE58" s="20">
        <f t="shared" si="179"/>
        <v>0.93</v>
      </c>
      <c r="CF58" s="20">
        <f t="shared" si="179"/>
        <v>0.93</v>
      </c>
      <c r="CG58" s="20">
        <f t="shared" si="179"/>
        <v>0.93</v>
      </c>
      <c r="CH58" s="20">
        <f t="shared" si="179"/>
        <v>0.93</v>
      </c>
      <c r="CI58" s="20">
        <f t="shared" si="179"/>
        <v>0.93</v>
      </c>
      <c r="CJ58" s="20">
        <f t="shared" si="179"/>
        <v>0.93</v>
      </c>
      <c r="CK58" s="20">
        <f t="shared" si="179"/>
        <v>0.93</v>
      </c>
      <c r="CL58" s="20">
        <f t="shared" si="179"/>
        <v>0.93</v>
      </c>
      <c r="CM58" s="20">
        <f t="shared" si="179"/>
        <v>0.93</v>
      </c>
      <c r="CN58" s="20">
        <f t="shared" si="179"/>
        <v>0.93</v>
      </c>
      <c r="CO58" s="20">
        <f t="shared" si="179"/>
        <v>0.93</v>
      </c>
      <c r="CP58" s="20">
        <f t="shared" si="179"/>
        <v>0.93</v>
      </c>
      <c r="CQ58" s="20">
        <f t="shared" si="179"/>
        <v>0.93</v>
      </c>
      <c r="CR58" s="20">
        <f t="shared" si="179"/>
        <v>0.93</v>
      </c>
      <c r="CS58" s="20">
        <f t="shared" si="179"/>
        <v>0.93</v>
      </c>
      <c r="CT58" s="20">
        <f t="shared" si="179"/>
        <v>0.93</v>
      </c>
      <c r="CU58" s="20">
        <f t="shared" si="179"/>
        <v>0.93</v>
      </c>
      <c r="CV58" s="20">
        <f t="shared" si="179"/>
        <v>0.93</v>
      </c>
      <c r="CW58" s="20">
        <f t="shared" si="179"/>
        <v>0.93</v>
      </c>
      <c r="CX58" s="20">
        <f t="shared" si="179"/>
        <v>0.93</v>
      </c>
      <c r="CY58" s="20">
        <f t="shared" si="179"/>
        <v>0.93</v>
      </c>
      <c r="CZ58" s="20">
        <f t="shared" si="179"/>
        <v>0.93</v>
      </c>
      <c r="DA58" s="20">
        <f t="shared" ref="DA58:EJ58" si="180">IF(DA22&lt;$C$6,DA22/$C$6,DA52/DA51+1)</f>
        <v>0.93</v>
      </c>
      <c r="DB58" s="20">
        <f t="shared" si="180"/>
        <v>0.93</v>
      </c>
      <c r="DC58" s="20">
        <f t="shared" si="180"/>
        <v>0.93</v>
      </c>
      <c r="DD58" s="20">
        <f t="shared" si="180"/>
        <v>0.93</v>
      </c>
      <c r="DE58" s="20">
        <f t="shared" si="180"/>
        <v>0.93</v>
      </c>
      <c r="DF58" s="20">
        <f t="shared" si="180"/>
        <v>0.93</v>
      </c>
      <c r="DG58" s="20">
        <f t="shared" si="180"/>
        <v>0.93</v>
      </c>
      <c r="DH58" s="20">
        <f t="shared" si="180"/>
        <v>0.93</v>
      </c>
      <c r="DI58" s="20">
        <f t="shared" si="180"/>
        <v>0.93</v>
      </c>
      <c r="DJ58" s="20">
        <f t="shared" si="180"/>
        <v>0.93</v>
      </c>
      <c r="DK58" s="20">
        <f t="shared" si="180"/>
        <v>0.93</v>
      </c>
      <c r="DL58" s="20">
        <f t="shared" si="180"/>
        <v>0.93</v>
      </c>
      <c r="DM58" s="20">
        <f t="shared" si="180"/>
        <v>0.93</v>
      </c>
      <c r="DN58" s="20">
        <f t="shared" si="180"/>
        <v>0.93</v>
      </c>
      <c r="DO58" s="20">
        <f t="shared" si="180"/>
        <v>0.93</v>
      </c>
      <c r="DP58" s="20">
        <f t="shared" si="180"/>
        <v>0.93</v>
      </c>
      <c r="DQ58" s="20">
        <f t="shared" si="180"/>
        <v>0.93</v>
      </c>
      <c r="DR58" s="20">
        <f t="shared" si="180"/>
        <v>0.93</v>
      </c>
      <c r="DS58" s="20">
        <f t="shared" si="180"/>
        <v>0.93</v>
      </c>
      <c r="DT58" s="20">
        <f t="shared" si="180"/>
        <v>0.93</v>
      </c>
      <c r="DU58" s="20">
        <f t="shared" si="180"/>
        <v>0.93</v>
      </c>
      <c r="DV58" s="20">
        <f t="shared" si="180"/>
        <v>0.93</v>
      </c>
      <c r="DW58" s="20">
        <f t="shared" si="180"/>
        <v>0.93</v>
      </c>
      <c r="DX58" s="20">
        <f t="shared" si="180"/>
        <v>0.93</v>
      </c>
      <c r="DY58" s="20">
        <f t="shared" si="180"/>
        <v>0.93</v>
      </c>
      <c r="DZ58" s="20">
        <f t="shared" si="180"/>
        <v>0.93</v>
      </c>
      <c r="EA58" s="20">
        <f t="shared" si="180"/>
        <v>0.93</v>
      </c>
      <c r="EB58" s="20">
        <f t="shared" si="180"/>
        <v>0.93</v>
      </c>
      <c r="EC58" s="20">
        <f t="shared" si="180"/>
        <v>0.93</v>
      </c>
      <c r="ED58" s="20">
        <f t="shared" si="180"/>
        <v>0.93</v>
      </c>
      <c r="EE58" s="20">
        <f t="shared" si="180"/>
        <v>0.93</v>
      </c>
      <c r="EF58" s="20">
        <f t="shared" si="180"/>
        <v>0.93</v>
      </c>
      <c r="EG58" s="20">
        <f t="shared" si="180"/>
        <v>0.93</v>
      </c>
      <c r="EH58" s="20">
        <f t="shared" si="180"/>
        <v>0.93</v>
      </c>
      <c r="EI58" s="20">
        <f t="shared" si="180"/>
        <v>0.93</v>
      </c>
      <c r="EJ58" s="20">
        <f t="shared" si="180"/>
        <v>0.93</v>
      </c>
      <c r="EK58" s="20"/>
      <c r="EL58" s="20"/>
      <c r="EM58" s="20">
        <f>IFERROR(EM52/EM51+1,0)</f>
        <v>0</v>
      </c>
      <c r="EN58" s="20">
        <f t="shared" ref="EN58:EW58" si="181">IFERROR(EN52/EN51+1,0)</f>
        <v>0.91</v>
      </c>
      <c r="EO58" s="20">
        <f t="shared" si="181"/>
        <v>0.93</v>
      </c>
      <c r="EP58" s="20">
        <f t="shared" si="181"/>
        <v>0.93</v>
      </c>
      <c r="EQ58" s="20">
        <f t="shared" si="181"/>
        <v>0.93</v>
      </c>
      <c r="ER58" s="20">
        <f t="shared" si="181"/>
        <v>0.93</v>
      </c>
      <c r="ES58" s="20">
        <f t="shared" si="181"/>
        <v>0.93</v>
      </c>
      <c r="ET58" s="20">
        <f t="shared" si="181"/>
        <v>0.93</v>
      </c>
      <c r="EU58" s="20">
        <f t="shared" si="181"/>
        <v>0.93</v>
      </c>
      <c r="EV58" s="20">
        <f t="shared" si="181"/>
        <v>0.93</v>
      </c>
      <c r="EW58" s="20">
        <f t="shared" si="181"/>
        <v>0.93</v>
      </c>
    </row>
    <row r="59" spans="2:153" x14ac:dyDescent="0.4">
      <c r="B59" s="9" t="s">
        <v>133</v>
      </c>
      <c r="E59" s="20"/>
      <c r="F59" s="20"/>
      <c r="I59" s="20">
        <f t="shared" ref="I59:AN59" si="182">IF(I22&lt;$C$6,I22/$C$6,I55/I51)</f>
        <v>0</v>
      </c>
      <c r="J59" s="20">
        <f t="shared" si="182"/>
        <v>0</v>
      </c>
      <c r="K59" s="20">
        <f t="shared" si="182"/>
        <v>0</v>
      </c>
      <c r="L59" s="20">
        <f t="shared" si="182"/>
        <v>0</v>
      </c>
      <c r="M59" s="20">
        <f t="shared" si="182"/>
        <v>0</v>
      </c>
      <c r="N59" s="20">
        <f t="shared" si="182"/>
        <v>0</v>
      </c>
      <c r="O59" s="20">
        <f t="shared" si="182"/>
        <v>0</v>
      </c>
      <c r="P59" s="20">
        <f t="shared" si="182"/>
        <v>0</v>
      </c>
      <c r="Q59" s="20">
        <f t="shared" si="182"/>
        <v>0</v>
      </c>
      <c r="R59" s="20">
        <f t="shared" si="182"/>
        <v>0</v>
      </c>
      <c r="S59" s="20">
        <f t="shared" si="182"/>
        <v>0</v>
      </c>
      <c r="T59" s="20">
        <f t="shared" si="182"/>
        <v>0</v>
      </c>
      <c r="U59" s="20">
        <f t="shared" si="182"/>
        <v>0</v>
      </c>
      <c r="V59" s="20">
        <f t="shared" si="182"/>
        <v>0</v>
      </c>
      <c r="W59" s="20">
        <f t="shared" si="182"/>
        <v>0</v>
      </c>
      <c r="X59" s="20">
        <f t="shared" si="182"/>
        <v>0</v>
      </c>
      <c r="Y59" s="20">
        <f t="shared" si="182"/>
        <v>0.1</v>
      </c>
      <c r="Z59" s="20">
        <f t="shared" si="182"/>
        <v>0.2</v>
      </c>
      <c r="AA59" s="20">
        <f t="shared" si="182"/>
        <v>0.3</v>
      </c>
      <c r="AB59" s="20">
        <f t="shared" si="182"/>
        <v>0.4</v>
      </c>
      <c r="AC59" s="20">
        <f t="shared" si="182"/>
        <v>0.5</v>
      </c>
      <c r="AD59" s="20">
        <f t="shared" si="182"/>
        <v>0.6</v>
      </c>
      <c r="AE59" s="20">
        <f t="shared" si="182"/>
        <v>0.7</v>
      </c>
      <c r="AF59" s="20">
        <f t="shared" si="182"/>
        <v>0.8</v>
      </c>
      <c r="AG59" s="20">
        <f t="shared" si="182"/>
        <v>0.9</v>
      </c>
      <c r="AH59" s="20">
        <f t="shared" si="182"/>
        <v>0.91749999999999987</v>
      </c>
      <c r="AI59" s="20">
        <f t="shared" si="182"/>
        <v>0.9175000000000002</v>
      </c>
      <c r="AJ59" s="20">
        <f t="shared" si="182"/>
        <v>0.91750000000000009</v>
      </c>
      <c r="AK59" s="20">
        <f t="shared" si="182"/>
        <v>0.91750000000000009</v>
      </c>
      <c r="AL59" s="20">
        <f t="shared" si="182"/>
        <v>0.91750000000000009</v>
      </c>
      <c r="AM59" s="20">
        <f t="shared" si="182"/>
        <v>0.91750000000000009</v>
      </c>
      <c r="AN59" s="20">
        <f t="shared" si="182"/>
        <v>0.91749999999999998</v>
      </c>
      <c r="AO59" s="20">
        <f t="shared" ref="AO59:BT59" si="183">IF(AO22&lt;$C$6,AO22/$C$6,AO55/AO51)</f>
        <v>0.91750000000000009</v>
      </c>
      <c r="AP59" s="20">
        <f t="shared" si="183"/>
        <v>0.91749999999999998</v>
      </c>
      <c r="AQ59" s="20">
        <f t="shared" si="183"/>
        <v>0.91749999999999998</v>
      </c>
      <c r="AR59" s="20">
        <f t="shared" si="183"/>
        <v>0.91749999999999998</v>
      </c>
      <c r="AS59" s="20">
        <f t="shared" si="183"/>
        <v>0.91749999999999998</v>
      </c>
      <c r="AT59" s="20">
        <f t="shared" si="183"/>
        <v>0.91749999999999998</v>
      </c>
      <c r="AU59" s="20">
        <f t="shared" si="183"/>
        <v>0.91750000000000009</v>
      </c>
      <c r="AV59" s="20">
        <f t="shared" si="183"/>
        <v>0.91749999999999998</v>
      </c>
      <c r="AW59" s="20">
        <f t="shared" si="183"/>
        <v>0.91750000000000009</v>
      </c>
      <c r="AX59" s="20">
        <f t="shared" si="183"/>
        <v>0.91749999999999998</v>
      </c>
      <c r="AY59" s="20">
        <f t="shared" si="183"/>
        <v>0.91750000000000009</v>
      </c>
      <c r="AZ59" s="20">
        <f t="shared" si="183"/>
        <v>0.91750000000000009</v>
      </c>
      <c r="BA59" s="20">
        <f t="shared" si="183"/>
        <v>0.91749999999999998</v>
      </c>
      <c r="BB59" s="20">
        <f t="shared" si="183"/>
        <v>0.91750000000000009</v>
      </c>
      <c r="BC59" s="20">
        <f t="shared" si="183"/>
        <v>0.91750000000000009</v>
      </c>
      <c r="BD59" s="20">
        <f t="shared" si="183"/>
        <v>0.91749999999999998</v>
      </c>
      <c r="BE59" s="20">
        <f t="shared" si="183"/>
        <v>0.91750000000000009</v>
      </c>
      <c r="BF59" s="20">
        <f t="shared" si="183"/>
        <v>0.91749999999999998</v>
      </c>
      <c r="BG59" s="20">
        <f t="shared" si="183"/>
        <v>0.91749999999999998</v>
      </c>
      <c r="BH59" s="20">
        <f t="shared" si="183"/>
        <v>0.91750000000000009</v>
      </c>
      <c r="BI59" s="20">
        <f t="shared" si="183"/>
        <v>0.9175000000000002</v>
      </c>
      <c r="BJ59" s="20">
        <f t="shared" si="183"/>
        <v>0.91749999999999998</v>
      </c>
      <c r="BK59" s="20">
        <f t="shared" si="183"/>
        <v>0.91749999999999998</v>
      </c>
      <c r="BL59" s="20">
        <f t="shared" si="183"/>
        <v>0.91750000000000009</v>
      </c>
      <c r="BM59" s="20">
        <f t="shared" si="183"/>
        <v>0.91749999999999998</v>
      </c>
      <c r="BN59" s="20">
        <f t="shared" si="183"/>
        <v>0.91750000000000009</v>
      </c>
      <c r="BO59" s="20">
        <f t="shared" si="183"/>
        <v>0.91750000000000009</v>
      </c>
      <c r="BP59" s="20">
        <f t="shared" si="183"/>
        <v>0.91750000000000009</v>
      </c>
      <c r="BQ59" s="20">
        <f t="shared" si="183"/>
        <v>0.91749999999999998</v>
      </c>
      <c r="BR59" s="20">
        <f t="shared" si="183"/>
        <v>0.91749999999999998</v>
      </c>
      <c r="BS59" s="20">
        <f t="shared" si="183"/>
        <v>0.91750000000000009</v>
      </c>
      <c r="BT59" s="20">
        <f t="shared" si="183"/>
        <v>0.91749999999999998</v>
      </c>
      <c r="BU59" s="20">
        <f t="shared" ref="BU59:CZ59" si="184">IF(BU22&lt;$C$6,BU22/$C$6,BU55/BU51)</f>
        <v>0.91750000000000009</v>
      </c>
      <c r="BV59" s="20">
        <f t="shared" si="184"/>
        <v>0.91750000000000009</v>
      </c>
      <c r="BW59" s="20">
        <f t="shared" si="184"/>
        <v>0.91749999999999998</v>
      </c>
      <c r="BX59" s="20">
        <f t="shared" si="184"/>
        <v>0.91750000000000009</v>
      </c>
      <c r="BY59" s="20">
        <f t="shared" si="184"/>
        <v>0.91750000000000009</v>
      </c>
      <c r="BZ59" s="20">
        <f t="shared" si="184"/>
        <v>0.91750000000000009</v>
      </c>
      <c r="CA59" s="20">
        <f t="shared" si="184"/>
        <v>0.91750000000000009</v>
      </c>
      <c r="CB59" s="20">
        <f t="shared" si="184"/>
        <v>0.91749999999999998</v>
      </c>
      <c r="CC59" s="20">
        <f t="shared" si="184"/>
        <v>0.91750000000000009</v>
      </c>
      <c r="CD59" s="20">
        <f t="shared" si="184"/>
        <v>0.91750000000000009</v>
      </c>
      <c r="CE59" s="20">
        <f t="shared" si="184"/>
        <v>0.91750000000000009</v>
      </c>
      <c r="CF59" s="20">
        <f t="shared" si="184"/>
        <v>0.91750000000000009</v>
      </c>
      <c r="CG59" s="20">
        <f t="shared" si="184"/>
        <v>0.91750000000000009</v>
      </c>
      <c r="CH59" s="20">
        <f t="shared" si="184"/>
        <v>0.91750000000000009</v>
      </c>
      <c r="CI59" s="20">
        <f t="shared" si="184"/>
        <v>0.91750000000000009</v>
      </c>
      <c r="CJ59" s="20">
        <f t="shared" si="184"/>
        <v>0.91750000000000009</v>
      </c>
      <c r="CK59" s="20">
        <f t="shared" si="184"/>
        <v>0.91750000000000009</v>
      </c>
      <c r="CL59" s="20">
        <f t="shared" si="184"/>
        <v>0.91749999999999998</v>
      </c>
      <c r="CM59" s="20">
        <f t="shared" si="184"/>
        <v>0.91750000000000009</v>
      </c>
      <c r="CN59" s="20">
        <f t="shared" si="184"/>
        <v>0.91750000000000009</v>
      </c>
      <c r="CO59" s="20">
        <f t="shared" si="184"/>
        <v>0.91750000000000009</v>
      </c>
      <c r="CP59" s="20">
        <f t="shared" si="184"/>
        <v>0.91749999999999998</v>
      </c>
      <c r="CQ59" s="20">
        <f t="shared" si="184"/>
        <v>0.91750000000000009</v>
      </c>
      <c r="CR59" s="20">
        <f t="shared" si="184"/>
        <v>0.91750000000000009</v>
      </c>
      <c r="CS59" s="20">
        <f t="shared" si="184"/>
        <v>0.91750000000000009</v>
      </c>
      <c r="CT59" s="20">
        <f t="shared" si="184"/>
        <v>0.91750000000000009</v>
      </c>
      <c r="CU59" s="20">
        <f t="shared" si="184"/>
        <v>0.91750000000000009</v>
      </c>
      <c r="CV59" s="20">
        <f t="shared" si="184"/>
        <v>0.91749999999999998</v>
      </c>
      <c r="CW59" s="20">
        <f t="shared" si="184"/>
        <v>0.91749999999999998</v>
      </c>
      <c r="CX59" s="20">
        <f t="shared" si="184"/>
        <v>0.91750000000000009</v>
      </c>
      <c r="CY59" s="20">
        <f t="shared" si="184"/>
        <v>0.91750000000000009</v>
      </c>
      <c r="CZ59" s="20">
        <f t="shared" si="184"/>
        <v>0.91750000000000009</v>
      </c>
      <c r="DA59" s="20">
        <f t="shared" ref="DA59:EJ59" si="185">IF(DA22&lt;$C$6,DA22/$C$6,DA55/DA51)</f>
        <v>0.91749999999999998</v>
      </c>
      <c r="DB59" s="20">
        <f t="shared" si="185"/>
        <v>0.91749999999999998</v>
      </c>
      <c r="DC59" s="20">
        <f t="shared" si="185"/>
        <v>0.91749999999999998</v>
      </c>
      <c r="DD59" s="20">
        <f t="shared" si="185"/>
        <v>0.91749999999999998</v>
      </c>
      <c r="DE59" s="20">
        <f t="shared" si="185"/>
        <v>0.91749999999999998</v>
      </c>
      <c r="DF59" s="20">
        <f t="shared" si="185"/>
        <v>0.91750000000000009</v>
      </c>
      <c r="DG59" s="20">
        <f t="shared" si="185"/>
        <v>0.91750000000000009</v>
      </c>
      <c r="DH59" s="20">
        <f t="shared" si="185"/>
        <v>0.91750000000000009</v>
      </c>
      <c r="DI59" s="20">
        <f t="shared" si="185"/>
        <v>0.91750000000000009</v>
      </c>
      <c r="DJ59" s="20">
        <f t="shared" si="185"/>
        <v>0.91750000000000009</v>
      </c>
      <c r="DK59" s="20">
        <f t="shared" si="185"/>
        <v>0.91749999999999998</v>
      </c>
      <c r="DL59" s="20">
        <f t="shared" si="185"/>
        <v>0.91749999999999998</v>
      </c>
      <c r="DM59" s="20">
        <f t="shared" si="185"/>
        <v>0.91749999999999998</v>
      </c>
      <c r="DN59" s="20">
        <f t="shared" si="185"/>
        <v>0.91750000000000009</v>
      </c>
      <c r="DO59" s="20">
        <f t="shared" si="185"/>
        <v>0.91749999999999998</v>
      </c>
      <c r="DP59" s="20">
        <f t="shared" si="185"/>
        <v>0.91749999999999987</v>
      </c>
      <c r="DQ59" s="20">
        <f t="shared" si="185"/>
        <v>0.9175000000000002</v>
      </c>
      <c r="DR59" s="20">
        <f t="shared" si="185"/>
        <v>0.9175000000000002</v>
      </c>
      <c r="DS59" s="20">
        <f t="shared" si="185"/>
        <v>0.91749999999999998</v>
      </c>
      <c r="DT59" s="20">
        <f t="shared" si="185"/>
        <v>0.91749999999999998</v>
      </c>
      <c r="DU59" s="20">
        <f t="shared" si="185"/>
        <v>0.9175000000000002</v>
      </c>
      <c r="DV59" s="20">
        <f t="shared" si="185"/>
        <v>0.9175000000000002</v>
      </c>
      <c r="DW59" s="20">
        <f t="shared" si="185"/>
        <v>0.9175000000000002</v>
      </c>
      <c r="DX59" s="20">
        <f t="shared" si="185"/>
        <v>0.91749999999999998</v>
      </c>
      <c r="DY59" s="20">
        <f t="shared" si="185"/>
        <v>0.9175000000000002</v>
      </c>
      <c r="DZ59" s="20">
        <f t="shared" si="185"/>
        <v>0.91749999999999998</v>
      </c>
      <c r="EA59" s="20">
        <f t="shared" si="185"/>
        <v>0.91749999999999998</v>
      </c>
      <c r="EB59" s="20">
        <f t="shared" si="185"/>
        <v>0.91750000000000009</v>
      </c>
      <c r="EC59" s="20">
        <f t="shared" si="185"/>
        <v>0.91750000000000009</v>
      </c>
      <c r="ED59" s="20">
        <f t="shared" si="185"/>
        <v>0.91750000000000009</v>
      </c>
      <c r="EE59" s="20">
        <f t="shared" si="185"/>
        <v>0.91749999999999998</v>
      </c>
      <c r="EF59" s="20">
        <f t="shared" si="185"/>
        <v>0.91749999999999998</v>
      </c>
      <c r="EG59" s="20">
        <f t="shared" si="185"/>
        <v>0.91750000000000009</v>
      </c>
      <c r="EH59" s="20">
        <f t="shared" si="185"/>
        <v>0.9175000000000002</v>
      </c>
      <c r="EI59" s="20">
        <f t="shared" si="185"/>
        <v>0.91750000000000009</v>
      </c>
      <c r="EJ59" s="20">
        <f t="shared" si="185"/>
        <v>0.91749999999999998</v>
      </c>
      <c r="EK59" s="20"/>
      <c r="EL59" s="20"/>
      <c r="EM59" s="20">
        <f>IFERROR(EM55/EM51,0)</f>
        <v>0</v>
      </c>
      <c r="EN59" s="20">
        <f t="shared" ref="EN59:EW59" si="186">IFERROR(EN55/EN51,0)</f>
        <v>0.89750000000000008</v>
      </c>
      <c r="EO59" s="20">
        <f t="shared" si="186"/>
        <v>0.91750000000000009</v>
      </c>
      <c r="EP59" s="20">
        <f t="shared" si="186"/>
        <v>0.91750000000000009</v>
      </c>
      <c r="EQ59" s="20">
        <f t="shared" si="186"/>
        <v>0.9175000000000002</v>
      </c>
      <c r="ER59" s="20">
        <f t="shared" si="186"/>
        <v>0.91750000000000009</v>
      </c>
      <c r="ES59" s="20">
        <f t="shared" si="186"/>
        <v>0.91750000000000009</v>
      </c>
      <c r="ET59" s="20">
        <f t="shared" si="186"/>
        <v>0.91749999999999998</v>
      </c>
      <c r="EU59" s="20">
        <f t="shared" si="186"/>
        <v>0.91749999999999998</v>
      </c>
      <c r="EV59" s="20">
        <f t="shared" si="186"/>
        <v>0.91750000000000009</v>
      </c>
      <c r="EW59" s="20">
        <f t="shared" si="186"/>
        <v>0.91750000000000009</v>
      </c>
    </row>
    <row r="60" spans="2:153" x14ac:dyDescent="0.4"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</row>
    <row r="61" spans="2:153" x14ac:dyDescent="0.4">
      <c r="B61" s="1" t="s">
        <v>21</v>
      </c>
      <c r="E61" s="57"/>
      <c r="F61" s="14" cm="1">
        <f t="array" ref="F61">SUMPRODUCT(($H61:$EJ61)*($H$6:$EJ$6&lt;=$C$5))</f>
        <v>143387.11825034264</v>
      </c>
      <c r="H61" s="12"/>
      <c r="I61" s="266">
        <f>I27*I$22</f>
        <v>0</v>
      </c>
      <c r="J61" s="266">
        <f t="shared" ref="J61:BU62" si="187">J27*J$22</f>
        <v>0</v>
      </c>
      <c r="K61" s="266">
        <f t="shared" si="187"/>
        <v>0</v>
      </c>
      <c r="L61" s="266">
        <f t="shared" si="187"/>
        <v>0</v>
      </c>
      <c r="M61" s="266">
        <f t="shared" si="187"/>
        <v>0</v>
      </c>
      <c r="N61" s="266">
        <f t="shared" si="187"/>
        <v>0</v>
      </c>
      <c r="O61" s="266">
        <f t="shared" si="187"/>
        <v>0</v>
      </c>
      <c r="P61" s="266">
        <f t="shared" si="187"/>
        <v>0</v>
      </c>
      <c r="Q61" s="266">
        <f t="shared" si="187"/>
        <v>0</v>
      </c>
      <c r="R61" s="266">
        <f t="shared" si="187"/>
        <v>0</v>
      </c>
      <c r="S61" s="266">
        <f t="shared" si="187"/>
        <v>0</v>
      </c>
      <c r="T61" s="266">
        <f t="shared" si="187"/>
        <v>0</v>
      </c>
      <c r="U61" s="266">
        <f t="shared" si="187"/>
        <v>0</v>
      </c>
      <c r="V61" s="266">
        <f t="shared" si="187"/>
        <v>0</v>
      </c>
      <c r="W61" s="266">
        <f t="shared" si="187"/>
        <v>0</v>
      </c>
      <c r="X61" s="266">
        <f t="shared" si="187"/>
        <v>0</v>
      </c>
      <c r="Y61" s="266">
        <f t="shared" si="187"/>
        <v>907.52504170140048</v>
      </c>
      <c r="Z61" s="266">
        <f t="shared" si="187"/>
        <v>1818.0751668751391</v>
      </c>
      <c r="AA61" s="266">
        <f t="shared" si="187"/>
        <v>2731.6579382298964</v>
      </c>
      <c r="AB61" s="266">
        <f t="shared" si="187"/>
        <v>3648.2809352803729</v>
      </c>
      <c r="AC61" s="266">
        <f t="shared" si="187"/>
        <v>4567.9517543823004</v>
      </c>
      <c r="AD61" s="266">
        <f t="shared" si="187"/>
        <v>5490.6780087675261</v>
      </c>
      <c r="AE61" s="266">
        <f t="shared" si="187"/>
        <v>6416.4673285791623</v>
      </c>
      <c r="AF61" s="266">
        <f t="shared" si="187"/>
        <v>7345.3273609068128</v>
      </c>
      <c r="AG61" s="266">
        <f t="shared" si="187"/>
        <v>8277.2657698218645</v>
      </c>
      <c r="AH61" s="266">
        <f t="shared" si="187"/>
        <v>9212.2902364128549</v>
      </c>
      <c r="AI61" s="266">
        <f t="shared" si="187"/>
        <v>9227.644053473543</v>
      </c>
      <c r="AJ61" s="266">
        <f t="shared" si="187"/>
        <v>9243.0234602293331</v>
      </c>
      <c r="AK61" s="266">
        <f t="shared" si="187"/>
        <v>9258.4284993297151</v>
      </c>
      <c r="AL61" s="266">
        <f t="shared" si="187"/>
        <v>9273.8592134952651</v>
      </c>
      <c r="AM61" s="266">
        <f t="shared" si="187"/>
        <v>9289.3156455177577</v>
      </c>
      <c r="AN61" s="266">
        <f t="shared" si="187"/>
        <v>9304.7978382602869</v>
      </c>
      <c r="AO61" s="266">
        <f t="shared" si="187"/>
        <v>9320.3058346573871</v>
      </c>
      <c r="AP61" s="266">
        <f t="shared" si="187"/>
        <v>9335.8396777151502</v>
      </c>
      <c r="AQ61" s="266">
        <f t="shared" si="187"/>
        <v>9351.3994105113434</v>
      </c>
      <c r="AR61" s="266">
        <f t="shared" si="187"/>
        <v>9366.9850761955295</v>
      </c>
      <c r="AS61" s="266">
        <f t="shared" si="187"/>
        <v>9382.5967179891886</v>
      </c>
      <c r="AT61" s="266">
        <f t="shared" si="187"/>
        <v>9398.2343791858366</v>
      </c>
      <c r="AU61" s="266">
        <f t="shared" si="187"/>
        <v>9413.8981031511466</v>
      </c>
      <c r="AV61" s="266">
        <f t="shared" si="187"/>
        <v>9429.587933323066</v>
      </c>
      <c r="AW61" s="266">
        <f t="shared" si="187"/>
        <v>9445.3039132119375</v>
      </c>
      <c r="AX61" s="266">
        <f t="shared" si="187"/>
        <v>9461.0460864006254</v>
      </c>
      <c r="AY61" s="266">
        <f t="shared" si="187"/>
        <v>9476.8144965446263</v>
      </c>
      <c r="AZ61" s="266">
        <f t="shared" si="187"/>
        <v>9492.6091873722016</v>
      </c>
      <c r="BA61" s="266">
        <f t="shared" si="187"/>
        <v>9508.4302026844889</v>
      </c>
      <c r="BB61" s="266">
        <f t="shared" si="187"/>
        <v>9524.2775863556308</v>
      </c>
      <c r="BC61" s="266">
        <f t="shared" si="187"/>
        <v>9540.1513823328896</v>
      </c>
      <c r="BD61" s="266">
        <f t="shared" si="187"/>
        <v>9556.0516346367785</v>
      </c>
      <c r="BE61" s="266">
        <f t="shared" si="187"/>
        <v>9571.9783873611741</v>
      </c>
      <c r="BF61" s="266">
        <f t="shared" si="187"/>
        <v>9587.9316846734437</v>
      </c>
      <c r="BG61" s="266">
        <f t="shared" si="187"/>
        <v>9603.9115708145673</v>
      </c>
      <c r="BH61" s="266">
        <f t="shared" si="187"/>
        <v>9619.9180900992596</v>
      </c>
      <c r="BI61" s="266">
        <f t="shared" si="187"/>
        <v>9635.9512869160917</v>
      </c>
      <c r="BJ61" s="266">
        <f t="shared" si="187"/>
        <v>9652.0112057276201</v>
      </c>
      <c r="BK61" s="266">
        <f t="shared" si="187"/>
        <v>9668.0978910705016</v>
      </c>
      <c r="BL61" s="266">
        <f t="shared" si="187"/>
        <v>9684.2113875556188</v>
      </c>
      <c r="BM61" s="266">
        <f t="shared" si="187"/>
        <v>9700.3517398682106</v>
      </c>
      <c r="BN61" s="266">
        <f t="shared" si="187"/>
        <v>9716.5189927679912</v>
      </c>
      <c r="BO61" s="266">
        <f t="shared" si="187"/>
        <v>9732.7131910892713</v>
      </c>
      <c r="BP61" s="266">
        <f t="shared" si="187"/>
        <v>9748.9343797410875</v>
      </c>
      <c r="BQ61" s="266">
        <f t="shared" si="187"/>
        <v>9765.1826037073224</v>
      </c>
      <c r="BR61" s="266">
        <f t="shared" si="187"/>
        <v>9781.4579080468357</v>
      </c>
      <c r="BS61" s="266">
        <f t="shared" si="187"/>
        <v>9797.7603378935801</v>
      </c>
      <c r="BT61" s="266">
        <f t="shared" si="187"/>
        <v>9814.0899384567365</v>
      </c>
      <c r="BU61" s="266">
        <f t="shared" si="187"/>
        <v>9830.4467550208319</v>
      </c>
      <c r="BV61" s="266">
        <f t="shared" ref="BV61:EG63" si="188">BV27*BV$22</f>
        <v>9846.8308329458687</v>
      </c>
      <c r="BW61" s="266">
        <f t="shared" si="188"/>
        <v>9863.2422176674445</v>
      </c>
      <c r="BX61" s="266">
        <f t="shared" si="188"/>
        <v>9879.6809546968907</v>
      </c>
      <c r="BY61" s="266">
        <f t="shared" si="188"/>
        <v>9896.147089621385</v>
      </c>
      <c r="BZ61" s="266">
        <f t="shared" si="188"/>
        <v>9912.6406681040862</v>
      </c>
      <c r="CA61" s="266">
        <f t="shared" si="188"/>
        <v>9929.1617358842595</v>
      </c>
      <c r="CB61" s="266">
        <f t="shared" si="188"/>
        <v>9945.7103387774005</v>
      </c>
      <c r="CC61" s="266">
        <f t="shared" si="188"/>
        <v>9962.2865226753638</v>
      </c>
      <c r="CD61" s="266">
        <f t="shared" si="188"/>
        <v>9978.8903335464911</v>
      </c>
      <c r="CE61" s="266">
        <f t="shared" si="188"/>
        <v>9995.5218174357342</v>
      </c>
      <c r="CF61" s="266">
        <f t="shared" si="188"/>
        <v>10012.181020464794</v>
      </c>
      <c r="CG61" s="266">
        <f t="shared" si="188"/>
        <v>10028.867988832237</v>
      </c>
      <c r="CH61" s="266">
        <f t="shared" si="188"/>
        <v>10045.582768813625</v>
      </c>
      <c r="CI61" s="266">
        <f t="shared" si="188"/>
        <v>10062.325406761647</v>
      </c>
      <c r="CJ61" s="266">
        <f t="shared" si="188"/>
        <v>10079.095949106251</v>
      </c>
      <c r="CK61" s="266">
        <f t="shared" si="188"/>
        <v>10095.89444235476</v>
      </c>
      <c r="CL61" s="266">
        <f t="shared" si="188"/>
        <v>10112.720933092018</v>
      </c>
      <c r="CM61" s="266">
        <f t="shared" si="188"/>
        <v>10129.575467980505</v>
      </c>
      <c r="CN61" s="266">
        <f t="shared" si="188"/>
        <v>10146.458093760473</v>
      </c>
      <c r="CO61" s="266">
        <f t="shared" si="188"/>
        <v>10163.368857250074</v>
      </c>
      <c r="CP61" s="266">
        <f t="shared" si="188"/>
        <v>10180.307805345492</v>
      </c>
      <c r="CQ61" s="266">
        <f t="shared" si="188"/>
        <v>10197.274985021069</v>
      </c>
      <c r="CR61" s="266">
        <f t="shared" si="188"/>
        <v>10214.270443329438</v>
      </c>
      <c r="CS61" s="266">
        <f t="shared" si="188"/>
        <v>10231.294227401653</v>
      </c>
      <c r="CT61" s="266">
        <f t="shared" si="188"/>
        <v>10248.346384447323</v>
      </c>
      <c r="CU61" s="266">
        <f t="shared" si="188"/>
        <v>10265.426961754738</v>
      </c>
      <c r="CV61" s="266">
        <f t="shared" si="188"/>
        <v>10282.536006690996</v>
      </c>
      <c r="CW61" s="266">
        <f t="shared" si="188"/>
        <v>10299.673566702148</v>
      </c>
      <c r="CX61" s="266">
        <f t="shared" si="188"/>
        <v>10316.839689313318</v>
      </c>
      <c r="CY61" s="266">
        <f t="shared" si="188"/>
        <v>10334.034422128841</v>
      </c>
      <c r="CZ61" s="266">
        <f t="shared" si="188"/>
        <v>10351.257812832389</v>
      </c>
      <c r="DA61" s="266">
        <f t="shared" si="188"/>
        <v>10368.509909187109</v>
      </c>
      <c r="DB61" s="266">
        <f t="shared" si="188"/>
        <v>10385.790759035755</v>
      </c>
      <c r="DC61" s="266">
        <f t="shared" si="188"/>
        <v>10403.100410300814</v>
      </c>
      <c r="DD61" s="266">
        <f t="shared" si="188"/>
        <v>10420.438910984649</v>
      </c>
      <c r="DE61" s="266">
        <f t="shared" si="188"/>
        <v>10437.806309169624</v>
      </c>
      <c r="DF61" s="266">
        <f t="shared" si="188"/>
        <v>10455.202653018241</v>
      </c>
      <c r="DG61" s="266">
        <f t="shared" si="188"/>
        <v>10472.627990773271</v>
      </c>
      <c r="DH61" s="266">
        <f t="shared" si="188"/>
        <v>10490.082370757893</v>
      </c>
      <c r="DI61" s="266">
        <f t="shared" si="188"/>
        <v>10507.565841375825</v>
      </c>
      <c r="DJ61" s="266">
        <f t="shared" si="188"/>
        <v>10525.078451111451</v>
      </c>
      <c r="DK61" s="266">
        <f t="shared" si="188"/>
        <v>10542.620248529971</v>
      </c>
      <c r="DL61" s="266">
        <f t="shared" si="188"/>
        <v>10560.191282277521</v>
      </c>
      <c r="DM61" s="266">
        <f t="shared" si="188"/>
        <v>10577.791601081317</v>
      </c>
      <c r="DN61" s="266">
        <f t="shared" si="188"/>
        <v>10595.421253749786</v>
      </c>
      <c r="DO61" s="266">
        <f t="shared" si="188"/>
        <v>10613.080289172703</v>
      </c>
      <c r="DP61" s="266">
        <f t="shared" si="188"/>
        <v>10630.768756321324</v>
      </c>
      <c r="DQ61" s="266">
        <f t="shared" si="188"/>
        <v>10648.486704248528</v>
      </c>
      <c r="DR61" s="266">
        <f t="shared" si="188"/>
        <v>10666.234182088941</v>
      </c>
      <c r="DS61" s="266">
        <f t="shared" si="188"/>
        <v>10684.011239059091</v>
      </c>
      <c r="DT61" s="266">
        <f t="shared" si="188"/>
        <v>10701.817924457522</v>
      </c>
      <c r="DU61" s="266">
        <f t="shared" si="188"/>
        <v>10719.654287664953</v>
      </c>
      <c r="DV61" s="266">
        <f t="shared" si="188"/>
        <v>10737.520378144396</v>
      </c>
      <c r="DW61" s="266">
        <f t="shared" si="188"/>
        <v>10755.416245441302</v>
      </c>
      <c r="DX61" s="266">
        <f t="shared" si="188"/>
        <v>10773.341939183705</v>
      </c>
      <c r="DY61" s="266">
        <f t="shared" si="188"/>
        <v>10791.297509082346</v>
      </c>
      <c r="DZ61" s="266">
        <f t="shared" si="188"/>
        <v>10809.283004930818</v>
      </c>
      <c r="EA61" s="266">
        <f t="shared" si="188"/>
        <v>10827.298476605703</v>
      </c>
      <c r="EB61" s="266">
        <f t="shared" si="188"/>
        <v>10845.343974066715</v>
      </c>
      <c r="EC61" s="266">
        <f t="shared" si="188"/>
        <v>10863.419547356827</v>
      </c>
      <c r="ED61" s="266">
        <f t="shared" si="188"/>
        <v>10881.525246602421</v>
      </c>
      <c r="EE61" s="266">
        <f t="shared" si="188"/>
        <v>10899.661122013425</v>
      </c>
      <c r="EF61" s="266">
        <f t="shared" si="188"/>
        <v>10917.827223883449</v>
      </c>
      <c r="EG61" s="266">
        <f t="shared" si="188"/>
        <v>10936.023602589921</v>
      </c>
      <c r="EH61" s="266">
        <f t="shared" ref="EH61:EJ63" si="189">EH27*EH$22</f>
        <v>10954.250308594239</v>
      </c>
      <c r="EI61" s="266">
        <f t="shared" si="189"/>
        <v>10972.507392441896</v>
      </c>
      <c r="EJ61" s="266">
        <f t="shared" si="189"/>
        <v>10990.794904762632</v>
      </c>
      <c r="EK61" s="8"/>
      <c r="EL61" s="12">
        <f t="shared" ref="EL61:EW63" si="190">SUMIF($H$4:$EJ$4,EL$5,$H61:$EJ61)</f>
        <v>0</v>
      </c>
      <c r="EM61" s="12">
        <f t="shared" si="190"/>
        <v>0</v>
      </c>
      <c r="EN61" s="12">
        <f t="shared" si="190"/>
        <v>32925.963534722614</v>
      </c>
      <c r="EO61" s="12">
        <f t="shared" si="190"/>
        <v>110461.15471562002</v>
      </c>
      <c r="EP61" s="12">
        <f t="shared" si="190"/>
        <v>113629.00162318841</v>
      </c>
      <c r="EQ61" s="12">
        <f t="shared" si="190"/>
        <v>115922.52980768486</v>
      </c>
      <c r="ER61" s="12">
        <f t="shared" si="190"/>
        <v>118262.35138082264</v>
      </c>
      <c r="ES61" s="12">
        <f t="shared" si="190"/>
        <v>120649.40074482391</v>
      </c>
      <c r="ET61" s="12">
        <f t="shared" si="190"/>
        <v>123084.63116221747</v>
      </c>
      <c r="EU61" s="12">
        <f t="shared" si="190"/>
        <v>125569.01513652212</v>
      </c>
      <c r="EV61" s="12">
        <f t="shared" si="190"/>
        <v>128103.54480061357</v>
      </c>
      <c r="EW61" s="12">
        <f t="shared" si="190"/>
        <v>130689.2323129304</v>
      </c>
    </row>
    <row r="62" spans="2:153" x14ac:dyDescent="0.4">
      <c r="B62" s="1" t="s">
        <v>279</v>
      </c>
      <c r="E62" s="57"/>
      <c r="F62" s="14" cm="1">
        <f t="array" ref="F62">SUMPRODUCT(($H62:$EJ62)*($H$6:$EJ$6&lt;=$C$5))</f>
        <v>477957.06083447544</v>
      </c>
      <c r="H62" s="12"/>
      <c r="I62" s="266">
        <f t="shared" ref="I62:X63" si="191">I28*I$22</f>
        <v>0</v>
      </c>
      <c r="J62" s="266">
        <f t="shared" si="191"/>
        <v>0</v>
      </c>
      <c r="K62" s="266">
        <f t="shared" si="191"/>
        <v>0</v>
      </c>
      <c r="L62" s="266">
        <f t="shared" si="191"/>
        <v>0</v>
      </c>
      <c r="M62" s="266">
        <f t="shared" si="191"/>
        <v>0</v>
      </c>
      <c r="N62" s="266">
        <f t="shared" si="191"/>
        <v>0</v>
      </c>
      <c r="O62" s="266">
        <f t="shared" si="191"/>
        <v>0</v>
      </c>
      <c r="P62" s="266">
        <f t="shared" si="191"/>
        <v>0</v>
      </c>
      <c r="Q62" s="266">
        <f t="shared" si="191"/>
        <v>0</v>
      </c>
      <c r="R62" s="266">
        <f t="shared" si="191"/>
        <v>0</v>
      </c>
      <c r="S62" s="266">
        <f t="shared" si="191"/>
        <v>0</v>
      </c>
      <c r="T62" s="266">
        <f t="shared" si="191"/>
        <v>0</v>
      </c>
      <c r="U62" s="266">
        <f t="shared" si="191"/>
        <v>0</v>
      </c>
      <c r="V62" s="266">
        <f t="shared" si="191"/>
        <v>0</v>
      </c>
      <c r="W62" s="266">
        <f t="shared" si="191"/>
        <v>0</v>
      </c>
      <c r="X62" s="266">
        <f t="shared" si="191"/>
        <v>0</v>
      </c>
      <c r="Y62" s="266">
        <f t="shared" si="187"/>
        <v>3025.0834723380021</v>
      </c>
      <c r="Z62" s="266">
        <f t="shared" si="187"/>
        <v>6060.2505562504648</v>
      </c>
      <c r="AA62" s="266">
        <f t="shared" si="187"/>
        <v>9105.526460766323</v>
      </c>
      <c r="AB62" s="266">
        <f t="shared" si="187"/>
        <v>12160.93645093458</v>
      </c>
      <c r="AC62" s="266">
        <f t="shared" si="187"/>
        <v>15226.505847941005</v>
      </c>
      <c r="AD62" s="266">
        <f t="shared" si="187"/>
        <v>18302.26002922509</v>
      </c>
      <c r="AE62" s="266">
        <f t="shared" si="187"/>
        <v>21388.224428597212</v>
      </c>
      <c r="AF62" s="266">
        <f t="shared" si="187"/>
        <v>24484.424536356048</v>
      </c>
      <c r="AG62" s="266">
        <f t="shared" si="187"/>
        <v>27590.885899406221</v>
      </c>
      <c r="AH62" s="266">
        <f t="shared" si="187"/>
        <v>30707.634121376184</v>
      </c>
      <c r="AI62" s="266">
        <f t="shared" si="187"/>
        <v>30758.813511578479</v>
      </c>
      <c r="AJ62" s="266">
        <f t="shared" si="187"/>
        <v>30810.078200764445</v>
      </c>
      <c r="AK62" s="266">
        <f t="shared" si="187"/>
        <v>30861.42833109905</v>
      </c>
      <c r="AL62" s="266">
        <f t="shared" si="187"/>
        <v>30912.864044984217</v>
      </c>
      <c r="AM62" s="266">
        <f t="shared" si="187"/>
        <v>30964.385485059192</v>
      </c>
      <c r="AN62" s="266">
        <f t="shared" si="187"/>
        <v>31015.99279420096</v>
      </c>
      <c r="AO62" s="266">
        <f t="shared" si="187"/>
        <v>31067.686115524626</v>
      </c>
      <c r="AP62" s="266">
        <f t="shared" si="187"/>
        <v>31119.465592383836</v>
      </c>
      <c r="AQ62" s="266">
        <f t="shared" si="187"/>
        <v>31171.331368371142</v>
      </c>
      <c r="AR62" s="266">
        <f t="shared" si="187"/>
        <v>31223.28358731843</v>
      </c>
      <c r="AS62" s="266">
        <f t="shared" si="187"/>
        <v>31275.322393297294</v>
      </c>
      <c r="AT62" s="266">
        <f t="shared" si="187"/>
        <v>31327.447930619459</v>
      </c>
      <c r="AU62" s="266">
        <f t="shared" si="187"/>
        <v>31379.66034383716</v>
      </c>
      <c r="AV62" s="266">
        <f t="shared" si="187"/>
        <v>31431.959777743556</v>
      </c>
      <c r="AW62" s="266">
        <f t="shared" si="187"/>
        <v>31484.346377373131</v>
      </c>
      <c r="AX62" s="266">
        <f t="shared" si="187"/>
        <v>31536.820288002087</v>
      </c>
      <c r="AY62" s="266">
        <f t="shared" si="187"/>
        <v>31589.381655148754</v>
      </c>
      <c r="AZ62" s="266">
        <f t="shared" si="187"/>
        <v>31642.030624574007</v>
      </c>
      <c r="BA62" s="266">
        <f t="shared" si="187"/>
        <v>31694.76734228163</v>
      </c>
      <c r="BB62" s="266">
        <f t="shared" si="187"/>
        <v>31747.591954518768</v>
      </c>
      <c r="BC62" s="266">
        <f t="shared" si="187"/>
        <v>31800.5046077763</v>
      </c>
      <c r="BD62" s="266">
        <f t="shared" si="187"/>
        <v>31853.505448789263</v>
      </c>
      <c r="BE62" s="266">
        <f t="shared" si="187"/>
        <v>31906.594624537247</v>
      </c>
      <c r="BF62" s="266">
        <f t="shared" si="187"/>
        <v>31959.772282244812</v>
      </c>
      <c r="BG62" s="266">
        <f t="shared" si="187"/>
        <v>32013.03856938189</v>
      </c>
      <c r="BH62" s="266">
        <f t="shared" si="187"/>
        <v>32066.393633664193</v>
      </c>
      <c r="BI62" s="266">
        <f t="shared" si="187"/>
        <v>32119.837623053631</v>
      </c>
      <c r="BJ62" s="266">
        <f t="shared" si="187"/>
        <v>32173.370685758724</v>
      </c>
      <c r="BK62" s="266">
        <f t="shared" si="187"/>
        <v>32226.992970234987</v>
      </c>
      <c r="BL62" s="266">
        <f t="shared" si="187"/>
        <v>32280.704625185379</v>
      </c>
      <c r="BM62" s="266">
        <f t="shared" si="187"/>
        <v>32334.505799560691</v>
      </c>
      <c r="BN62" s="266">
        <f t="shared" si="187"/>
        <v>32388.396642559961</v>
      </c>
      <c r="BO62" s="266">
        <f t="shared" si="187"/>
        <v>32442.377303630896</v>
      </c>
      <c r="BP62" s="266">
        <f t="shared" si="187"/>
        <v>32496.447932470281</v>
      </c>
      <c r="BQ62" s="266">
        <f t="shared" si="187"/>
        <v>32550.608679024397</v>
      </c>
      <c r="BR62" s="266">
        <f t="shared" si="187"/>
        <v>32604.859693489438</v>
      </c>
      <c r="BS62" s="266">
        <f t="shared" si="187"/>
        <v>32659.20112631192</v>
      </c>
      <c r="BT62" s="266">
        <f t="shared" si="187"/>
        <v>32713.633128189107</v>
      </c>
      <c r="BU62" s="266">
        <f t="shared" si="187"/>
        <v>32768.155850069423</v>
      </c>
      <c r="BV62" s="266">
        <f t="shared" si="188"/>
        <v>32822.769443152873</v>
      </c>
      <c r="BW62" s="266">
        <f t="shared" si="188"/>
        <v>32877.474058891465</v>
      </c>
      <c r="BX62" s="266">
        <f t="shared" si="188"/>
        <v>32932.269848989614</v>
      </c>
      <c r="BY62" s="266">
        <f t="shared" si="188"/>
        <v>32987.156965404596</v>
      </c>
      <c r="BZ62" s="266">
        <f t="shared" si="188"/>
        <v>33042.135560346942</v>
      </c>
      <c r="CA62" s="266">
        <f t="shared" si="188"/>
        <v>33097.205786280851</v>
      </c>
      <c r="CB62" s="266">
        <f t="shared" si="188"/>
        <v>33152.367795924656</v>
      </c>
      <c r="CC62" s="266">
        <f t="shared" si="188"/>
        <v>33207.621742251198</v>
      </c>
      <c r="CD62" s="266">
        <f t="shared" si="188"/>
        <v>33262.967778488288</v>
      </c>
      <c r="CE62" s="266">
        <f t="shared" si="188"/>
        <v>33318.406058119101</v>
      </c>
      <c r="CF62" s="266">
        <f t="shared" si="188"/>
        <v>33373.936734882634</v>
      </c>
      <c r="CG62" s="266">
        <f t="shared" si="188"/>
        <v>33429.55996277411</v>
      </c>
      <c r="CH62" s="266">
        <f t="shared" si="188"/>
        <v>33485.275896045401</v>
      </c>
      <c r="CI62" s="266">
        <f t="shared" si="188"/>
        <v>33541.084689205476</v>
      </c>
      <c r="CJ62" s="266">
        <f t="shared" si="188"/>
        <v>33596.986497020815</v>
      </c>
      <c r="CK62" s="266">
        <f t="shared" si="188"/>
        <v>33652.981474515851</v>
      </c>
      <c r="CL62" s="266">
        <f t="shared" si="188"/>
        <v>33709.069776973382</v>
      </c>
      <c r="CM62" s="266">
        <f t="shared" si="188"/>
        <v>33765.251559935008</v>
      </c>
      <c r="CN62" s="266">
        <f t="shared" si="188"/>
        <v>33821.526979201568</v>
      </c>
      <c r="CO62" s="266">
        <f t="shared" si="188"/>
        <v>33877.89619083357</v>
      </c>
      <c r="CP62" s="266">
        <f t="shared" si="188"/>
        <v>33934.359351151623</v>
      </c>
      <c r="CQ62" s="266">
        <f t="shared" si="188"/>
        <v>33990.916616736882</v>
      </c>
      <c r="CR62" s="266">
        <f t="shared" si="188"/>
        <v>34047.56814443144</v>
      </c>
      <c r="CS62" s="266">
        <f t="shared" si="188"/>
        <v>34104.314091338827</v>
      </c>
      <c r="CT62" s="266">
        <f t="shared" si="188"/>
        <v>34161.154614824394</v>
      </c>
      <c r="CU62" s="266">
        <f t="shared" si="188"/>
        <v>34218.089872515768</v>
      </c>
      <c r="CV62" s="266">
        <f t="shared" si="188"/>
        <v>34275.120022303301</v>
      </c>
      <c r="CW62" s="266">
        <f t="shared" si="188"/>
        <v>34332.245222340469</v>
      </c>
      <c r="CX62" s="266">
        <f t="shared" si="188"/>
        <v>34389.465631044375</v>
      </c>
      <c r="CY62" s="266">
        <f t="shared" si="188"/>
        <v>34446.781407096118</v>
      </c>
      <c r="CZ62" s="266">
        <f t="shared" si="188"/>
        <v>34504.192709441282</v>
      </c>
      <c r="DA62" s="266">
        <f t="shared" si="188"/>
        <v>34561.699697290351</v>
      </c>
      <c r="DB62" s="266">
        <f t="shared" si="188"/>
        <v>34619.302530119166</v>
      </c>
      <c r="DC62" s="266">
        <f t="shared" si="188"/>
        <v>34677.001367669363</v>
      </c>
      <c r="DD62" s="266">
        <f t="shared" si="188"/>
        <v>34734.796369948817</v>
      </c>
      <c r="DE62" s="266">
        <f t="shared" si="188"/>
        <v>34792.687697232068</v>
      </c>
      <c r="DF62" s="266">
        <f t="shared" si="188"/>
        <v>34850.675510060784</v>
      </c>
      <c r="DG62" s="266">
        <f t="shared" si="188"/>
        <v>34908.759969244224</v>
      </c>
      <c r="DH62" s="266">
        <f t="shared" si="188"/>
        <v>34966.941235859631</v>
      </c>
      <c r="DI62" s="266">
        <f t="shared" si="188"/>
        <v>35025.219471252734</v>
      </c>
      <c r="DJ62" s="266">
        <f t="shared" si="188"/>
        <v>35083.594837038159</v>
      </c>
      <c r="DK62" s="266">
        <f t="shared" si="188"/>
        <v>35142.067495099887</v>
      </c>
      <c r="DL62" s="266">
        <f t="shared" si="188"/>
        <v>35200.637607591729</v>
      </c>
      <c r="DM62" s="266">
        <f t="shared" si="188"/>
        <v>35259.305336937708</v>
      </c>
      <c r="DN62" s="266">
        <f t="shared" si="188"/>
        <v>35318.070845832612</v>
      </c>
      <c r="DO62" s="266">
        <f t="shared" si="188"/>
        <v>35376.934297242333</v>
      </c>
      <c r="DP62" s="266">
        <f t="shared" si="188"/>
        <v>35435.895854404407</v>
      </c>
      <c r="DQ62" s="266">
        <f t="shared" si="188"/>
        <v>35494.955680828411</v>
      </c>
      <c r="DR62" s="266">
        <f t="shared" si="188"/>
        <v>35554.113940296462</v>
      </c>
      <c r="DS62" s="266">
        <f t="shared" si="188"/>
        <v>35613.370796863623</v>
      </c>
      <c r="DT62" s="266">
        <f t="shared" si="188"/>
        <v>35672.7264148584</v>
      </c>
      <c r="DU62" s="266">
        <f t="shared" si="188"/>
        <v>35732.180958883167</v>
      </c>
      <c r="DV62" s="266">
        <f t="shared" si="188"/>
        <v>35791.734593814632</v>
      </c>
      <c r="DW62" s="266">
        <f t="shared" si="188"/>
        <v>35851.387484804327</v>
      </c>
      <c r="DX62" s="266">
        <f t="shared" si="188"/>
        <v>35911.139797279</v>
      </c>
      <c r="DY62" s="266">
        <f t="shared" si="188"/>
        <v>35970.991696941135</v>
      </c>
      <c r="DZ62" s="266">
        <f t="shared" si="188"/>
        <v>36030.943349769368</v>
      </c>
      <c r="EA62" s="266">
        <f t="shared" si="188"/>
        <v>36090.994922018988</v>
      </c>
      <c r="EB62" s="266">
        <f t="shared" si="188"/>
        <v>36151.146580222354</v>
      </c>
      <c r="EC62" s="266">
        <f t="shared" si="188"/>
        <v>36211.398491189393</v>
      </c>
      <c r="ED62" s="266">
        <f t="shared" si="188"/>
        <v>36271.750822008049</v>
      </c>
      <c r="EE62" s="266">
        <f t="shared" si="188"/>
        <v>36332.20374004473</v>
      </c>
      <c r="EF62" s="266">
        <f t="shared" si="188"/>
        <v>36392.757412944804</v>
      </c>
      <c r="EG62" s="266">
        <f t="shared" si="188"/>
        <v>36453.412008633051</v>
      </c>
      <c r="EH62" s="266">
        <f t="shared" si="189"/>
        <v>36514.167695314107</v>
      </c>
      <c r="EI62" s="266">
        <f t="shared" si="189"/>
        <v>36575.024641472963</v>
      </c>
      <c r="EJ62" s="266">
        <f t="shared" si="189"/>
        <v>36635.983015875419</v>
      </c>
      <c r="EK62" s="8"/>
      <c r="EL62" s="12">
        <f t="shared" si="190"/>
        <v>0</v>
      </c>
      <c r="EM62" s="12">
        <f t="shared" si="190"/>
        <v>0</v>
      </c>
      <c r="EN62" s="12">
        <f t="shared" si="190"/>
        <v>109753.21178240872</v>
      </c>
      <c r="EO62" s="12">
        <f t="shared" si="190"/>
        <v>368203.8490520668</v>
      </c>
      <c r="EP62" s="12">
        <f t="shared" si="190"/>
        <v>378763.33874396142</v>
      </c>
      <c r="EQ62" s="12">
        <f t="shared" si="190"/>
        <v>386408.43269228266</v>
      </c>
      <c r="ER62" s="12">
        <f t="shared" si="190"/>
        <v>394207.83793607529</v>
      </c>
      <c r="ES62" s="12">
        <f t="shared" si="190"/>
        <v>402164.66914941289</v>
      </c>
      <c r="ET62" s="12">
        <f t="shared" si="190"/>
        <v>410282.10387405806</v>
      </c>
      <c r="EU62" s="12">
        <f t="shared" si="190"/>
        <v>418563.38378840691</v>
      </c>
      <c r="EV62" s="12">
        <f t="shared" si="190"/>
        <v>427011.81600204518</v>
      </c>
      <c r="EW62" s="12">
        <f t="shared" si="190"/>
        <v>435630.77437643439</v>
      </c>
    </row>
    <row r="63" spans="2:153" x14ac:dyDescent="0.4">
      <c r="B63" s="1" t="s">
        <v>30</v>
      </c>
      <c r="E63" s="57"/>
      <c r="F63" s="14" cm="1">
        <f t="array" ref="F63">SUMPRODUCT(($H63:$EJ63)*($H$6:$EJ$6&lt;=$C$5))</f>
        <v>119489.26520861886</v>
      </c>
      <c r="H63" s="12"/>
      <c r="I63" s="266">
        <f t="shared" si="191"/>
        <v>0</v>
      </c>
      <c r="J63" s="266">
        <f t="shared" ref="J63:BU63" si="192">J29*J$22</f>
        <v>0</v>
      </c>
      <c r="K63" s="266">
        <f t="shared" si="192"/>
        <v>0</v>
      </c>
      <c r="L63" s="266">
        <f t="shared" si="192"/>
        <v>0</v>
      </c>
      <c r="M63" s="266">
        <f t="shared" si="192"/>
        <v>0</v>
      </c>
      <c r="N63" s="266">
        <f t="shared" si="192"/>
        <v>0</v>
      </c>
      <c r="O63" s="266">
        <f t="shared" si="192"/>
        <v>0</v>
      </c>
      <c r="P63" s="266">
        <f t="shared" si="192"/>
        <v>0</v>
      </c>
      <c r="Q63" s="266">
        <f t="shared" si="192"/>
        <v>0</v>
      </c>
      <c r="R63" s="266">
        <f t="shared" si="192"/>
        <v>0</v>
      </c>
      <c r="S63" s="266">
        <f t="shared" si="192"/>
        <v>0</v>
      </c>
      <c r="T63" s="266">
        <f t="shared" si="192"/>
        <v>0</v>
      </c>
      <c r="U63" s="266">
        <f t="shared" si="192"/>
        <v>0</v>
      </c>
      <c r="V63" s="266">
        <f t="shared" si="192"/>
        <v>0</v>
      </c>
      <c r="W63" s="266">
        <f t="shared" si="192"/>
        <v>0</v>
      </c>
      <c r="X63" s="266">
        <f t="shared" si="192"/>
        <v>0</v>
      </c>
      <c r="Y63" s="266">
        <f t="shared" si="192"/>
        <v>756.27086808450053</v>
      </c>
      <c r="Z63" s="266">
        <f t="shared" si="192"/>
        <v>1515.0626390626162</v>
      </c>
      <c r="AA63" s="266">
        <f t="shared" si="192"/>
        <v>2276.3816151915807</v>
      </c>
      <c r="AB63" s="266">
        <f t="shared" si="192"/>
        <v>3040.2341127336449</v>
      </c>
      <c r="AC63" s="266">
        <f t="shared" si="192"/>
        <v>3806.6264619852514</v>
      </c>
      <c r="AD63" s="266">
        <f t="shared" si="192"/>
        <v>4575.5650073062725</v>
      </c>
      <c r="AE63" s="266">
        <f t="shared" si="192"/>
        <v>5347.056107149303</v>
      </c>
      <c r="AF63" s="266">
        <f t="shared" si="192"/>
        <v>6121.1061340890119</v>
      </c>
      <c r="AG63" s="266">
        <f t="shared" si="192"/>
        <v>6897.7214748515553</v>
      </c>
      <c r="AH63" s="266">
        <f t="shared" si="192"/>
        <v>7676.9085303440461</v>
      </c>
      <c r="AI63" s="266">
        <f t="shared" si="192"/>
        <v>7689.7033778946197</v>
      </c>
      <c r="AJ63" s="266">
        <f t="shared" si="192"/>
        <v>7702.5195501911112</v>
      </c>
      <c r="AK63" s="266">
        <f t="shared" si="192"/>
        <v>7715.3570827747626</v>
      </c>
      <c r="AL63" s="266">
        <f t="shared" si="192"/>
        <v>7728.2160112460542</v>
      </c>
      <c r="AM63" s="266">
        <f t="shared" si="192"/>
        <v>7741.0963712647981</v>
      </c>
      <c r="AN63" s="266">
        <f t="shared" si="192"/>
        <v>7753.99819855024</v>
      </c>
      <c r="AO63" s="266">
        <f t="shared" si="192"/>
        <v>7766.9215288811565</v>
      </c>
      <c r="AP63" s="266">
        <f t="shared" si="192"/>
        <v>7779.8663980959591</v>
      </c>
      <c r="AQ63" s="266">
        <f t="shared" si="192"/>
        <v>7792.8328420927855</v>
      </c>
      <c r="AR63" s="266">
        <f t="shared" si="192"/>
        <v>7805.8208968296076</v>
      </c>
      <c r="AS63" s="266">
        <f t="shared" si="192"/>
        <v>7818.8305983243235</v>
      </c>
      <c r="AT63" s="266">
        <f t="shared" si="192"/>
        <v>7831.8619826548647</v>
      </c>
      <c r="AU63" s="266">
        <f t="shared" si="192"/>
        <v>7844.9150859592901</v>
      </c>
      <c r="AV63" s="266">
        <f t="shared" si="192"/>
        <v>7857.9899444358889</v>
      </c>
      <c r="AW63" s="266">
        <f t="shared" si="192"/>
        <v>7871.0865943432827</v>
      </c>
      <c r="AX63" s="266">
        <f t="shared" si="192"/>
        <v>7884.2050720005218</v>
      </c>
      <c r="AY63" s="266">
        <f t="shared" si="192"/>
        <v>7897.3454137871886</v>
      </c>
      <c r="AZ63" s="266">
        <f t="shared" si="192"/>
        <v>7910.5076561435017</v>
      </c>
      <c r="BA63" s="266">
        <f t="shared" si="192"/>
        <v>7923.6918355704074</v>
      </c>
      <c r="BB63" s="266">
        <f t="shared" si="192"/>
        <v>7936.897988629692</v>
      </c>
      <c r="BC63" s="266">
        <f t="shared" si="192"/>
        <v>7950.126151944075</v>
      </c>
      <c r="BD63" s="266">
        <f t="shared" si="192"/>
        <v>7963.3763621973158</v>
      </c>
      <c r="BE63" s="266">
        <f t="shared" si="192"/>
        <v>7976.6486561343118</v>
      </c>
      <c r="BF63" s="266">
        <f t="shared" si="192"/>
        <v>7989.9430705612031</v>
      </c>
      <c r="BG63" s="266">
        <f t="shared" si="192"/>
        <v>8003.2596423454725</v>
      </c>
      <c r="BH63" s="266">
        <f t="shared" si="192"/>
        <v>8016.5984084160482</v>
      </c>
      <c r="BI63" s="266">
        <f t="shared" si="192"/>
        <v>8029.9594057634076</v>
      </c>
      <c r="BJ63" s="266">
        <f t="shared" si="192"/>
        <v>8043.342671439681</v>
      </c>
      <c r="BK63" s="266">
        <f t="shared" si="192"/>
        <v>8056.7482425587468</v>
      </c>
      <c r="BL63" s="266">
        <f t="shared" si="192"/>
        <v>8070.1761562963447</v>
      </c>
      <c r="BM63" s="266">
        <f t="shared" si="192"/>
        <v>8083.6264498901728</v>
      </c>
      <c r="BN63" s="266">
        <f t="shared" si="192"/>
        <v>8097.0991606399903</v>
      </c>
      <c r="BO63" s="266">
        <f t="shared" si="192"/>
        <v>8110.5943259077239</v>
      </c>
      <c r="BP63" s="266">
        <f t="shared" si="192"/>
        <v>8124.1119831175702</v>
      </c>
      <c r="BQ63" s="266">
        <f t="shared" si="192"/>
        <v>8137.6521697560993</v>
      </c>
      <c r="BR63" s="266">
        <f t="shared" si="192"/>
        <v>8151.2149233723594</v>
      </c>
      <c r="BS63" s="266">
        <f t="shared" si="192"/>
        <v>8164.8002815779801</v>
      </c>
      <c r="BT63" s="266">
        <f t="shared" si="192"/>
        <v>8178.4082820472768</v>
      </c>
      <c r="BU63" s="266">
        <f t="shared" si="192"/>
        <v>8192.0389625173557</v>
      </c>
      <c r="BV63" s="266">
        <f t="shared" si="188"/>
        <v>8205.6923607882181</v>
      </c>
      <c r="BW63" s="266">
        <f t="shared" si="188"/>
        <v>8219.3685147228662</v>
      </c>
      <c r="BX63" s="266">
        <f t="shared" si="188"/>
        <v>8233.0674622474035</v>
      </c>
      <c r="BY63" s="266">
        <f t="shared" si="188"/>
        <v>8246.789241351149</v>
      </c>
      <c r="BZ63" s="266">
        <f t="shared" si="188"/>
        <v>8260.5338900867355</v>
      </c>
      <c r="CA63" s="266">
        <f t="shared" si="188"/>
        <v>8274.3014465702126</v>
      </c>
      <c r="CB63" s="266">
        <f t="shared" si="188"/>
        <v>8288.091948981164</v>
      </c>
      <c r="CC63" s="266">
        <f t="shared" si="188"/>
        <v>8301.9054355627995</v>
      </c>
      <c r="CD63" s="266">
        <f t="shared" si="188"/>
        <v>8315.741944622072</v>
      </c>
      <c r="CE63" s="266">
        <f t="shared" si="188"/>
        <v>8329.6015145297752</v>
      </c>
      <c r="CF63" s="266">
        <f t="shared" si="188"/>
        <v>8343.4841837206586</v>
      </c>
      <c r="CG63" s="266">
        <f t="shared" si="188"/>
        <v>8357.3899906935276</v>
      </c>
      <c r="CH63" s="266">
        <f t="shared" si="188"/>
        <v>8371.3189740113503</v>
      </c>
      <c r="CI63" s="266">
        <f t="shared" si="188"/>
        <v>8385.271172301369</v>
      </c>
      <c r="CJ63" s="266">
        <f t="shared" si="188"/>
        <v>8399.2466242552036</v>
      </c>
      <c r="CK63" s="266">
        <f t="shared" si="188"/>
        <v>8413.2453686289628</v>
      </c>
      <c r="CL63" s="266">
        <f t="shared" si="188"/>
        <v>8427.2674442433454</v>
      </c>
      <c r="CM63" s="266">
        <f t="shared" si="188"/>
        <v>8441.312889983752</v>
      </c>
      <c r="CN63" s="266">
        <f t="shared" si="188"/>
        <v>8455.381744800392</v>
      </c>
      <c r="CO63" s="266">
        <f t="shared" si="188"/>
        <v>8469.4740477083924</v>
      </c>
      <c r="CP63" s="266">
        <f t="shared" si="188"/>
        <v>8483.5898377879057</v>
      </c>
      <c r="CQ63" s="266">
        <f t="shared" si="188"/>
        <v>8497.7291541842205</v>
      </c>
      <c r="CR63" s="266">
        <f t="shared" si="188"/>
        <v>8511.8920361078599</v>
      </c>
      <c r="CS63" s="266">
        <f t="shared" si="188"/>
        <v>8526.0785228347067</v>
      </c>
      <c r="CT63" s="266">
        <f t="shared" si="188"/>
        <v>8540.2886537060986</v>
      </c>
      <c r="CU63" s="266">
        <f t="shared" si="188"/>
        <v>8554.5224681289419</v>
      </c>
      <c r="CV63" s="266">
        <f t="shared" si="188"/>
        <v>8568.7800055758253</v>
      </c>
      <c r="CW63" s="266">
        <f t="shared" si="188"/>
        <v>8583.0613055851172</v>
      </c>
      <c r="CX63" s="266">
        <f t="shared" si="188"/>
        <v>8597.3664077610938</v>
      </c>
      <c r="CY63" s="266">
        <f t="shared" si="188"/>
        <v>8611.6953517740294</v>
      </c>
      <c r="CZ63" s="266">
        <f t="shared" si="188"/>
        <v>8626.0481773603206</v>
      </c>
      <c r="DA63" s="266">
        <f t="shared" si="188"/>
        <v>8640.4249243225877</v>
      </c>
      <c r="DB63" s="266">
        <f t="shared" si="188"/>
        <v>8654.8256325297916</v>
      </c>
      <c r="DC63" s="266">
        <f t="shared" si="188"/>
        <v>8669.2503419173408</v>
      </c>
      <c r="DD63" s="266">
        <f t="shared" si="188"/>
        <v>8683.6990924872043</v>
      </c>
      <c r="DE63" s="266">
        <f t="shared" si="188"/>
        <v>8698.171924308017</v>
      </c>
      <c r="DF63" s="266">
        <f t="shared" si="188"/>
        <v>8712.6688775151961</v>
      </c>
      <c r="DG63" s="266">
        <f t="shared" si="188"/>
        <v>8727.1899923110559</v>
      </c>
      <c r="DH63" s="266">
        <f t="shared" si="188"/>
        <v>8741.7353089649077</v>
      </c>
      <c r="DI63" s="266">
        <f t="shared" si="188"/>
        <v>8756.3048678131836</v>
      </c>
      <c r="DJ63" s="266">
        <f t="shared" si="188"/>
        <v>8770.8987092595398</v>
      </c>
      <c r="DK63" s="266">
        <f t="shared" si="188"/>
        <v>8785.5168737749718</v>
      </c>
      <c r="DL63" s="266">
        <f t="shared" si="188"/>
        <v>8800.1594018979322</v>
      </c>
      <c r="DM63" s="266">
        <f t="shared" si="188"/>
        <v>8814.8263342344271</v>
      </c>
      <c r="DN63" s="266">
        <f t="shared" si="188"/>
        <v>8829.5177114581529</v>
      </c>
      <c r="DO63" s="266">
        <f t="shared" si="188"/>
        <v>8844.2335743105832</v>
      </c>
      <c r="DP63" s="266">
        <f t="shared" si="188"/>
        <v>8858.9739636011018</v>
      </c>
      <c r="DQ63" s="266">
        <f t="shared" si="188"/>
        <v>8873.7389202071026</v>
      </c>
      <c r="DR63" s="266">
        <f t="shared" si="188"/>
        <v>8888.5284850741155</v>
      </c>
      <c r="DS63" s="266">
        <f t="shared" si="188"/>
        <v>8903.3426992159057</v>
      </c>
      <c r="DT63" s="266">
        <f t="shared" si="188"/>
        <v>8918.1816037146</v>
      </c>
      <c r="DU63" s="266">
        <f t="shared" si="188"/>
        <v>8933.0452397207919</v>
      </c>
      <c r="DV63" s="266">
        <f t="shared" si="188"/>
        <v>8947.933648453658</v>
      </c>
      <c r="DW63" s="266">
        <f t="shared" si="188"/>
        <v>8962.8468712010817</v>
      </c>
      <c r="DX63" s="266">
        <f t="shared" si="188"/>
        <v>8977.78494931975</v>
      </c>
      <c r="DY63" s="266">
        <f t="shared" si="188"/>
        <v>8992.7479242352838</v>
      </c>
      <c r="DZ63" s="266">
        <f t="shared" si="188"/>
        <v>9007.735837442342</v>
      </c>
      <c r="EA63" s="266">
        <f t="shared" si="188"/>
        <v>9022.7487305047471</v>
      </c>
      <c r="EB63" s="266">
        <f t="shared" si="188"/>
        <v>9037.7866450555885</v>
      </c>
      <c r="EC63" s="266">
        <f t="shared" si="188"/>
        <v>9052.8496227973483</v>
      </c>
      <c r="ED63" s="266">
        <f t="shared" si="188"/>
        <v>9067.9377055020122</v>
      </c>
      <c r="EE63" s="266">
        <f t="shared" si="188"/>
        <v>9083.0509350111824</v>
      </c>
      <c r="EF63" s="266">
        <f t="shared" si="188"/>
        <v>9098.189353236201</v>
      </c>
      <c r="EG63" s="266">
        <f t="shared" si="188"/>
        <v>9113.3530021582628</v>
      </c>
      <c r="EH63" s="266">
        <f t="shared" si="189"/>
        <v>9128.5419238285267</v>
      </c>
      <c r="EI63" s="266">
        <f t="shared" si="189"/>
        <v>9143.7561603682407</v>
      </c>
      <c r="EJ63" s="266">
        <f t="shared" si="189"/>
        <v>9158.9957539688548</v>
      </c>
      <c r="EK63" s="8"/>
      <c r="EL63" s="12">
        <f t="shared" si="190"/>
        <v>0</v>
      </c>
      <c r="EM63" s="12">
        <f t="shared" si="190"/>
        <v>0</v>
      </c>
      <c r="EN63" s="12">
        <f t="shared" si="190"/>
        <v>27438.30294560218</v>
      </c>
      <c r="EO63" s="12">
        <f t="shared" si="190"/>
        <v>92050.9622630167</v>
      </c>
      <c r="EP63" s="12">
        <f t="shared" si="190"/>
        <v>94690.834685990354</v>
      </c>
      <c r="EQ63" s="12">
        <f t="shared" si="190"/>
        <v>96602.108173070665</v>
      </c>
      <c r="ER63" s="12">
        <f t="shared" si="190"/>
        <v>98551.959484018822</v>
      </c>
      <c r="ES63" s="12">
        <f t="shared" si="190"/>
        <v>100541.16728735322</v>
      </c>
      <c r="ET63" s="12">
        <f t="shared" si="190"/>
        <v>102570.52596851451</v>
      </c>
      <c r="EU63" s="12">
        <f t="shared" si="190"/>
        <v>104640.84594710173</v>
      </c>
      <c r="EV63" s="12">
        <f t="shared" si="190"/>
        <v>106752.95400051129</v>
      </c>
      <c r="EW63" s="12">
        <f t="shared" si="190"/>
        <v>108907.6935941086</v>
      </c>
    </row>
    <row r="64" spans="2:153" x14ac:dyDescent="0.4">
      <c r="B64" s="40" t="s">
        <v>31</v>
      </c>
      <c r="C64" s="41"/>
      <c r="D64" s="41"/>
      <c r="E64" s="58"/>
      <c r="F64" s="219">
        <f>SUM(F61:F63)</f>
        <v>740833.44429343694</v>
      </c>
      <c r="G64" s="220"/>
      <c r="H64" s="220"/>
      <c r="I64" s="219">
        <f>SUM(I61:I63)</f>
        <v>0</v>
      </c>
      <c r="J64" s="219">
        <f t="shared" ref="J64:BU64" si="193">SUM(J61:J63)</f>
        <v>0</v>
      </c>
      <c r="K64" s="219">
        <f t="shared" si="193"/>
        <v>0</v>
      </c>
      <c r="L64" s="219">
        <f t="shared" si="193"/>
        <v>0</v>
      </c>
      <c r="M64" s="219">
        <f t="shared" si="193"/>
        <v>0</v>
      </c>
      <c r="N64" s="219">
        <f t="shared" si="193"/>
        <v>0</v>
      </c>
      <c r="O64" s="219">
        <f t="shared" si="193"/>
        <v>0</v>
      </c>
      <c r="P64" s="219">
        <f t="shared" si="193"/>
        <v>0</v>
      </c>
      <c r="Q64" s="219">
        <f t="shared" si="193"/>
        <v>0</v>
      </c>
      <c r="R64" s="219">
        <f t="shared" si="193"/>
        <v>0</v>
      </c>
      <c r="S64" s="219">
        <f t="shared" si="193"/>
        <v>0</v>
      </c>
      <c r="T64" s="219">
        <f t="shared" si="193"/>
        <v>0</v>
      </c>
      <c r="U64" s="219">
        <f t="shared" si="193"/>
        <v>0</v>
      </c>
      <c r="V64" s="219">
        <f t="shared" si="193"/>
        <v>0</v>
      </c>
      <c r="W64" s="219">
        <f t="shared" si="193"/>
        <v>0</v>
      </c>
      <c r="X64" s="219">
        <f t="shared" si="193"/>
        <v>0</v>
      </c>
      <c r="Y64" s="219">
        <f t="shared" si="193"/>
        <v>4688.8793821239033</v>
      </c>
      <c r="Z64" s="219">
        <f t="shared" si="193"/>
        <v>9393.3883621882196</v>
      </c>
      <c r="AA64" s="219">
        <f t="shared" si="193"/>
        <v>14113.5660141878</v>
      </c>
      <c r="AB64" s="219">
        <f t="shared" si="193"/>
        <v>18849.451498948598</v>
      </c>
      <c r="AC64" s="219">
        <f t="shared" si="193"/>
        <v>23601.084064308558</v>
      </c>
      <c r="AD64" s="219">
        <f t="shared" si="193"/>
        <v>28368.503045298887</v>
      </c>
      <c r="AE64" s="219">
        <f t="shared" si="193"/>
        <v>33151.747864325676</v>
      </c>
      <c r="AF64" s="219">
        <f t="shared" si="193"/>
        <v>37950.858031351876</v>
      </c>
      <c r="AG64" s="219">
        <f t="shared" si="193"/>
        <v>42765.87314407964</v>
      </c>
      <c r="AH64" s="219">
        <f t="shared" si="193"/>
        <v>47596.832888133082</v>
      </c>
      <c r="AI64" s="219">
        <f t="shared" si="193"/>
        <v>47676.160942946641</v>
      </c>
      <c r="AJ64" s="219">
        <f t="shared" si="193"/>
        <v>47755.621211184887</v>
      </c>
      <c r="AK64" s="219">
        <f t="shared" si="193"/>
        <v>47835.213913203523</v>
      </c>
      <c r="AL64" s="219">
        <f t="shared" si="193"/>
        <v>47914.939269725539</v>
      </c>
      <c r="AM64" s="219">
        <f t="shared" si="193"/>
        <v>47994.797501841749</v>
      </c>
      <c r="AN64" s="219">
        <f t="shared" si="193"/>
        <v>48074.788831011487</v>
      </c>
      <c r="AO64" s="219">
        <f t="shared" si="193"/>
        <v>48154.913479063165</v>
      </c>
      <c r="AP64" s="219">
        <f t="shared" si="193"/>
        <v>48235.171668194947</v>
      </c>
      <c r="AQ64" s="219">
        <f t="shared" si="193"/>
        <v>48315.56362097527</v>
      </c>
      <c r="AR64" s="219">
        <f t="shared" si="193"/>
        <v>48396.089560343571</v>
      </c>
      <c r="AS64" s="219">
        <f t="shared" si="193"/>
        <v>48476.749709610805</v>
      </c>
      <c r="AT64" s="219">
        <f t="shared" si="193"/>
        <v>48557.544292460167</v>
      </c>
      <c r="AU64" s="219">
        <f t="shared" si="193"/>
        <v>48638.473532947595</v>
      </c>
      <c r="AV64" s="219">
        <f t="shared" si="193"/>
        <v>48719.537655502514</v>
      </c>
      <c r="AW64" s="219">
        <f t="shared" si="193"/>
        <v>48800.736884928345</v>
      </c>
      <c r="AX64" s="219">
        <f t="shared" si="193"/>
        <v>48882.071446403235</v>
      </c>
      <c r="AY64" s="219">
        <f t="shared" si="193"/>
        <v>48963.541565480569</v>
      </c>
      <c r="AZ64" s="219">
        <f t="shared" si="193"/>
        <v>49045.147468089708</v>
      </c>
      <c r="BA64" s="219">
        <f t="shared" si="193"/>
        <v>49126.889380536522</v>
      </c>
      <c r="BB64" s="219">
        <f t="shared" si="193"/>
        <v>49208.76752950409</v>
      </c>
      <c r="BC64" s="219">
        <f t="shared" si="193"/>
        <v>49290.782142053264</v>
      </c>
      <c r="BD64" s="219">
        <f t="shared" si="193"/>
        <v>49372.933445623363</v>
      </c>
      <c r="BE64" s="219">
        <f t="shared" si="193"/>
        <v>49455.221668032733</v>
      </c>
      <c r="BF64" s="219">
        <f t="shared" si="193"/>
        <v>49537.647037479459</v>
      </c>
      <c r="BG64" s="219">
        <f t="shared" si="193"/>
        <v>49620.209782541933</v>
      </c>
      <c r="BH64" s="219">
        <f t="shared" si="193"/>
        <v>49702.910132179502</v>
      </c>
      <c r="BI64" s="219">
        <f t="shared" si="193"/>
        <v>49785.74831573313</v>
      </c>
      <c r="BJ64" s="219">
        <f t="shared" si="193"/>
        <v>49868.724562926029</v>
      </c>
      <c r="BK64" s="219">
        <f t="shared" si="193"/>
        <v>49951.839103864237</v>
      </c>
      <c r="BL64" s="219">
        <f t="shared" si="193"/>
        <v>50035.092169037343</v>
      </c>
      <c r="BM64" s="219">
        <f t="shared" si="193"/>
        <v>50118.483989319073</v>
      </c>
      <c r="BN64" s="219">
        <f t="shared" si="193"/>
        <v>50202.014795967945</v>
      </c>
      <c r="BO64" s="219">
        <f t="shared" si="193"/>
        <v>50285.684820627888</v>
      </c>
      <c r="BP64" s="219">
        <f t="shared" si="193"/>
        <v>50369.494295328936</v>
      </c>
      <c r="BQ64" s="219">
        <f t="shared" si="193"/>
        <v>50453.443452487816</v>
      </c>
      <c r="BR64" s="219">
        <f t="shared" si="193"/>
        <v>50537.532524908631</v>
      </c>
      <c r="BS64" s="219">
        <f t="shared" si="193"/>
        <v>50621.761745783486</v>
      </c>
      <c r="BT64" s="219">
        <f t="shared" si="193"/>
        <v>50706.131348693118</v>
      </c>
      <c r="BU64" s="219">
        <f t="shared" si="193"/>
        <v>50790.641567607614</v>
      </c>
      <c r="BV64" s="219">
        <f t="shared" ref="BV64:EG64" si="194">SUM(BV61:BV63)</f>
        <v>50875.292636886959</v>
      </c>
      <c r="BW64" s="219">
        <f t="shared" si="194"/>
        <v>50960.084791281777</v>
      </c>
      <c r="BX64" s="219">
        <f t="shared" si="194"/>
        <v>51045.018265933904</v>
      </c>
      <c r="BY64" s="219">
        <f t="shared" si="194"/>
        <v>51130.093296377134</v>
      </c>
      <c r="BZ64" s="219">
        <f t="shared" si="194"/>
        <v>51215.31011853776</v>
      </c>
      <c r="CA64" s="219">
        <f t="shared" si="194"/>
        <v>51300.668968735321</v>
      </c>
      <c r="CB64" s="219">
        <f t="shared" si="194"/>
        <v>51386.170083683217</v>
      </c>
      <c r="CC64" s="219">
        <f t="shared" si="194"/>
        <v>51471.813700489365</v>
      </c>
      <c r="CD64" s="219">
        <f t="shared" si="194"/>
        <v>51557.600056656855</v>
      </c>
      <c r="CE64" s="219">
        <f t="shared" si="194"/>
        <v>51643.529390084615</v>
      </c>
      <c r="CF64" s="219">
        <f t="shared" si="194"/>
        <v>51729.601939068089</v>
      </c>
      <c r="CG64" s="219">
        <f t="shared" si="194"/>
        <v>51815.817942299873</v>
      </c>
      <c r="CH64" s="219">
        <f t="shared" si="194"/>
        <v>51902.17763887038</v>
      </c>
      <c r="CI64" s="219">
        <f t="shared" si="194"/>
        <v>51988.68126826849</v>
      </c>
      <c r="CJ64" s="219">
        <f t="shared" si="194"/>
        <v>52075.329070382271</v>
      </c>
      <c r="CK64" s="219">
        <f t="shared" si="194"/>
        <v>52162.121285499568</v>
      </c>
      <c r="CL64" s="219">
        <f t="shared" si="194"/>
        <v>52249.058154308746</v>
      </c>
      <c r="CM64" s="219">
        <f t="shared" si="194"/>
        <v>52336.139917899265</v>
      </c>
      <c r="CN64" s="219">
        <f t="shared" si="194"/>
        <v>52423.366817762428</v>
      </c>
      <c r="CO64" s="219">
        <f t="shared" si="194"/>
        <v>52510.739095792036</v>
      </c>
      <c r="CP64" s="219">
        <f t="shared" si="194"/>
        <v>52598.256994285024</v>
      </c>
      <c r="CQ64" s="219">
        <f t="shared" si="194"/>
        <v>52685.92075594217</v>
      </c>
      <c r="CR64" s="219">
        <f t="shared" si="194"/>
        <v>52773.730623868745</v>
      </c>
      <c r="CS64" s="219">
        <f t="shared" si="194"/>
        <v>52861.686841575189</v>
      </c>
      <c r="CT64" s="219">
        <f t="shared" si="194"/>
        <v>52949.789652977815</v>
      </c>
      <c r="CU64" s="219">
        <f t="shared" si="194"/>
        <v>53038.039302399447</v>
      </c>
      <c r="CV64" s="219">
        <f t="shared" si="194"/>
        <v>53126.436034570128</v>
      </c>
      <c r="CW64" s="219">
        <f t="shared" si="194"/>
        <v>53214.980094627739</v>
      </c>
      <c r="CX64" s="219">
        <f t="shared" si="194"/>
        <v>53303.671728118788</v>
      </c>
      <c r="CY64" s="219">
        <f t="shared" si="194"/>
        <v>53392.51118099899</v>
      </c>
      <c r="CZ64" s="219">
        <f t="shared" si="194"/>
        <v>53481.498699633987</v>
      </c>
      <c r="DA64" s="219">
        <f t="shared" si="194"/>
        <v>53570.634530800045</v>
      </c>
      <c r="DB64" s="219">
        <f t="shared" si="194"/>
        <v>53659.918921684715</v>
      </c>
      <c r="DC64" s="219">
        <f t="shared" si="194"/>
        <v>53749.352119887524</v>
      </c>
      <c r="DD64" s="219">
        <f t="shared" si="194"/>
        <v>53838.934373420678</v>
      </c>
      <c r="DE64" s="219">
        <f t="shared" si="194"/>
        <v>53928.665930709707</v>
      </c>
      <c r="DF64" s="219">
        <f t="shared" si="194"/>
        <v>54018.547040594218</v>
      </c>
      <c r="DG64" s="219">
        <f t="shared" si="194"/>
        <v>54108.577952328553</v>
      </c>
      <c r="DH64" s="219">
        <f t="shared" si="194"/>
        <v>54198.758915582439</v>
      </c>
      <c r="DI64" s="219">
        <f t="shared" si="194"/>
        <v>54289.090180441744</v>
      </c>
      <c r="DJ64" s="219">
        <f t="shared" si="194"/>
        <v>54379.571997409155</v>
      </c>
      <c r="DK64" s="219">
        <f t="shared" si="194"/>
        <v>54470.20461740483</v>
      </c>
      <c r="DL64" s="219">
        <f t="shared" si="194"/>
        <v>54560.988291767178</v>
      </c>
      <c r="DM64" s="219">
        <f t="shared" si="194"/>
        <v>54651.923272253451</v>
      </c>
      <c r="DN64" s="219">
        <f t="shared" si="194"/>
        <v>54743.009811040552</v>
      </c>
      <c r="DO64" s="219">
        <f t="shared" si="194"/>
        <v>54834.24816072562</v>
      </c>
      <c r="DP64" s="219">
        <f t="shared" si="194"/>
        <v>54925.638574326833</v>
      </c>
      <c r="DQ64" s="219">
        <f t="shared" si="194"/>
        <v>55017.181305284044</v>
      </c>
      <c r="DR64" s="219">
        <f t="shared" si="194"/>
        <v>55108.876607459519</v>
      </c>
      <c r="DS64" s="219">
        <f t="shared" si="194"/>
        <v>55200.724735138618</v>
      </c>
      <c r="DT64" s="219">
        <f t="shared" si="194"/>
        <v>55292.72594303052</v>
      </c>
      <c r="DU64" s="219">
        <f t="shared" si="194"/>
        <v>55384.880486268914</v>
      </c>
      <c r="DV64" s="219">
        <f t="shared" si="194"/>
        <v>55477.188620412693</v>
      </c>
      <c r="DW64" s="219">
        <f t="shared" si="194"/>
        <v>55569.650601446709</v>
      </c>
      <c r="DX64" s="219">
        <f t="shared" si="194"/>
        <v>55662.266685782459</v>
      </c>
      <c r="DY64" s="219">
        <f t="shared" si="194"/>
        <v>55755.037130258766</v>
      </c>
      <c r="DZ64" s="219">
        <f t="shared" si="194"/>
        <v>55847.962192142528</v>
      </c>
      <c r="EA64" s="219">
        <f t="shared" si="194"/>
        <v>55941.042129129441</v>
      </c>
      <c r="EB64" s="219">
        <f t="shared" si="194"/>
        <v>56034.277199344659</v>
      </c>
      <c r="EC64" s="219">
        <f t="shared" si="194"/>
        <v>56127.66766134357</v>
      </c>
      <c r="ED64" s="219">
        <f t="shared" si="194"/>
        <v>56221.21377411249</v>
      </c>
      <c r="EE64" s="219">
        <f t="shared" si="194"/>
        <v>56314.915797069334</v>
      </c>
      <c r="EF64" s="219">
        <f t="shared" si="194"/>
        <v>56408.773990064452</v>
      </c>
      <c r="EG64" s="219">
        <f t="shared" si="194"/>
        <v>56502.788613381235</v>
      </c>
      <c r="EH64" s="219">
        <f>SUM(EH61:EH63)</f>
        <v>56596.959927736869</v>
      </c>
      <c r="EI64" s="219">
        <f>SUM(EI61:EI63)</f>
        <v>56691.288194283101</v>
      </c>
      <c r="EJ64" s="219">
        <f>SUM(EJ61:EJ63)</f>
        <v>56785.773674606906</v>
      </c>
      <c r="EK64" s="118"/>
      <c r="EL64" s="219">
        <f t="shared" ref="EL64:EW64" si="195">SUM(EL61:EL63)</f>
        <v>0</v>
      </c>
      <c r="EM64" s="219">
        <f t="shared" si="195"/>
        <v>0</v>
      </c>
      <c r="EN64" s="219">
        <f t="shared" si="195"/>
        <v>170117.47826273352</v>
      </c>
      <c r="EO64" s="219">
        <f t="shared" si="195"/>
        <v>570715.96603070351</v>
      </c>
      <c r="EP64" s="219">
        <f t="shared" si="195"/>
        <v>587083.17505314015</v>
      </c>
      <c r="EQ64" s="219">
        <f t="shared" si="195"/>
        <v>598933.07067303825</v>
      </c>
      <c r="ER64" s="219">
        <f t="shared" si="195"/>
        <v>611022.14880091674</v>
      </c>
      <c r="ES64" s="219">
        <f t="shared" si="195"/>
        <v>623355.23718159006</v>
      </c>
      <c r="ET64" s="219">
        <f t="shared" si="195"/>
        <v>635937.26100479008</v>
      </c>
      <c r="EU64" s="219">
        <f t="shared" si="195"/>
        <v>648773.2448720308</v>
      </c>
      <c r="EV64" s="219">
        <f t="shared" si="195"/>
        <v>661868.31480317004</v>
      </c>
      <c r="EW64" s="219">
        <f t="shared" si="195"/>
        <v>675227.70028347336</v>
      </c>
    </row>
    <row r="66" spans="2:153" x14ac:dyDescent="0.4">
      <c r="B66" s="42" t="s">
        <v>32</v>
      </c>
      <c r="C66" s="43"/>
      <c r="D66" s="43"/>
      <c r="E66" s="44"/>
      <c r="F66" s="221">
        <f>F55+F64</f>
        <v>6863039.1548427641</v>
      </c>
      <c r="G66" s="222"/>
      <c r="H66" s="222"/>
      <c r="I66" s="221">
        <f>I55+I64</f>
        <v>0</v>
      </c>
      <c r="J66" s="221">
        <f t="shared" ref="J66:AF66" si="196">J55+J64</f>
        <v>0</v>
      </c>
      <c r="K66" s="221">
        <f t="shared" si="196"/>
        <v>0</v>
      </c>
      <c r="L66" s="221">
        <f t="shared" si="196"/>
        <v>0</v>
      </c>
      <c r="M66" s="221">
        <f t="shared" si="196"/>
        <v>0</v>
      </c>
      <c r="N66" s="221">
        <f t="shared" si="196"/>
        <v>0</v>
      </c>
      <c r="O66" s="221">
        <f t="shared" si="196"/>
        <v>0</v>
      </c>
      <c r="P66" s="221">
        <f t="shared" si="196"/>
        <v>0</v>
      </c>
      <c r="Q66" s="221">
        <f t="shared" si="196"/>
        <v>0</v>
      </c>
      <c r="R66" s="221">
        <f t="shared" si="196"/>
        <v>0</v>
      </c>
      <c r="S66" s="221">
        <f t="shared" si="196"/>
        <v>0</v>
      </c>
      <c r="T66" s="221">
        <f t="shared" si="196"/>
        <v>0</v>
      </c>
      <c r="U66" s="221">
        <f t="shared" si="196"/>
        <v>0</v>
      </c>
      <c r="V66" s="221">
        <f t="shared" si="196"/>
        <v>0</v>
      </c>
      <c r="W66" s="221">
        <f t="shared" si="196"/>
        <v>0</v>
      </c>
      <c r="X66" s="221">
        <f t="shared" si="196"/>
        <v>0</v>
      </c>
      <c r="Y66" s="221">
        <f t="shared" si="196"/>
        <v>41522.547831600772</v>
      </c>
      <c r="Z66" s="221">
        <f t="shared" si="196"/>
        <v>83183.504155973555</v>
      </c>
      <c r="AA66" s="221">
        <f t="shared" si="196"/>
        <v>124983.21499435029</v>
      </c>
      <c r="AB66" s="221">
        <f t="shared" si="196"/>
        <v>166922.02713689892</v>
      </c>
      <c r="AC66" s="221">
        <f t="shared" si="196"/>
        <v>209000.28814432558</v>
      </c>
      <c r="AD66" s="221">
        <f t="shared" si="196"/>
        <v>251218.34634947934</v>
      </c>
      <c r="AE66" s="221">
        <f t="shared" si="196"/>
        <v>293576.55085896095</v>
      </c>
      <c r="AF66" s="221">
        <f t="shared" si="196"/>
        <v>336075.25155473442</v>
      </c>
      <c r="AG66" s="221">
        <f t="shared" ref="AG66:CR66" si="197">AG55+AG64</f>
        <v>386486.8459808664</v>
      </c>
      <c r="AH66" s="221">
        <f t="shared" si="197"/>
        <v>430463.80540910945</v>
      </c>
      <c r="AI66" s="221">
        <f t="shared" si="197"/>
        <v>431500.30089522549</v>
      </c>
      <c r="AJ66" s="221">
        <f t="shared" si="197"/>
        <v>432539.32151334436</v>
      </c>
      <c r="AK66" s="221">
        <f t="shared" si="197"/>
        <v>433580.87346611841</v>
      </c>
      <c r="AL66" s="221">
        <f t="shared" si="197"/>
        <v>434624.96297152265</v>
      </c>
      <c r="AM66" s="221">
        <f t="shared" si="197"/>
        <v>435671.59626289335</v>
      </c>
      <c r="AN66" s="221">
        <f t="shared" si="197"/>
        <v>472052.23329423432</v>
      </c>
      <c r="AO66" s="221">
        <f t="shared" si="197"/>
        <v>473192.30155344401</v>
      </c>
      <c r="AP66" s="221">
        <f t="shared" si="197"/>
        <v>474335.15321276168</v>
      </c>
      <c r="AQ66" s="221">
        <f t="shared" si="197"/>
        <v>475480.79511940351</v>
      </c>
      <c r="AR66" s="221">
        <f t="shared" si="197"/>
        <v>476629.23413751781</v>
      </c>
      <c r="AS66" s="221">
        <f t="shared" si="197"/>
        <v>477780.47714822798</v>
      </c>
      <c r="AT66" s="221">
        <f t="shared" si="197"/>
        <v>478934.53104967391</v>
      </c>
      <c r="AU66" s="221">
        <f t="shared" si="197"/>
        <v>480091.40275705431</v>
      </c>
      <c r="AV66" s="221">
        <f t="shared" si="197"/>
        <v>481251.09920266946</v>
      </c>
      <c r="AW66" s="221">
        <f t="shared" si="197"/>
        <v>482413.62733596325</v>
      </c>
      <c r="AX66" s="221">
        <f t="shared" si="197"/>
        <v>483578.99412356562</v>
      </c>
      <c r="AY66" s="221">
        <f t="shared" si="197"/>
        <v>484747.20654933591</v>
      </c>
      <c r="AZ66" s="221">
        <f t="shared" si="197"/>
        <v>485918.27161440469</v>
      </c>
      <c r="BA66" s="221">
        <f t="shared" si="197"/>
        <v>487092.19633721717</v>
      </c>
      <c r="BB66" s="221">
        <f t="shared" si="197"/>
        <v>488268.98775357648</v>
      </c>
      <c r="BC66" s="221">
        <f t="shared" si="197"/>
        <v>489448.65291668579</v>
      </c>
      <c r="BD66" s="221">
        <f t="shared" si="197"/>
        <v>490631.19889719243</v>
      </c>
      <c r="BE66" s="221">
        <f t="shared" si="197"/>
        <v>491816.63278323074</v>
      </c>
      <c r="BF66" s="221">
        <f t="shared" si="197"/>
        <v>493004.96168046532</v>
      </c>
      <c r="BG66" s="221">
        <f t="shared" si="197"/>
        <v>494196.19271213526</v>
      </c>
      <c r="BH66" s="221">
        <f t="shared" si="197"/>
        <v>495390.33301909681</v>
      </c>
      <c r="BI66" s="221">
        <f t="shared" si="197"/>
        <v>496587.3897598678</v>
      </c>
      <c r="BJ66" s="221">
        <f t="shared" si="197"/>
        <v>497787.37011067092</v>
      </c>
      <c r="BK66" s="221">
        <f t="shared" si="197"/>
        <v>498990.28126547841</v>
      </c>
      <c r="BL66" s="221">
        <f t="shared" si="197"/>
        <v>500196.1304360556</v>
      </c>
      <c r="BM66" s="221">
        <f t="shared" si="197"/>
        <v>501404.9248520048</v>
      </c>
      <c r="BN66" s="221">
        <f t="shared" si="197"/>
        <v>502616.67176081042</v>
      </c>
      <c r="BO66" s="221">
        <f t="shared" si="197"/>
        <v>503831.3784278825</v>
      </c>
      <c r="BP66" s="221">
        <f t="shared" si="197"/>
        <v>505049.05213660159</v>
      </c>
      <c r="BQ66" s="221">
        <f t="shared" si="197"/>
        <v>506269.70018836367</v>
      </c>
      <c r="BR66" s="221">
        <f t="shared" si="197"/>
        <v>507493.32990262413</v>
      </c>
      <c r="BS66" s="221">
        <f t="shared" si="197"/>
        <v>508719.94861694332</v>
      </c>
      <c r="BT66" s="221">
        <f t="shared" si="197"/>
        <v>509949.56368703075</v>
      </c>
      <c r="BU66" s="221">
        <f t="shared" si="197"/>
        <v>511182.18248679116</v>
      </c>
      <c r="BV66" s="221">
        <f t="shared" si="197"/>
        <v>512417.81240836839</v>
      </c>
      <c r="BW66" s="221">
        <f t="shared" si="197"/>
        <v>513656.46086219186</v>
      </c>
      <c r="BX66" s="221">
        <f t="shared" si="197"/>
        <v>514898.13527702127</v>
      </c>
      <c r="BY66" s="221">
        <f t="shared" si="197"/>
        <v>516142.84309999214</v>
      </c>
      <c r="BZ66" s="221">
        <f t="shared" si="197"/>
        <v>517390.59179666184</v>
      </c>
      <c r="CA66" s="221">
        <f t="shared" si="197"/>
        <v>518641.38885105465</v>
      </c>
      <c r="CB66" s="221">
        <f t="shared" si="197"/>
        <v>519895.24176570826</v>
      </c>
      <c r="CC66" s="221">
        <f t="shared" si="197"/>
        <v>521152.1580617195</v>
      </c>
      <c r="CD66" s="221">
        <f t="shared" si="197"/>
        <v>522412.14527879009</v>
      </c>
      <c r="CE66" s="221">
        <f t="shared" si="197"/>
        <v>523675.2109752731</v>
      </c>
      <c r="CF66" s="221">
        <f t="shared" si="197"/>
        <v>524941.3627282196</v>
      </c>
      <c r="CG66" s="221">
        <f t="shared" si="197"/>
        <v>526210.60813342419</v>
      </c>
      <c r="CH66" s="221">
        <f t="shared" si="197"/>
        <v>527482.95480547252</v>
      </c>
      <c r="CI66" s="221">
        <f t="shared" si="197"/>
        <v>528758.41037778708</v>
      </c>
      <c r="CJ66" s="221">
        <f t="shared" si="197"/>
        <v>530036.98250267457</v>
      </c>
      <c r="CK66" s="221">
        <f t="shared" si="197"/>
        <v>531318.67885137256</v>
      </c>
      <c r="CL66" s="221">
        <f t="shared" si="197"/>
        <v>532603.50711409643</v>
      </c>
      <c r="CM66" s="221">
        <f t="shared" si="197"/>
        <v>533891.47500008647</v>
      </c>
      <c r="CN66" s="221">
        <f t="shared" si="197"/>
        <v>535182.59023765509</v>
      </c>
      <c r="CO66" s="221">
        <f t="shared" si="197"/>
        <v>536476.86057423439</v>
      </c>
      <c r="CP66" s="221">
        <f t="shared" si="197"/>
        <v>537774.29377642344</v>
      </c>
      <c r="CQ66" s="221">
        <f t="shared" si="197"/>
        <v>539074.89763003588</v>
      </c>
      <c r="CR66" s="221">
        <f t="shared" si="197"/>
        <v>540378.67994014767</v>
      </c>
      <c r="CS66" s="221">
        <f t="shared" ref="CS66:EW66" si="198">CS55+CS64</f>
        <v>541685.64853114483</v>
      </c>
      <c r="CT66" s="221">
        <f t="shared" si="198"/>
        <v>542995.81124677137</v>
      </c>
      <c r="CU66" s="221">
        <f t="shared" si="198"/>
        <v>544309.17595017748</v>
      </c>
      <c r="CV66" s="221">
        <f t="shared" si="198"/>
        <v>545625.75052396755</v>
      </c>
      <c r="CW66" s="221">
        <f t="shared" si="198"/>
        <v>546945.54287024855</v>
      </c>
      <c r="CX66" s="221">
        <f t="shared" si="198"/>
        <v>548268.5609106787</v>
      </c>
      <c r="CY66" s="221">
        <f t="shared" si="198"/>
        <v>549594.81258651533</v>
      </c>
      <c r="CZ66" s="221">
        <f t="shared" si="198"/>
        <v>550924.3058586641</v>
      </c>
      <c r="DA66" s="221">
        <f t="shared" si="198"/>
        <v>552257.04870772758</v>
      </c>
      <c r="DB66" s="221">
        <f t="shared" si="198"/>
        <v>553593.04913405445</v>
      </c>
      <c r="DC66" s="221">
        <f t="shared" si="198"/>
        <v>554932.31515778822</v>
      </c>
      <c r="DD66" s="221">
        <f t="shared" si="198"/>
        <v>556274.85481891618</v>
      </c>
      <c r="DE66" s="221">
        <f t="shared" si="198"/>
        <v>557620.67617731879</v>
      </c>
      <c r="DF66" s="221">
        <f t="shared" si="198"/>
        <v>558969.78731281986</v>
      </c>
      <c r="DG66" s="221">
        <f t="shared" si="198"/>
        <v>560322.19632523472</v>
      </c>
      <c r="DH66" s="221">
        <f t="shared" si="198"/>
        <v>561677.9113344209</v>
      </c>
      <c r="DI66" s="221">
        <f t="shared" si="198"/>
        <v>563036.94048032723</v>
      </c>
      <c r="DJ66" s="221">
        <f t="shared" si="198"/>
        <v>564399.29192304425</v>
      </c>
      <c r="DK66" s="221">
        <f t="shared" si="198"/>
        <v>565764.97384285403</v>
      </c>
      <c r="DL66" s="221">
        <f t="shared" si="198"/>
        <v>567133.99444028002</v>
      </c>
      <c r="DM66" s="221">
        <f t="shared" si="198"/>
        <v>568506.36193613743</v>
      </c>
      <c r="DN66" s="221">
        <f t="shared" si="198"/>
        <v>569882.08457158436</v>
      </c>
      <c r="DO66" s="221">
        <f t="shared" si="198"/>
        <v>571261.17060817068</v>
      </c>
      <c r="DP66" s="221">
        <f t="shared" si="198"/>
        <v>572643.62832789042</v>
      </c>
      <c r="DQ66" s="221">
        <f t="shared" si="198"/>
        <v>574029.4660332317</v>
      </c>
      <c r="DR66" s="221">
        <f t="shared" si="198"/>
        <v>575418.69204722694</v>
      </c>
      <c r="DS66" s="221">
        <f t="shared" si="198"/>
        <v>576811.31471350533</v>
      </c>
      <c r="DT66" s="221">
        <f t="shared" si="198"/>
        <v>578207.34239634324</v>
      </c>
      <c r="DU66" s="221">
        <f t="shared" si="198"/>
        <v>579606.78348071489</v>
      </c>
      <c r="DV66" s="221">
        <f t="shared" si="198"/>
        <v>581009.64637234481</v>
      </c>
      <c r="DW66" s="221">
        <f t="shared" si="198"/>
        <v>582415.93949775863</v>
      </c>
      <c r="DX66" s="221">
        <f t="shared" si="198"/>
        <v>583825.67130433489</v>
      </c>
      <c r="DY66" s="221">
        <f t="shared" si="198"/>
        <v>585238.85026035761</v>
      </c>
      <c r="DZ66" s="221">
        <f t="shared" si="198"/>
        <v>586655.48485506652</v>
      </c>
      <c r="EA66" s="221">
        <f t="shared" si="198"/>
        <v>588075.58359871071</v>
      </c>
      <c r="EB66" s="221">
        <f t="shared" si="198"/>
        <v>589499.15502259997</v>
      </c>
      <c r="EC66" s="221">
        <f t="shared" si="198"/>
        <v>590926.20767915691</v>
      </c>
      <c r="ED66" s="221">
        <f t="shared" si="198"/>
        <v>592356.75014197035</v>
      </c>
      <c r="EE66" s="221">
        <f t="shared" si="198"/>
        <v>593790.7910058467</v>
      </c>
      <c r="EF66" s="221">
        <f t="shared" si="198"/>
        <v>595228.33888686378</v>
      </c>
      <c r="EG66" s="221">
        <f t="shared" si="198"/>
        <v>596669.40242242254</v>
      </c>
      <c r="EH66" s="221">
        <f t="shared" si="198"/>
        <v>598113.99027130089</v>
      </c>
      <c r="EI66" s="221">
        <f t="shared" si="198"/>
        <v>599562.11111370591</v>
      </c>
      <c r="EJ66" s="221">
        <f t="shared" si="198"/>
        <v>601013.77365132817</v>
      </c>
      <c r="EK66" s="118"/>
      <c r="EL66" s="221">
        <f t="shared" si="198"/>
        <v>0</v>
      </c>
      <c r="EM66" s="221">
        <f t="shared" si="198"/>
        <v>0</v>
      </c>
      <c r="EN66" s="221">
        <f t="shared" si="198"/>
        <v>1506481.731026324</v>
      </c>
      <c r="EO66" s="221">
        <f t="shared" si="198"/>
        <v>5356557.4238164416</v>
      </c>
      <c r="EP66" s="221">
        <f t="shared" si="198"/>
        <v>5810156.6456855675</v>
      </c>
      <c r="EQ66" s="221">
        <f t="shared" si="198"/>
        <v>5980871.3189443024</v>
      </c>
      <c r="ER66" s="221">
        <f t="shared" si="198"/>
        <v>6156657.1989427516</v>
      </c>
      <c r="ES66" s="221">
        <f t="shared" si="198"/>
        <v>6337666.0840665698</v>
      </c>
      <c r="ET66" s="221">
        <f t="shared" si="198"/>
        <v>6524054.3403990082</v>
      </c>
      <c r="EU66" s="221">
        <f t="shared" si="198"/>
        <v>6715983.0396547858</v>
      </c>
      <c r="EV66" s="221">
        <f t="shared" si="198"/>
        <v>6913618.1012892444</v>
      </c>
      <c r="EW66" s="221">
        <f t="shared" si="198"/>
        <v>7117130.4389093304</v>
      </c>
    </row>
    <row r="68" spans="2:153" x14ac:dyDescent="0.4">
      <c r="B68" s="10" t="s">
        <v>39</v>
      </c>
    </row>
    <row r="69" spans="2:153" x14ac:dyDescent="0.4">
      <c r="B69" s="61" t="s">
        <v>40</v>
      </c>
      <c r="E69" s="57"/>
      <c r="F69" s="14" cm="1">
        <f t="array" ref="F69">SUMPRODUCT(($H69:$EJ69)*($H$6:$EJ$6&lt;=$C$5))</f>
        <v>-239987.25235489858</v>
      </c>
      <c r="H69" s="12"/>
      <c r="I69" s="266">
        <f>-I32/12*I$22</f>
        <v>0</v>
      </c>
      <c r="J69" s="266">
        <f t="shared" ref="J69:BU70" si="199">-J32/12*J$22</f>
        <v>0</v>
      </c>
      <c r="K69" s="266">
        <f t="shared" si="199"/>
        <v>0</v>
      </c>
      <c r="L69" s="266">
        <f t="shared" si="199"/>
        <v>0</v>
      </c>
      <c r="M69" s="266">
        <f t="shared" si="199"/>
        <v>0</v>
      </c>
      <c r="N69" s="266">
        <f t="shared" si="199"/>
        <v>0</v>
      </c>
      <c r="O69" s="266">
        <f t="shared" si="199"/>
        <v>0</v>
      </c>
      <c r="P69" s="266">
        <f t="shared" si="199"/>
        <v>0</v>
      </c>
      <c r="Q69" s="266">
        <f t="shared" si="199"/>
        <v>0</v>
      </c>
      <c r="R69" s="266">
        <f t="shared" si="199"/>
        <v>0</v>
      </c>
      <c r="S69" s="266">
        <f t="shared" si="199"/>
        <v>0</v>
      </c>
      <c r="T69" s="266">
        <f t="shared" si="199"/>
        <v>0</v>
      </c>
      <c r="U69" s="266">
        <f t="shared" si="199"/>
        <v>0</v>
      </c>
      <c r="V69" s="266">
        <f t="shared" si="199"/>
        <v>0</v>
      </c>
      <c r="W69" s="266">
        <f t="shared" si="199"/>
        <v>0</v>
      </c>
      <c r="X69" s="266">
        <f t="shared" si="199"/>
        <v>0</v>
      </c>
      <c r="Y69" s="266">
        <f t="shared" si="199"/>
        <v>-1512.5417361690011</v>
      </c>
      <c r="Z69" s="266">
        <f t="shared" si="199"/>
        <v>-3030.1252781252324</v>
      </c>
      <c r="AA69" s="266">
        <f t="shared" si="199"/>
        <v>-4552.7632303831615</v>
      </c>
      <c r="AB69" s="266">
        <f t="shared" si="199"/>
        <v>-6080.4682254672889</v>
      </c>
      <c r="AC69" s="266">
        <f t="shared" si="199"/>
        <v>-7613.2529239705018</v>
      </c>
      <c r="AD69" s="266">
        <f t="shared" si="199"/>
        <v>-9151.1300146125432</v>
      </c>
      <c r="AE69" s="266">
        <f t="shared" si="199"/>
        <v>-10694.112214298602</v>
      </c>
      <c r="AF69" s="266">
        <f t="shared" si="199"/>
        <v>-12242.21226817802</v>
      </c>
      <c r="AG69" s="266">
        <f t="shared" si="199"/>
        <v>-13806.920023704522</v>
      </c>
      <c r="AH69" s="266">
        <f t="shared" si="199"/>
        <v>-15379.37480418198</v>
      </c>
      <c r="AI69" s="266">
        <f t="shared" si="199"/>
        <v>-15417.823241192435</v>
      </c>
      <c r="AJ69" s="266">
        <f t="shared" si="199"/>
        <v>-15456.367799295416</v>
      </c>
      <c r="AK69" s="266">
        <f t="shared" si="199"/>
        <v>-15495.008718793653</v>
      </c>
      <c r="AL69" s="266">
        <f t="shared" si="199"/>
        <v>-15533.746240590637</v>
      </c>
      <c r="AM69" s="266">
        <f t="shared" si="199"/>
        <v>-15572.580606192114</v>
      </c>
      <c r="AN69" s="266">
        <f t="shared" si="199"/>
        <v>-15611.512057707594</v>
      </c>
      <c r="AO69" s="266">
        <f t="shared" si="199"/>
        <v>-15650.540837851862</v>
      </c>
      <c r="AP69" s="266">
        <f t="shared" si="199"/>
        <v>-15689.667189946491</v>
      </c>
      <c r="AQ69" s="266">
        <f t="shared" si="199"/>
        <v>-15728.891357921355</v>
      </c>
      <c r="AR69" s="266">
        <f t="shared" si="199"/>
        <v>-15768.213586316158</v>
      </c>
      <c r="AS69" s="266">
        <f t="shared" si="199"/>
        <v>-15807.634120281949</v>
      </c>
      <c r="AT69" s="266">
        <f t="shared" si="199"/>
        <v>-15847.153205582654</v>
      </c>
      <c r="AU69" s="266">
        <f t="shared" si="199"/>
        <v>-15886.77108859661</v>
      </c>
      <c r="AV69" s="266">
        <f t="shared" si="199"/>
        <v>-15926.488016318101</v>
      </c>
      <c r="AW69" s="266">
        <f t="shared" si="199"/>
        <v>-15966.304236358894</v>
      </c>
      <c r="AX69" s="266">
        <f t="shared" si="199"/>
        <v>-16006.219996949789</v>
      </c>
      <c r="AY69" s="266">
        <f t="shared" si="199"/>
        <v>-16046.235546942162</v>
      </c>
      <c r="AZ69" s="266">
        <f t="shared" si="199"/>
        <v>-16086.351135809517</v>
      </c>
      <c r="BA69" s="266">
        <f t="shared" si="199"/>
        <v>-16126.567013649039</v>
      </c>
      <c r="BB69" s="266">
        <f t="shared" si="199"/>
        <v>-16166.883431183163</v>
      </c>
      <c r="BC69" s="266">
        <f t="shared" si="199"/>
        <v>-16207.300639761121</v>
      </c>
      <c r="BD69" s="266">
        <f t="shared" si="199"/>
        <v>-16247.818891360525</v>
      </c>
      <c r="BE69" s="266">
        <f t="shared" si="199"/>
        <v>-16288.438438588924</v>
      </c>
      <c r="BF69" s="266">
        <f t="shared" si="199"/>
        <v>-16329.159534685394</v>
      </c>
      <c r="BG69" s="266">
        <f t="shared" si="199"/>
        <v>-16369.982433522106</v>
      </c>
      <c r="BH69" s="266">
        <f t="shared" si="199"/>
        <v>-16410.907389605909</v>
      </c>
      <c r="BI69" s="266">
        <f t="shared" si="199"/>
        <v>-16451.934658079925</v>
      </c>
      <c r="BJ69" s="266">
        <f t="shared" si="199"/>
        <v>-16493.064494725124</v>
      </c>
      <c r="BK69" s="266">
        <f t="shared" si="199"/>
        <v>-16534.297155961936</v>
      </c>
      <c r="BL69" s="266">
        <f t="shared" si="199"/>
        <v>-16575.632898851843</v>
      </c>
      <c r="BM69" s="266">
        <f t="shared" si="199"/>
        <v>-16617.071981098972</v>
      </c>
      <c r="BN69" s="266">
        <f t="shared" si="199"/>
        <v>-16658.614661051717</v>
      </c>
      <c r="BO69" s="266">
        <f t="shared" si="199"/>
        <v>-16700.261197704349</v>
      </c>
      <c r="BP69" s="266">
        <f t="shared" si="199"/>
        <v>-16742.011850698607</v>
      </c>
      <c r="BQ69" s="266">
        <f t="shared" si="199"/>
        <v>-16783.866880325353</v>
      </c>
      <c r="BR69" s="266">
        <f t="shared" si="199"/>
        <v>-16825.826547526165</v>
      </c>
      <c r="BS69" s="266">
        <f t="shared" si="199"/>
        <v>-16867.891113894977</v>
      </c>
      <c r="BT69" s="266">
        <f t="shared" si="199"/>
        <v>-16910.060841679715</v>
      </c>
      <c r="BU69" s="266">
        <f t="shared" si="199"/>
        <v>-16952.335993783912</v>
      </c>
      <c r="BV69" s="266">
        <f t="shared" ref="BV69:EG72" si="200">-BV32/12*BV$22</f>
        <v>-16994.716833768372</v>
      </c>
      <c r="BW69" s="266">
        <f t="shared" si="200"/>
        <v>-17037.203625852795</v>
      </c>
      <c r="BX69" s="266">
        <f t="shared" si="200"/>
        <v>-17079.796634917428</v>
      </c>
      <c r="BY69" s="266">
        <f t="shared" si="200"/>
        <v>-17122.49612650472</v>
      </c>
      <c r="BZ69" s="266">
        <f t="shared" si="200"/>
        <v>-17165.302366820983</v>
      </c>
      <c r="CA69" s="266">
        <f t="shared" si="200"/>
        <v>-17208.215622738033</v>
      </c>
      <c r="CB69" s="266">
        <f t="shared" si="200"/>
        <v>-17251.236161794877</v>
      </c>
      <c r="CC69" s="266">
        <f t="shared" si="200"/>
        <v>-17294.364252199361</v>
      </c>
      <c r="CD69" s="266">
        <f t="shared" si="200"/>
        <v>-17337.600162829858</v>
      </c>
      <c r="CE69" s="266">
        <f t="shared" si="200"/>
        <v>-17380.944163236931</v>
      </c>
      <c r="CF69" s="266">
        <f t="shared" si="200"/>
        <v>-17424.396523645024</v>
      </c>
      <c r="CG69" s="266">
        <f t="shared" si="200"/>
        <v>-17467.957514954134</v>
      </c>
      <c r="CH69" s="266">
        <f t="shared" si="200"/>
        <v>-17511.627408741522</v>
      </c>
      <c r="CI69" s="266">
        <f t="shared" si="200"/>
        <v>-17555.406477263372</v>
      </c>
      <c r="CJ69" s="266">
        <f t="shared" si="200"/>
        <v>-17599.294993456529</v>
      </c>
      <c r="CK69" s="266">
        <f t="shared" si="200"/>
        <v>-17643.293230940169</v>
      </c>
      <c r="CL69" s="266">
        <f t="shared" si="200"/>
        <v>-17687.401464017523</v>
      </c>
      <c r="CM69" s="266">
        <f t="shared" si="200"/>
        <v>-17731.619967677561</v>
      </c>
      <c r="CN69" s="266">
        <f t="shared" si="200"/>
        <v>-17775.949017596755</v>
      </c>
      <c r="CO69" s="266">
        <f t="shared" si="200"/>
        <v>-17820.388890140744</v>
      </c>
      <c r="CP69" s="266">
        <f t="shared" si="200"/>
        <v>-17864.939862366096</v>
      </c>
      <c r="CQ69" s="266">
        <f t="shared" si="200"/>
        <v>-17909.602212022011</v>
      </c>
      <c r="CR69" s="266">
        <f t="shared" si="200"/>
        <v>-17954.376217552064</v>
      </c>
      <c r="CS69" s="266">
        <f t="shared" si="200"/>
        <v>-17999.262158095942</v>
      </c>
      <c r="CT69" s="266">
        <f t="shared" si="200"/>
        <v>-18044.260313491181</v>
      </c>
      <c r="CU69" s="266">
        <f t="shared" si="200"/>
        <v>-18089.370964274909</v>
      </c>
      <c r="CV69" s="266">
        <f t="shared" si="200"/>
        <v>-18134.594391685598</v>
      </c>
      <c r="CW69" s="266">
        <f t="shared" si="200"/>
        <v>-18179.930877664807</v>
      </c>
      <c r="CX69" s="266">
        <f t="shared" si="200"/>
        <v>-18225.38070485897</v>
      </c>
      <c r="CY69" s="266">
        <f t="shared" si="200"/>
        <v>-18270.944156621117</v>
      </c>
      <c r="CZ69" s="266">
        <f t="shared" si="200"/>
        <v>-18316.621517012667</v>
      </c>
      <c r="DA69" s="266">
        <f t="shared" si="200"/>
        <v>-18362.413070805196</v>
      </c>
      <c r="DB69" s="266">
        <f t="shared" si="200"/>
        <v>-18408.319103482212</v>
      </c>
      <c r="DC69" s="266">
        <f t="shared" si="200"/>
        <v>-18454.339901240914</v>
      </c>
      <c r="DD69" s="266">
        <f t="shared" si="200"/>
        <v>-18500.475750994017</v>
      </c>
      <c r="DE69" s="266">
        <f t="shared" si="200"/>
        <v>-18546.7269403715</v>
      </c>
      <c r="DF69" s="266">
        <f t="shared" si="200"/>
        <v>-18593.093757722429</v>
      </c>
      <c r="DG69" s="266">
        <f t="shared" si="200"/>
        <v>-18639.576492116736</v>
      </c>
      <c r="DH69" s="266">
        <f t="shared" si="200"/>
        <v>-18686.175433347027</v>
      </c>
      <c r="DI69" s="266">
        <f t="shared" si="200"/>
        <v>-18732.890871930391</v>
      </c>
      <c r="DJ69" s="266">
        <f t="shared" si="200"/>
        <v>-18779.723099110215</v>
      </c>
      <c r="DK69" s="266">
        <f t="shared" si="200"/>
        <v>-18826.672406857993</v>
      </c>
      <c r="DL69" s="266">
        <f t="shared" si="200"/>
        <v>-18873.739087875136</v>
      </c>
      <c r="DM69" s="266">
        <f t="shared" si="200"/>
        <v>-18920.923435594825</v>
      </c>
      <c r="DN69" s="266">
        <f t="shared" si="200"/>
        <v>-18968.225744183808</v>
      </c>
      <c r="DO69" s="266">
        <f t="shared" si="200"/>
        <v>-19015.646308544267</v>
      </c>
      <c r="DP69" s="266">
        <f t="shared" si="200"/>
        <v>-19063.185424315627</v>
      </c>
      <c r="DQ69" s="266">
        <f t="shared" si="200"/>
        <v>-19110.843387876415</v>
      </c>
      <c r="DR69" s="266">
        <f t="shared" si="200"/>
        <v>-19158.62049634611</v>
      </c>
      <c r="DS69" s="266">
        <f t="shared" si="200"/>
        <v>-19206.517047586975</v>
      </c>
      <c r="DT69" s="266">
        <f t="shared" si="200"/>
        <v>-19254.533340205944</v>
      </c>
      <c r="DU69" s="266">
        <f t="shared" si="200"/>
        <v>-19302.669673556455</v>
      </c>
      <c r="DV69" s="266">
        <f t="shared" si="200"/>
        <v>-19350.926347740344</v>
      </c>
      <c r="DW69" s="266">
        <f t="shared" si="200"/>
        <v>-19399.303663609695</v>
      </c>
      <c r="DX69" s="266">
        <f t="shared" si="200"/>
        <v>-19447.801922768718</v>
      </c>
      <c r="DY69" s="266">
        <f t="shared" si="200"/>
        <v>-19496.421427575639</v>
      </c>
      <c r="DZ69" s="266">
        <f t="shared" si="200"/>
        <v>-19545.162481144576</v>
      </c>
      <c r="EA69" s="266">
        <f t="shared" si="200"/>
        <v>-19594.025387347439</v>
      </c>
      <c r="EB69" s="266">
        <f t="shared" si="200"/>
        <v>-19643.010450815804</v>
      </c>
      <c r="EC69" s="266">
        <f t="shared" si="200"/>
        <v>-19692.117976942842</v>
      </c>
      <c r="ED69" s="266">
        <f t="shared" si="200"/>
        <v>-19741.348271885203</v>
      </c>
      <c r="EE69" s="266">
        <f t="shared" si="200"/>
        <v>-19790.701642564913</v>
      </c>
      <c r="EF69" s="266">
        <f t="shared" si="200"/>
        <v>-19840.178396671323</v>
      </c>
      <c r="EG69" s="266">
        <f t="shared" si="200"/>
        <v>-19889.778842663</v>
      </c>
      <c r="EH69" s="266">
        <f t="shared" ref="EH69:EJ71" si="201">-EH32/12*EH$22</f>
        <v>-19939.503289769658</v>
      </c>
      <c r="EI69" s="266">
        <f t="shared" si="201"/>
        <v>-19989.352047994078</v>
      </c>
      <c r="EJ69" s="266">
        <f t="shared" si="201"/>
        <v>-20039.325428114062</v>
      </c>
      <c r="EK69" s="8"/>
      <c r="EL69" s="12">
        <f t="shared" ref="EL69:EW77" si="202">SUMIF($H$4:$EJ$4,EL$5,$H69:$EJ69)</f>
        <v>0</v>
      </c>
      <c r="EM69" s="12">
        <f t="shared" si="202"/>
        <v>0</v>
      </c>
      <c r="EN69" s="12">
        <f t="shared" si="202"/>
        <v>-54876.605891204352</v>
      </c>
      <c r="EO69" s="12">
        <f t="shared" si="202"/>
        <v>-185110.6464636942</v>
      </c>
      <c r="EP69" s="12">
        <f t="shared" si="202"/>
        <v>-192321.72732279351</v>
      </c>
      <c r="EQ69" s="12">
        <f t="shared" si="202"/>
        <v>-198171.37669457484</v>
      </c>
      <c r="ER69" s="12">
        <f t="shared" si="202"/>
        <v>-204198.94874960731</v>
      </c>
      <c r="ES69" s="12">
        <f t="shared" si="202"/>
        <v>-210409.85517655875</v>
      </c>
      <c r="ET69" s="12">
        <f t="shared" si="202"/>
        <v>-216809.6722657861</v>
      </c>
      <c r="EU69" s="12">
        <f t="shared" si="202"/>
        <v>-223404.14591585376</v>
      </c>
      <c r="EV69" s="12">
        <f t="shared" si="202"/>
        <v>-230199.1967923292</v>
      </c>
      <c r="EW69" s="12">
        <f t="shared" si="202"/>
        <v>-237200.9256434885</v>
      </c>
    </row>
    <row r="70" spans="2:153" x14ac:dyDescent="0.4">
      <c r="B70" s="61" t="s">
        <v>41</v>
      </c>
      <c r="E70" s="57"/>
      <c r="F70" s="14" cm="1">
        <f t="array" ref="F70">SUMPRODUCT(($H70:$EJ70)*($H$6:$EJ$6&lt;=$C$5))</f>
        <v>-99994.688481207748</v>
      </c>
      <c r="H70" s="12"/>
      <c r="I70" s="266">
        <f>-I33/12*I$22</f>
        <v>0</v>
      </c>
      <c r="J70" s="266">
        <f t="shared" ref="J70:X70" si="203">-J33/12*J$22</f>
        <v>0</v>
      </c>
      <c r="K70" s="266">
        <f t="shared" si="203"/>
        <v>0</v>
      </c>
      <c r="L70" s="266">
        <f t="shared" si="203"/>
        <v>0</v>
      </c>
      <c r="M70" s="266">
        <f t="shared" si="203"/>
        <v>0</v>
      </c>
      <c r="N70" s="266">
        <f t="shared" si="203"/>
        <v>0</v>
      </c>
      <c r="O70" s="266">
        <f t="shared" si="203"/>
        <v>0</v>
      </c>
      <c r="P70" s="266">
        <f t="shared" si="203"/>
        <v>0</v>
      </c>
      <c r="Q70" s="266">
        <f t="shared" si="203"/>
        <v>0</v>
      </c>
      <c r="R70" s="266">
        <f t="shared" si="203"/>
        <v>0</v>
      </c>
      <c r="S70" s="266">
        <f t="shared" si="203"/>
        <v>0</v>
      </c>
      <c r="T70" s="266">
        <f t="shared" si="203"/>
        <v>0</v>
      </c>
      <c r="U70" s="266">
        <f t="shared" si="203"/>
        <v>0</v>
      </c>
      <c r="V70" s="266">
        <f t="shared" si="203"/>
        <v>0</v>
      </c>
      <c r="W70" s="266">
        <f t="shared" si="203"/>
        <v>0</v>
      </c>
      <c r="X70" s="266">
        <f t="shared" si="203"/>
        <v>0</v>
      </c>
      <c r="Y70" s="266">
        <f t="shared" si="199"/>
        <v>-630.22572340375041</v>
      </c>
      <c r="Z70" s="266">
        <f t="shared" si="199"/>
        <v>-1262.5521992188467</v>
      </c>
      <c r="AA70" s="266">
        <f t="shared" si="199"/>
        <v>-1896.9846793263175</v>
      </c>
      <c r="AB70" s="266">
        <f t="shared" si="199"/>
        <v>-2533.5284272780373</v>
      </c>
      <c r="AC70" s="266">
        <f t="shared" si="199"/>
        <v>-3172.1887183210424</v>
      </c>
      <c r="AD70" s="266">
        <f t="shared" si="199"/>
        <v>-3812.9708394218937</v>
      </c>
      <c r="AE70" s="266">
        <f t="shared" si="199"/>
        <v>-4455.8800892910858</v>
      </c>
      <c r="AF70" s="266">
        <f t="shared" si="199"/>
        <v>-5100.9217784075099</v>
      </c>
      <c r="AG70" s="266">
        <f t="shared" si="199"/>
        <v>-5752.8833432102192</v>
      </c>
      <c r="AH70" s="266">
        <f t="shared" si="199"/>
        <v>-6408.0728350758263</v>
      </c>
      <c r="AI70" s="266">
        <f t="shared" si="199"/>
        <v>-6424.0930171635155</v>
      </c>
      <c r="AJ70" s="266">
        <f t="shared" si="199"/>
        <v>-6440.1532497064245</v>
      </c>
      <c r="AK70" s="266">
        <f t="shared" si="199"/>
        <v>-6456.2536328306887</v>
      </c>
      <c r="AL70" s="266">
        <f t="shared" si="199"/>
        <v>-6472.3942669127646</v>
      </c>
      <c r="AM70" s="266">
        <f t="shared" si="199"/>
        <v>-6488.5752525800472</v>
      </c>
      <c r="AN70" s="266">
        <f t="shared" si="199"/>
        <v>-6504.7966907114969</v>
      </c>
      <c r="AO70" s="266">
        <f t="shared" si="199"/>
        <v>-6521.0586824382754</v>
      </c>
      <c r="AP70" s="266">
        <f t="shared" si="199"/>
        <v>-6537.3613291443726</v>
      </c>
      <c r="AQ70" s="266">
        <f t="shared" si="199"/>
        <v>-6553.704732467233</v>
      </c>
      <c r="AR70" s="266">
        <f t="shared" si="199"/>
        <v>-6570.0889942984004</v>
      </c>
      <c r="AS70" s="266">
        <f t="shared" si="199"/>
        <v>-6586.5142167841477</v>
      </c>
      <c r="AT70" s="266">
        <f t="shared" si="199"/>
        <v>-6602.9805023261079</v>
      </c>
      <c r="AU70" s="266">
        <f t="shared" si="199"/>
        <v>-6619.4879535819227</v>
      </c>
      <c r="AV70" s="266">
        <f t="shared" si="199"/>
        <v>-6636.0366734658774</v>
      </c>
      <c r="AW70" s="266">
        <f t="shared" si="199"/>
        <v>-6652.6267651495409</v>
      </c>
      <c r="AX70" s="266">
        <f t="shared" si="199"/>
        <v>-6669.2583320624144</v>
      </c>
      <c r="AY70" s="266">
        <f t="shared" si="199"/>
        <v>-6685.93147789257</v>
      </c>
      <c r="AZ70" s="266">
        <f t="shared" si="199"/>
        <v>-6702.6463065873013</v>
      </c>
      <c r="BA70" s="266">
        <f t="shared" si="199"/>
        <v>-6719.40292235377</v>
      </c>
      <c r="BB70" s="266">
        <f t="shared" si="199"/>
        <v>-6736.2014296596535</v>
      </c>
      <c r="BC70" s="266">
        <f t="shared" si="199"/>
        <v>-6753.0419332338033</v>
      </c>
      <c r="BD70" s="266">
        <f t="shared" si="199"/>
        <v>-6769.9245380668872</v>
      </c>
      <c r="BE70" s="266">
        <f t="shared" si="199"/>
        <v>-6786.8493494120548</v>
      </c>
      <c r="BF70" s="266">
        <f t="shared" si="199"/>
        <v>-6803.8164727855847</v>
      </c>
      <c r="BG70" s="266">
        <f t="shared" si="199"/>
        <v>-6820.8260139675476</v>
      </c>
      <c r="BH70" s="266">
        <f t="shared" si="199"/>
        <v>-6837.8780790024666</v>
      </c>
      <c r="BI70" s="266">
        <f t="shared" si="199"/>
        <v>-6854.9727741999723</v>
      </c>
      <c r="BJ70" s="266">
        <f t="shared" si="199"/>
        <v>-6872.1102061354713</v>
      </c>
      <c r="BK70" s="266">
        <f t="shared" si="199"/>
        <v>-6889.2904816508089</v>
      </c>
      <c r="BL70" s="266">
        <f t="shared" si="199"/>
        <v>-6906.513707854936</v>
      </c>
      <c r="BM70" s="266">
        <f t="shared" si="199"/>
        <v>-6923.7799921245723</v>
      </c>
      <c r="BN70" s="266">
        <f t="shared" si="199"/>
        <v>-6941.0894421048843</v>
      </c>
      <c r="BO70" s="266">
        <f t="shared" si="199"/>
        <v>-6958.4421657101457</v>
      </c>
      <c r="BP70" s="266">
        <f t="shared" si="199"/>
        <v>-6975.8382711244212</v>
      </c>
      <c r="BQ70" s="266">
        <f t="shared" si="199"/>
        <v>-6993.2778668022329</v>
      </c>
      <c r="BR70" s="266">
        <f t="shared" si="199"/>
        <v>-7010.7610614692376</v>
      </c>
      <c r="BS70" s="266">
        <f t="shared" si="199"/>
        <v>-7028.2879641229101</v>
      </c>
      <c r="BT70" s="266">
        <f t="shared" si="199"/>
        <v>-7045.8586840332173</v>
      </c>
      <c r="BU70" s="266">
        <f t="shared" si="199"/>
        <v>-7063.4733307432998</v>
      </c>
      <c r="BV70" s="266">
        <f t="shared" si="200"/>
        <v>-7081.1320140701573</v>
      </c>
      <c r="BW70" s="266">
        <f t="shared" si="200"/>
        <v>-7098.8348441053322</v>
      </c>
      <c r="BX70" s="266">
        <f t="shared" si="200"/>
        <v>-7116.5819312155945</v>
      </c>
      <c r="BY70" s="266">
        <f t="shared" si="200"/>
        <v>-7134.3733860436332</v>
      </c>
      <c r="BZ70" s="266">
        <f t="shared" si="200"/>
        <v>-7152.2093195087427</v>
      </c>
      <c r="CA70" s="266">
        <f t="shared" si="200"/>
        <v>-7170.0898428075134</v>
      </c>
      <c r="CB70" s="266">
        <f t="shared" si="200"/>
        <v>-7188.0150674145316</v>
      </c>
      <c r="CC70" s="266">
        <f t="shared" si="200"/>
        <v>-7205.9851050830666</v>
      </c>
      <c r="CD70" s="266">
        <f t="shared" si="200"/>
        <v>-7224.0000678457745</v>
      </c>
      <c r="CE70" s="266">
        <f t="shared" si="200"/>
        <v>-7242.0600680153884</v>
      </c>
      <c r="CF70" s="266">
        <f t="shared" si="200"/>
        <v>-7260.1652181854261</v>
      </c>
      <c r="CG70" s="266">
        <f t="shared" si="200"/>
        <v>-7278.3156312308884</v>
      </c>
      <c r="CH70" s="266">
        <f t="shared" si="200"/>
        <v>-7296.5114203089661</v>
      </c>
      <c r="CI70" s="266">
        <f t="shared" si="200"/>
        <v>-7314.7526988597374</v>
      </c>
      <c r="CJ70" s="266">
        <f t="shared" si="200"/>
        <v>-7333.0395806068864</v>
      </c>
      <c r="CK70" s="266">
        <f t="shared" si="200"/>
        <v>-7351.3721795584033</v>
      </c>
      <c r="CL70" s="266">
        <f t="shared" si="200"/>
        <v>-7369.7506100072978</v>
      </c>
      <c r="CM70" s="266">
        <f t="shared" si="200"/>
        <v>-7388.1749865323154</v>
      </c>
      <c r="CN70" s="266">
        <f t="shared" si="200"/>
        <v>-7406.6454239986451</v>
      </c>
      <c r="CO70" s="266">
        <f t="shared" si="200"/>
        <v>-7425.1620375586408</v>
      </c>
      <c r="CP70" s="266">
        <f t="shared" si="200"/>
        <v>-7443.7249426525368</v>
      </c>
      <c r="CQ70" s="266">
        <f t="shared" si="200"/>
        <v>-7462.3342550091684</v>
      </c>
      <c r="CR70" s="266">
        <f t="shared" si="200"/>
        <v>-7480.990090646691</v>
      </c>
      <c r="CS70" s="266">
        <f t="shared" si="200"/>
        <v>-7499.6925658733071</v>
      </c>
      <c r="CT70" s="266">
        <f t="shared" si="200"/>
        <v>-7518.4417972879901</v>
      </c>
      <c r="CU70" s="266">
        <f t="shared" si="200"/>
        <v>-7537.23790178121</v>
      </c>
      <c r="CV70" s="266">
        <f t="shared" si="200"/>
        <v>-7556.0809965356621</v>
      </c>
      <c r="CW70" s="266">
        <f t="shared" si="200"/>
        <v>-7574.9711990270016</v>
      </c>
      <c r="CX70" s="266">
        <f t="shared" si="200"/>
        <v>-7593.9086270245689</v>
      </c>
      <c r="CY70" s="266">
        <f t="shared" si="200"/>
        <v>-7612.8933985921285</v>
      </c>
      <c r="CZ70" s="266">
        <f t="shared" si="200"/>
        <v>-7631.9256320886097</v>
      </c>
      <c r="DA70" s="266">
        <f t="shared" si="200"/>
        <v>-7651.0054461688314</v>
      </c>
      <c r="DB70" s="266">
        <f t="shared" si="200"/>
        <v>-7670.1329597842532</v>
      </c>
      <c r="DC70" s="266">
        <f t="shared" si="200"/>
        <v>-7689.3082921837131</v>
      </c>
      <c r="DD70" s="266">
        <f t="shared" si="200"/>
        <v>-7708.5315629141714</v>
      </c>
      <c r="DE70" s="266">
        <f t="shared" si="200"/>
        <v>-7727.8028918214577</v>
      </c>
      <c r="DF70" s="266">
        <f t="shared" si="200"/>
        <v>-7747.1223990510116</v>
      </c>
      <c r="DG70" s="266">
        <f t="shared" si="200"/>
        <v>-7766.490205048638</v>
      </c>
      <c r="DH70" s="266">
        <f t="shared" si="200"/>
        <v>-7785.9064305612592</v>
      </c>
      <c r="DI70" s="266">
        <f t="shared" si="200"/>
        <v>-7805.3711966376632</v>
      </c>
      <c r="DJ70" s="266">
        <f t="shared" si="200"/>
        <v>-7824.8846246292551</v>
      </c>
      <c r="DK70" s="266">
        <f t="shared" si="200"/>
        <v>-7844.4468361908293</v>
      </c>
      <c r="DL70" s="266">
        <f t="shared" si="200"/>
        <v>-7864.0579532813063</v>
      </c>
      <c r="DM70" s="266">
        <f t="shared" si="200"/>
        <v>-7883.7180981645097</v>
      </c>
      <c r="DN70" s="266">
        <f t="shared" si="200"/>
        <v>-7903.427393409921</v>
      </c>
      <c r="DO70" s="266">
        <f t="shared" si="200"/>
        <v>-7923.185961893445</v>
      </c>
      <c r="DP70" s="266">
        <f t="shared" si="200"/>
        <v>-7942.9939267981781</v>
      </c>
      <c r="DQ70" s="266">
        <f t="shared" si="200"/>
        <v>-7962.8514116151737</v>
      </c>
      <c r="DR70" s="266">
        <f t="shared" si="200"/>
        <v>-7982.7585401442111</v>
      </c>
      <c r="DS70" s="266">
        <f t="shared" si="200"/>
        <v>-8002.7154364945709</v>
      </c>
      <c r="DT70" s="266">
        <f t="shared" si="200"/>
        <v>-8022.7222250858067</v>
      </c>
      <c r="DU70" s="266">
        <f t="shared" si="200"/>
        <v>-8042.7790306485203</v>
      </c>
      <c r="DV70" s="266">
        <f t="shared" si="200"/>
        <v>-8062.8859782251411</v>
      </c>
      <c r="DW70" s="266">
        <f t="shared" si="200"/>
        <v>-8083.0431931707035</v>
      </c>
      <c r="DX70" s="266">
        <f t="shared" si="200"/>
        <v>-8103.2508011536311</v>
      </c>
      <c r="DY70" s="266">
        <f t="shared" si="200"/>
        <v>-8123.5089281565142</v>
      </c>
      <c r="DZ70" s="266">
        <f t="shared" si="200"/>
        <v>-8143.8177004769041</v>
      </c>
      <c r="EA70" s="266">
        <f t="shared" si="200"/>
        <v>-8164.1772447280964</v>
      </c>
      <c r="EB70" s="266">
        <f t="shared" si="200"/>
        <v>-8184.5876878399149</v>
      </c>
      <c r="EC70" s="266">
        <f t="shared" si="200"/>
        <v>-8205.049157059515</v>
      </c>
      <c r="ED70" s="266">
        <f t="shared" si="200"/>
        <v>-8225.5617799521624</v>
      </c>
      <c r="EE70" s="266">
        <f t="shared" si="200"/>
        <v>-8246.1256844020427</v>
      </c>
      <c r="EF70" s="266">
        <f t="shared" si="200"/>
        <v>-8266.740998613046</v>
      </c>
      <c r="EG70" s="266">
        <f t="shared" si="200"/>
        <v>-8287.4078511095795</v>
      </c>
      <c r="EH70" s="266">
        <f t="shared" si="201"/>
        <v>-8308.1263707373528</v>
      </c>
      <c r="EI70" s="266">
        <f t="shared" si="201"/>
        <v>-8328.8966866641949</v>
      </c>
      <c r="EJ70" s="266">
        <f t="shared" si="201"/>
        <v>-8349.7189283808548</v>
      </c>
      <c r="EK70" s="8"/>
      <c r="EL70" s="12">
        <f t="shared" si="202"/>
        <v>0</v>
      </c>
      <c r="EM70" s="12">
        <f t="shared" si="202"/>
        <v>0</v>
      </c>
      <c r="EN70" s="12">
        <f t="shared" si="202"/>
        <v>-22865.25245466848</v>
      </c>
      <c r="EO70" s="12">
        <f t="shared" si="202"/>
        <v>-77129.436026539275</v>
      </c>
      <c r="EP70" s="12">
        <f t="shared" si="202"/>
        <v>-80134.05305116401</v>
      </c>
      <c r="EQ70" s="12">
        <f t="shared" si="202"/>
        <v>-82571.406956072868</v>
      </c>
      <c r="ER70" s="12">
        <f t="shared" si="202"/>
        <v>-85082.895312336404</v>
      </c>
      <c r="ES70" s="12">
        <f t="shared" si="202"/>
        <v>-87670.772990232814</v>
      </c>
      <c r="ET70" s="12">
        <f t="shared" si="202"/>
        <v>-90337.36344407752</v>
      </c>
      <c r="EU70" s="12">
        <f t="shared" si="202"/>
        <v>-93085.060798272374</v>
      </c>
      <c r="EV70" s="12">
        <f t="shared" si="202"/>
        <v>-95916.331996803798</v>
      </c>
      <c r="EW70" s="12">
        <f t="shared" si="202"/>
        <v>-98833.719018120188</v>
      </c>
    </row>
    <row r="71" spans="2:153" x14ac:dyDescent="0.4">
      <c r="B71" s="61" t="s">
        <v>42</v>
      </c>
      <c r="E71" s="57"/>
      <c r="F71" s="14" cm="1">
        <f t="array" ref="F71">SUMPRODUCT(($H71:$EJ71)*($H$6:$EJ$6&lt;=$C$5))</f>
        <v>-59996.813088724644</v>
      </c>
      <c r="H71" s="12"/>
      <c r="I71" s="266">
        <f>-I34/12*I$22</f>
        <v>0</v>
      </c>
      <c r="J71" s="266">
        <f t="shared" ref="J71:BU73" si="204">-J34/12*J$22</f>
        <v>0</v>
      </c>
      <c r="K71" s="266">
        <f t="shared" si="204"/>
        <v>0</v>
      </c>
      <c r="L71" s="266">
        <f t="shared" si="204"/>
        <v>0</v>
      </c>
      <c r="M71" s="266">
        <f t="shared" si="204"/>
        <v>0</v>
      </c>
      <c r="N71" s="266">
        <f t="shared" si="204"/>
        <v>0</v>
      </c>
      <c r="O71" s="266">
        <f t="shared" si="204"/>
        <v>0</v>
      </c>
      <c r="P71" s="266">
        <f t="shared" si="204"/>
        <v>0</v>
      </c>
      <c r="Q71" s="266">
        <f t="shared" si="204"/>
        <v>0</v>
      </c>
      <c r="R71" s="266">
        <f t="shared" si="204"/>
        <v>0</v>
      </c>
      <c r="S71" s="266">
        <f t="shared" si="204"/>
        <v>0</v>
      </c>
      <c r="T71" s="266">
        <f t="shared" si="204"/>
        <v>0</v>
      </c>
      <c r="U71" s="266">
        <f t="shared" si="204"/>
        <v>0</v>
      </c>
      <c r="V71" s="266">
        <f t="shared" si="204"/>
        <v>0</v>
      </c>
      <c r="W71" s="266">
        <f t="shared" si="204"/>
        <v>0</v>
      </c>
      <c r="X71" s="266">
        <f t="shared" si="204"/>
        <v>0</v>
      </c>
      <c r="Y71" s="266">
        <f t="shared" si="204"/>
        <v>-378.13543404225027</v>
      </c>
      <c r="Z71" s="266">
        <f t="shared" si="204"/>
        <v>-757.5313195313081</v>
      </c>
      <c r="AA71" s="266">
        <f t="shared" si="204"/>
        <v>-1138.1908075957904</v>
      </c>
      <c r="AB71" s="266">
        <f t="shared" si="204"/>
        <v>-1520.1170563668222</v>
      </c>
      <c r="AC71" s="266">
        <f t="shared" si="204"/>
        <v>-1903.3132309926254</v>
      </c>
      <c r="AD71" s="266">
        <f t="shared" si="204"/>
        <v>-2287.7825036531358</v>
      </c>
      <c r="AE71" s="266">
        <f t="shared" si="204"/>
        <v>-2673.5280535746506</v>
      </c>
      <c r="AF71" s="266">
        <f t="shared" si="204"/>
        <v>-3060.553067044505</v>
      </c>
      <c r="AG71" s="266">
        <f t="shared" si="204"/>
        <v>-3451.7300059261306</v>
      </c>
      <c r="AH71" s="266">
        <f t="shared" si="204"/>
        <v>-3844.843701045495</v>
      </c>
      <c r="AI71" s="266">
        <f t="shared" si="204"/>
        <v>-3854.4558102981086</v>
      </c>
      <c r="AJ71" s="266">
        <f t="shared" si="204"/>
        <v>-3864.0919498238541</v>
      </c>
      <c r="AK71" s="266">
        <f t="shared" si="204"/>
        <v>-3873.7521796984133</v>
      </c>
      <c r="AL71" s="266">
        <f t="shared" si="204"/>
        <v>-3883.4365601476593</v>
      </c>
      <c r="AM71" s="266">
        <f t="shared" si="204"/>
        <v>-3893.1451515480285</v>
      </c>
      <c r="AN71" s="266">
        <f t="shared" si="204"/>
        <v>-3902.8780144268985</v>
      </c>
      <c r="AO71" s="266">
        <f t="shared" si="204"/>
        <v>-3912.6352094629656</v>
      </c>
      <c r="AP71" s="266">
        <f t="shared" si="204"/>
        <v>-3922.4167974866227</v>
      </c>
      <c r="AQ71" s="266">
        <f t="shared" si="204"/>
        <v>-3932.2228394803387</v>
      </c>
      <c r="AR71" s="266">
        <f t="shared" si="204"/>
        <v>-3942.0533965790396</v>
      </c>
      <c r="AS71" s="266">
        <f t="shared" si="204"/>
        <v>-3951.9085300704874</v>
      </c>
      <c r="AT71" s="266">
        <f t="shared" si="204"/>
        <v>-3961.7883013956634</v>
      </c>
      <c r="AU71" s="266">
        <f t="shared" si="204"/>
        <v>-3971.6927721491525</v>
      </c>
      <c r="AV71" s="266">
        <f t="shared" si="204"/>
        <v>-3981.6220040795251</v>
      </c>
      <c r="AW71" s="266">
        <f t="shared" si="204"/>
        <v>-3991.5760590897235</v>
      </c>
      <c r="AX71" s="266">
        <f t="shared" si="204"/>
        <v>-4001.5549992374472</v>
      </c>
      <c r="AY71" s="266">
        <f t="shared" si="204"/>
        <v>-4011.5588867355405</v>
      </c>
      <c r="AZ71" s="266">
        <f t="shared" si="204"/>
        <v>-4021.5877839523791</v>
      </c>
      <c r="BA71" s="266">
        <f t="shared" si="204"/>
        <v>-4031.6417534122597</v>
      </c>
      <c r="BB71" s="266">
        <f t="shared" si="204"/>
        <v>-4041.7208577957908</v>
      </c>
      <c r="BC71" s="266">
        <f t="shared" si="204"/>
        <v>-4051.8251599402802</v>
      </c>
      <c r="BD71" s="266">
        <f t="shared" si="204"/>
        <v>-4061.9547228401311</v>
      </c>
      <c r="BE71" s="266">
        <f t="shared" si="204"/>
        <v>-4072.1096096472311</v>
      </c>
      <c r="BF71" s="266">
        <f t="shared" si="204"/>
        <v>-4082.2898836713484</v>
      </c>
      <c r="BG71" s="266">
        <f t="shared" si="204"/>
        <v>-4092.4956083805264</v>
      </c>
      <c r="BH71" s="266">
        <f t="shared" si="204"/>
        <v>-4102.7268474014772</v>
      </c>
      <c r="BI71" s="266">
        <f t="shared" si="204"/>
        <v>-4112.9836645199812</v>
      </c>
      <c r="BJ71" s="266">
        <f t="shared" si="204"/>
        <v>-4123.266123681281</v>
      </c>
      <c r="BK71" s="266">
        <f t="shared" si="204"/>
        <v>-4133.5742889904841</v>
      </c>
      <c r="BL71" s="266">
        <f t="shared" si="204"/>
        <v>-4143.9082247129609</v>
      </c>
      <c r="BM71" s="266">
        <f t="shared" si="204"/>
        <v>-4154.267995274743</v>
      </c>
      <c r="BN71" s="266">
        <f t="shared" si="204"/>
        <v>-4164.6536652629293</v>
      </c>
      <c r="BO71" s="266">
        <f t="shared" si="204"/>
        <v>-4175.0652994260872</v>
      </c>
      <c r="BP71" s="266">
        <f t="shared" si="204"/>
        <v>-4185.5029626746518</v>
      </c>
      <c r="BQ71" s="266">
        <f t="shared" si="204"/>
        <v>-4195.9667200813383</v>
      </c>
      <c r="BR71" s="266">
        <f t="shared" si="204"/>
        <v>-4206.4566368815413</v>
      </c>
      <c r="BS71" s="266">
        <f t="shared" si="204"/>
        <v>-4216.9727784737443</v>
      </c>
      <c r="BT71" s="266">
        <f t="shared" si="204"/>
        <v>-4227.5152104199287</v>
      </c>
      <c r="BU71" s="266">
        <f t="shared" si="204"/>
        <v>-4238.0839984459781</v>
      </c>
      <c r="BV71" s="266">
        <f t="shared" si="200"/>
        <v>-4248.6792084420931</v>
      </c>
      <c r="BW71" s="266">
        <f t="shared" si="200"/>
        <v>-4259.3009064631988</v>
      </c>
      <c r="BX71" s="266">
        <f t="shared" si="200"/>
        <v>-4269.9491587293569</v>
      </c>
      <c r="BY71" s="266">
        <f t="shared" si="200"/>
        <v>-4280.6240316261801</v>
      </c>
      <c r="BZ71" s="266">
        <f t="shared" si="200"/>
        <v>-4291.3255917052456</v>
      </c>
      <c r="CA71" s="266">
        <f t="shared" si="200"/>
        <v>-4302.0539056845082</v>
      </c>
      <c r="CB71" s="266">
        <f t="shared" si="200"/>
        <v>-4312.8090404487193</v>
      </c>
      <c r="CC71" s="266">
        <f t="shared" si="200"/>
        <v>-4323.5910630498402</v>
      </c>
      <c r="CD71" s="266">
        <f t="shared" si="200"/>
        <v>-4334.4000407074645</v>
      </c>
      <c r="CE71" s="266">
        <f t="shared" si="200"/>
        <v>-4345.2360408092327</v>
      </c>
      <c r="CF71" s="266">
        <f t="shared" si="200"/>
        <v>-4356.099130911256</v>
      </c>
      <c r="CG71" s="266">
        <f t="shared" si="200"/>
        <v>-4366.9893787385336</v>
      </c>
      <c r="CH71" s="266">
        <f t="shared" si="200"/>
        <v>-4377.9068521853806</v>
      </c>
      <c r="CI71" s="266">
        <f t="shared" si="200"/>
        <v>-4388.851619315843</v>
      </c>
      <c r="CJ71" s="266">
        <f t="shared" si="200"/>
        <v>-4399.8237483641324</v>
      </c>
      <c r="CK71" s="266">
        <f t="shared" si="200"/>
        <v>-4410.8233077350424</v>
      </c>
      <c r="CL71" s="266">
        <f t="shared" si="200"/>
        <v>-4421.8503660043807</v>
      </c>
      <c r="CM71" s="266">
        <f t="shared" si="200"/>
        <v>-4432.9049919193903</v>
      </c>
      <c r="CN71" s="266">
        <f t="shared" si="200"/>
        <v>-4443.9872543991887</v>
      </c>
      <c r="CO71" s="266">
        <f t="shared" si="200"/>
        <v>-4455.0972225351861</v>
      </c>
      <c r="CP71" s="266">
        <f t="shared" si="200"/>
        <v>-4466.2349655915241</v>
      </c>
      <c r="CQ71" s="266">
        <f t="shared" si="200"/>
        <v>-4477.4005530055028</v>
      </c>
      <c r="CR71" s="266">
        <f t="shared" si="200"/>
        <v>-4488.594054388016</v>
      </c>
      <c r="CS71" s="266">
        <f t="shared" si="200"/>
        <v>-4499.8155395239855</v>
      </c>
      <c r="CT71" s="266">
        <f t="shared" si="200"/>
        <v>-4511.0650783727951</v>
      </c>
      <c r="CU71" s="266">
        <f t="shared" si="200"/>
        <v>-4522.3427410687273</v>
      </c>
      <c r="CV71" s="266">
        <f t="shared" si="200"/>
        <v>-4533.6485979213994</v>
      </c>
      <c r="CW71" s="266">
        <f t="shared" si="200"/>
        <v>-4544.9827194162017</v>
      </c>
      <c r="CX71" s="266">
        <f t="shared" si="200"/>
        <v>-4556.3451762147424</v>
      </c>
      <c r="CY71" s="266">
        <f t="shared" si="200"/>
        <v>-4567.7360391552793</v>
      </c>
      <c r="CZ71" s="266">
        <f t="shared" si="200"/>
        <v>-4579.1553792531668</v>
      </c>
      <c r="DA71" s="266">
        <f t="shared" si="200"/>
        <v>-4590.603267701299</v>
      </c>
      <c r="DB71" s="266">
        <f t="shared" si="200"/>
        <v>-4602.079775870553</v>
      </c>
      <c r="DC71" s="266">
        <f t="shared" si="200"/>
        <v>-4613.5849753102284</v>
      </c>
      <c r="DD71" s="266">
        <f t="shared" si="200"/>
        <v>-4625.1189377485043</v>
      </c>
      <c r="DE71" s="266">
        <f t="shared" si="200"/>
        <v>-4636.681735092875</v>
      </c>
      <c r="DF71" s="266">
        <f t="shared" si="200"/>
        <v>-4648.2734394306071</v>
      </c>
      <c r="DG71" s="266">
        <f t="shared" si="200"/>
        <v>-4659.8941230291839</v>
      </c>
      <c r="DH71" s="266">
        <f t="shared" si="200"/>
        <v>-4671.5438583367568</v>
      </c>
      <c r="DI71" s="266">
        <f t="shared" si="200"/>
        <v>-4683.2227179825977</v>
      </c>
      <c r="DJ71" s="266">
        <f t="shared" si="200"/>
        <v>-4694.9307747775538</v>
      </c>
      <c r="DK71" s="266">
        <f t="shared" si="200"/>
        <v>-4706.6681017144983</v>
      </c>
      <c r="DL71" s="266">
        <f t="shared" si="200"/>
        <v>-4718.4347719687839</v>
      </c>
      <c r="DM71" s="266">
        <f t="shared" si="200"/>
        <v>-4730.2308588987062</v>
      </c>
      <c r="DN71" s="266">
        <f t="shared" si="200"/>
        <v>-4742.0564360459521</v>
      </c>
      <c r="DO71" s="266">
        <f t="shared" si="200"/>
        <v>-4753.9115771360666</v>
      </c>
      <c r="DP71" s="266">
        <f t="shared" si="200"/>
        <v>-4765.7963560789067</v>
      </c>
      <c r="DQ71" s="266">
        <f t="shared" si="200"/>
        <v>-4777.7108469691038</v>
      </c>
      <c r="DR71" s="266">
        <f t="shared" si="200"/>
        <v>-4789.6551240865274</v>
      </c>
      <c r="DS71" s="266">
        <f t="shared" si="200"/>
        <v>-4801.6292618967436</v>
      </c>
      <c r="DT71" s="266">
        <f t="shared" si="200"/>
        <v>-4813.633335051486</v>
      </c>
      <c r="DU71" s="266">
        <f t="shared" si="200"/>
        <v>-4825.6674183891137</v>
      </c>
      <c r="DV71" s="266">
        <f t="shared" si="200"/>
        <v>-4837.7315869350859</v>
      </c>
      <c r="DW71" s="266">
        <f t="shared" si="200"/>
        <v>-4849.8259159024237</v>
      </c>
      <c r="DX71" s="266">
        <f t="shared" si="200"/>
        <v>-4861.9504806921796</v>
      </c>
      <c r="DY71" s="266">
        <f t="shared" si="200"/>
        <v>-4874.1053568939096</v>
      </c>
      <c r="DZ71" s="266">
        <f t="shared" si="200"/>
        <v>-4886.2906202861441</v>
      </c>
      <c r="EA71" s="266">
        <f t="shared" si="200"/>
        <v>-4898.5063468368598</v>
      </c>
      <c r="EB71" s="266">
        <f t="shared" si="200"/>
        <v>-4910.7526127039509</v>
      </c>
      <c r="EC71" s="266">
        <f t="shared" si="200"/>
        <v>-4923.0294942357104</v>
      </c>
      <c r="ED71" s="266">
        <f t="shared" si="200"/>
        <v>-4935.3370679713007</v>
      </c>
      <c r="EE71" s="266">
        <f t="shared" si="200"/>
        <v>-4947.6754106412282</v>
      </c>
      <c r="EF71" s="266">
        <f t="shared" si="200"/>
        <v>-4960.0445991678307</v>
      </c>
      <c r="EG71" s="266">
        <f t="shared" si="200"/>
        <v>-4972.4447106657499</v>
      </c>
      <c r="EH71" s="266">
        <f t="shared" si="201"/>
        <v>-4984.8758224424146</v>
      </c>
      <c r="EI71" s="266">
        <f t="shared" si="201"/>
        <v>-4997.3380119985195</v>
      </c>
      <c r="EJ71" s="266">
        <f t="shared" si="201"/>
        <v>-5009.8313570285154</v>
      </c>
      <c r="EK71" s="8"/>
      <c r="EL71" s="12">
        <f t="shared" si="202"/>
        <v>0</v>
      </c>
      <c r="EM71" s="12">
        <f t="shared" si="202"/>
        <v>0</v>
      </c>
      <c r="EN71" s="12">
        <f t="shared" si="202"/>
        <v>-13719.151472801088</v>
      </c>
      <c r="EO71" s="12">
        <f t="shared" si="202"/>
        <v>-46277.661615923549</v>
      </c>
      <c r="EP71" s="12">
        <f t="shared" si="202"/>
        <v>-48080.431830698377</v>
      </c>
      <c r="EQ71" s="12">
        <f t="shared" si="202"/>
        <v>-49542.844173643709</v>
      </c>
      <c r="ER71" s="12">
        <f t="shared" si="202"/>
        <v>-51049.737187401828</v>
      </c>
      <c r="ES71" s="12">
        <f t="shared" si="202"/>
        <v>-52602.463794139687</v>
      </c>
      <c r="ET71" s="12">
        <f t="shared" si="202"/>
        <v>-54202.418066446524</v>
      </c>
      <c r="EU71" s="12">
        <f t="shared" si="202"/>
        <v>-55851.03647896344</v>
      </c>
      <c r="EV71" s="12">
        <f t="shared" si="202"/>
        <v>-57549.799198082299</v>
      </c>
      <c r="EW71" s="12">
        <f t="shared" si="202"/>
        <v>-59300.231410872126</v>
      </c>
    </row>
    <row r="72" spans="2:153" x14ac:dyDescent="0.4">
      <c r="B72" s="61" t="s">
        <v>43</v>
      </c>
      <c r="E72" s="57"/>
      <c r="F72" s="14" cm="1">
        <f t="array" ref="F72">SUMPRODUCT(($H72:$EJ72)*($H$6:$EJ$6&lt;=$C$5))</f>
        <v>-149992.03272181161</v>
      </c>
      <c r="H72" s="12"/>
      <c r="I72" s="266">
        <f>-I35/12*I$22</f>
        <v>0</v>
      </c>
      <c r="J72" s="266">
        <f t="shared" si="204"/>
        <v>0</v>
      </c>
      <c r="K72" s="266">
        <f t="shared" si="204"/>
        <v>0</v>
      </c>
      <c r="L72" s="266">
        <f t="shared" si="204"/>
        <v>0</v>
      </c>
      <c r="M72" s="266">
        <f t="shared" si="204"/>
        <v>0</v>
      </c>
      <c r="N72" s="266">
        <f t="shared" si="204"/>
        <v>0</v>
      </c>
      <c r="O72" s="266">
        <f t="shared" si="204"/>
        <v>0</v>
      </c>
      <c r="P72" s="266">
        <f t="shared" si="204"/>
        <v>0</v>
      </c>
      <c r="Q72" s="266">
        <f t="shared" si="204"/>
        <v>0</v>
      </c>
      <c r="R72" s="266">
        <f t="shared" si="204"/>
        <v>0</v>
      </c>
      <c r="S72" s="266">
        <f t="shared" si="204"/>
        <v>0</v>
      </c>
      <c r="T72" s="266">
        <f t="shared" si="204"/>
        <v>0</v>
      </c>
      <c r="U72" s="266">
        <f t="shared" si="204"/>
        <v>0</v>
      </c>
      <c r="V72" s="266">
        <f t="shared" si="204"/>
        <v>0</v>
      </c>
      <c r="W72" s="266">
        <f t="shared" si="204"/>
        <v>0</v>
      </c>
      <c r="X72" s="266">
        <f t="shared" si="204"/>
        <v>0</v>
      </c>
      <c r="Y72" s="266">
        <f t="shared" si="204"/>
        <v>-945.3385851056255</v>
      </c>
      <c r="Z72" s="266">
        <f t="shared" si="204"/>
        <v>-1893.8282988282699</v>
      </c>
      <c r="AA72" s="266">
        <f t="shared" si="204"/>
        <v>-2845.4770189894762</v>
      </c>
      <c r="AB72" s="266">
        <f t="shared" si="204"/>
        <v>-3800.2926409170555</v>
      </c>
      <c r="AC72" s="266">
        <f t="shared" si="204"/>
        <v>-4758.2830774815639</v>
      </c>
      <c r="AD72" s="266">
        <f t="shared" si="204"/>
        <v>-5719.4562591328395</v>
      </c>
      <c r="AE72" s="266">
        <f t="shared" si="204"/>
        <v>-6683.8201339366269</v>
      </c>
      <c r="AF72" s="266">
        <f t="shared" si="204"/>
        <v>-7651.3826676112621</v>
      </c>
      <c r="AG72" s="266">
        <f t="shared" si="204"/>
        <v>-8629.3250148153256</v>
      </c>
      <c r="AH72" s="266">
        <f t="shared" si="204"/>
        <v>-9612.1092526137381</v>
      </c>
      <c r="AI72" s="266">
        <f t="shared" si="204"/>
        <v>-9636.1395257452714</v>
      </c>
      <c r="AJ72" s="266">
        <f t="shared" si="204"/>
        <v>-9660.2298745596345</v>
      </c>
      <c r="AK72" s="266">
        <f t="shared" si="204"/>
        <v>-9684.3804492460313</v>
      </c>
      <c r="AL72" s="266">
        <f t="shared" si="204"/>
        <v>-9708.5914003691487</v>
      </c>
      <c r="AM72" s="266">
        <f t="shared" si="204"/>
        <v>-9732.8628788700698</v>
      </c>
      <c r="AN72" s="266">
        <f t="shared" si="204"/>
        <v>-9757.1950360672454</v>
      </c>
      <c r="AO72" s="266">
        <f t="shared" si="204"/>
        <v>-9781.5880236574121</v>
      </c>
      <c r="AP72" s="266">
        <f t="shared" si="204"/>
        <v>-9806.0419937165552</v>
      </c>
      <c r="AQ72" s="266">
        <f t="shared" si="204"/>
        <v>-9830.557098700845</v>
      </c>
      <c r="AR72" s="266">
        <f t="shared" si="204"/>
        <v>-9855.1334914475974</v>
      </c>
      <c r="AS72" s="266">
        <f t="shared" si="204"/>
        <v>-9879.7713251762161</v>
      </c>
      <c r="AT72" s="266">
        <f t="shared" si="204"/>
        <v>-9904.470753489155</v>
      </c>
      <c r="AU72" s="266">
        <f t="shared" si="204"/>
        <v>-9929.2319303728782</v>
      </c>
      <c r="AV72" s="266">
        <f t="shared" si="204"/>
        <v>-9954.0550101988083</v>
      </c>
      <c r="AW72" s="266">
        <f t="shared" si="204"/>
        <v>-9978.9401477243046</v>
      </c>
      <c r="AX72" s="266">
        <f t="shared" si="204"/>
        <v>-10003.887498093614</v>
      </c>
      <c r="AY72" s="266">
        <f t="shared" si="204"/>
        <v>-10028.897216838848</v>
      </c>
      <c r="AZ72" s="266">
        <f t="shared" si="204"/>
        <v>-10053.969459880944</v>
      </c>
      <c r="BA72" s="266">
        <f t="shared" si="204"/>
        <v>-10079.104383530646</v>
      </c>
      <c r="BB72" s="266">
        <f t="shared" si="204"/>
        <v>-10104.302144489473</v>
      </c>
      <c r="BC72" s="266">
        <f t="shared" si="204"/>
        <v>-10129.562899850698</v>
      </c>
      <c r="BD72" s="266">
        <f t="shared" si="204"/>
        <v>-10154.886807100322</v>
      </c>
      <c r="BE72" s="266">
        <f t="shared" si="204"/>
        <v>-10180.274024118073</v>
      </c>
      <c r="BF72" s="266">
        <f t="shared" si="204"/>
        <v>-10205.724709178368</v>
      </c>
      <c r="BG72" s="266">
        <f t="shared" si="204"/>
        <v>-10231.239020951314</v>
      </c>
      <c r="BH72" s="266">
        <f t="shared" si="204"/>
        <v>-10256.817118503692</v>
      </c>
      <c r="BI72" s="266">
        <f t="shared" si="204"/>
        <v>-10282.459161299948</v>
      </c>
      <c r="BJ72" s="266">
        <f t="shared" si="204"/>
        <v>-10308.165309203199</v>
      </c>
      <c r="BK72" s="266">
        <f t="shared" si="204"/>
        <v>-10333.935722476206</v>
      </c>
      <c r="BL72" s="266">
        <f t="shared" si="204"/>
        <v>-10359.770561782394</v>
      </c>
      <c r="BM72" s="266">
        <f t="shared" si="204"/>
        <v>-10385.66998818685</v>
      </c>
      <c r="BN72" s="266">
        <f t="shared" si="204"/>
        <v>-10411.634163157318</v>
      </c>
      <c r="BO72" s="266">
        <f t="shared" si="204"/>
        <v>-10437.66324856521</v>
      </c>
      <c r="BP72" s="266">
        <f t="shared" si="204"/>
        <v>-10463.757406686624</v>
      </c>
      <c r="BQ72" s="266">
        <f t="shared" si="204"/>
        <v>-10489.91680020334</v>
      </c>
      <c r="BR72" s="266">
        <f t="shared" si="204"/>
        <v>-10516.141592203849</v>
      </c>
      <c r="BS72" s="266">
        <f t="shared" si="204"/>
        <v>-10542.431946184357</v>
      </c>
      <c r="BT72" s="266">
        <f t="shared" si="204"/>
        <v>-10568.788026049817</v>
      </c>
      <c r="BU72" s="266">
        <f t="shared" si="204"/>
        <v>-10595.209996114942</v>
      </c>
      <c r="BV72" s="266">
        <f t="shared" si="200"/>
        <v>-10621.698021105229</v>
      </c>
      <c r="BW72" s="266">
        <f t="shared" si="200"/>
        <v>-10648.252266157991</v>
      </c>
      <c r="BX72" s="266">
        <f t="shared" si="200"/>
        <v>-10674.872896823386</v>
      </c>
      <c r="BY72" s="266">
        <f t="shared" si="200"/>
        <v>-10701.560079065443</v>
      </c>
      <c r="BZ72" s="266">
        <f t="shared" si="200"/>
        <v>-10728.313979263106</v>
      </c>
      <c r="CA72" s="266">
        <f t="shared" si="200"/>
        <v>-10755.134764211263</v>
      </c>
      <c r="CB72" s="266">
        <f t="shared" si="200"/>
        <v>-10782.022601121791</v>
      </c>
      <c r="CC72" s="266">
        <f t="shared" si="200"/>
        <v>-10808.977657624595</v>
      </c>
      <c r="CD72" s="266">
        <f t="shared" si="200"/>
        <v>-10836.000101768655</v>
      </c>
      <c r="CE72" s="266">
        <f t="shared" si="200"/>
        <v>-10863.090102023076</v>
      </c>
      <c r="CF72" s="266">
        <f t="shared" si="200"/>
        <v>-10890.247827278134</v>
      </c>
      <c r="CG72" s="266">
        <f t="shared" si="200"/>
        <v>-10917.473446846328</v>
      </c>
      <c r="CH72" s="266">
        <f t="shared" si="200"/>
        <v>-10944.767130463444</v>
      </c>
      <c r="CI72" s="266">
        <f t="shared" si="200"/>
        <v>-10972.129048289602</v>
      </c>
      <c r="CJ72" s="266">
        <f t="shared" si="200"/>
        <v>-10999.559370910325</v>
      </c>
      <c r="CK72" s="266">
        <f t="shared" si="200"/>
        <v>-11027.0582693376</v>
      </c>
      <c r="CL72" s="266">
        <f t="shared" si="200"/>
        <v>-11054.625915010945</v>
      </c>
      <c r="CM72" s="266">
        <f t="shared" si="200"/>
        <v>-11082.262479798472</v>
      </c>
      <c r="CN72" s="266">
        <f t="shared" si="200"/>
        <v>-11109.968135997966</v>
      </c>
      <c r="CO72" s="266">
        <f t="shared" si="200"/>
        <v>-11137.743056337962</v>
      </c>
      <c r="CP72" s="266">
        <f t="shared" si="200"/>
        <v>-11165.587413978808</v>
      </c>
      <c r="CQ72" s="266">
        <f t="shared" si="200"/>
        <v>-11193.501382513754</v>
      </c>
      <c r="CR72" s="266">
        <f t="shared" si="200"/>
        <v>-11221.485135970039</v>
      </c>
      <c r="CS72" s="266">
        <f t="shared" si="200"/>
        <v>-11249.538848809962</v>
      </c>
      <c r="CT72" s="266">
        <f t="shared" si="200"/>
        <v>-11277.662695931987</v>
      </c>
      <c r="CU72" s="266">
        <f t="shared" si="200"/>
        <v>-11305.856852671815</v>
      </c>
      <c r="CV72" s="266">
        <f t="shared" si="200"/>
        <v>-11334.121494803494</v>
      </c>
      <c r="CW72" s="266">
        <f t="shared" si="200"/>
        <v>-11362.456798540503</v>
      </c>
      <c r="CX72" s="266">
        <f t="shared" si="200"/>
        <v>-11390.862940536852</v>
      </c>
      <c r="CY72" s="266">
        <f t="shared" si="200"/>
        <v>-11419.340097888195</v>
      </c>
      <c r="CZ72" s="266">
        <f t="shared" si="200"/>
        <v>-11447.888448132913</v>
      </c>
      <c r="DA72" s="266">
        <f t="shared" si="200"/>
        <v>-11476.508169253244</v>
      </c>
      <c r="DB72" s="266">
        <f t="shared" si="200"/>
        <v>-11505.199439676377</v>
      </c>
      <c r="DC72" s="266">
        <f t="shared" si="200"/>
        <v>-11533.962438275568</v>
      </c>
      <c r="DD72" s="266">
        <f t="shared" si="200"/>
        <v>-11562.797344371256</v>
      </c>
      <c r="DE72" s="266">
        <f t="shared" si="200"/>
        <v>-11591.704337732184</v>
      </c>
      <c r="DF72" s="266">
        <f t="shared" si="200"/>
        <v>-11620.683598576512</v>
      </c>
      <c r="DG72" s="266">
        <f t="shared" si="200"/>
        <v>-11649.735307572953</v>
      </c>
      <c r="DH72" s="266">
        <f t="shared" si="200"/>
        <v>-11678.859645841885</v>
      </c>
      <c r="DI72" s="266">
        <f t="shared" si="200"/>
        <v>-11708.05679495649</v>
      </c>
      <c r="DJ72" s="266">
        <f t="shared" si="200"/>
        <v>-11737.32693694388</v>
      </c>
      <c r="DK72" s="266">
        <f t="shared" si="200"/>
        <v>-11766.67025428624</v>
      </c>
      <c r="DL72" s="266">
        <f t="shared" si="200"/>
        <v>-11796.086929921954</v>
      </c>
      <c r="DM72" s="266">
        <f t="shared" si="200"/>
        <v>-11825.577147246759</v>
      </c>
      <c r="DN72" s="266">
        <f t="shared" si="200"/>
        <v>-11855.141090114874</v>
      </c>
      <c r="DO72" s="266">
        <f t="shared" si="200"/>
        <v>-11884.778942840161</v>
      </c>
      <c r="DP72" s="266">
        <f t="shared" si="200"/>
        <v>-11914.490890197261</v>
      </c>
      <c r="DQ72" s="266">
        <f t="shared" si="200"/>
        <v>-11944.277117422755</v>
      </c>
      <c r="DR72" s="266">
        <f t="shared" si="200"/>
        <v>-11974.137810216313</v>
      </c>
      <c r="DS72" s="266">
        <f t="shared" si="200"/>
        <v>-12004.073154741851</v>
      </c>
      <c r="DT72" s="266">
        <f t="shared" si="200"/>
        <v>-12034.083337628705</v>
      </c>
      <c r="DU72" s="266">
        <f t="shared" si="200"/>
        <v>-12064.168545972776</v>
      </c>
      <c r="DV72" s="266">
        <f t="shared" si="200"/>
        <v>-12094.328967337708</v>
      </c>
      <c r="DW72" s="266">
        <f t="shared" si="200"/>
        <v>-12124.564789756052</v>
      </c>
      <c r="DX72" s="266">
        <f t="shared" si="200"/>
        <v>-12154.876201730442</v>
      </c>
      <c r="DY72" s="266">
        <f t="shared" si="200"/>
        <v>-12185.263392234767</v>
      </c>
      <c r="DZ72" s="266">
        <f t="shared" si="200"/>
        <v>-12215.726550715353</v>
      </c>
      <c r="EA72" s="266">
        <f t="shared" si="200"/>
        <v>-12246.265867092139</v>
      </c>
      <c r="EB72" s="266">
        <f t="shared" si="200"/>
        <v>-12276.881531759869</v>
      </c>
      <c r="EC72" s="266">
        <f t="shared" si="200"/>
        <v>-12307.573735589269</v>
      </c>
      <c r="ED72" s="266">
        <f t="shared" si="200"/>
        <v>-12338.342669928241</v>
      </c>
      <c r="EE72" s="266">
        <f t="shared" si="200"/>
        <v>-12369.188526603062</v>
      </c>
      <c r="EF72" s="266">
        <f t="shared" si="200"/>
        <v>-12400.111497919568</v>
      </c>
      <c r="EG72" s="266">
        <f t="shared" ref="EG72:EJ73" si="205">-EG35/12*EG$22</f>
        <v>-12431.111776664366</v>
      </c>
      <c r="EH72" s="266">
        <f t="shared" si="205"/>
        <v>-12462.189556106026</v>
      </c>
      <c r="EI72" s="266">
        <f t="shared" si="205"/>
        <v>-12493.345029996291</v>
      </c>
      <c r="EJ72" s="266">
        <f t="shared" si="205"/>
        <v>-12524.57839257128</v>
      </c>
      <c r="EK72" s="8"/>
      <c r="EL72" s="12">
        <f t="shared" si="202"/>
        <v>0</v>
      </c>
      <c r="EM72" s="12">
        <f t="shared" si="202"/>
        <v>0</v>
      </c>
      <c r="EN72" s="12">
        <f t="shared" si="202"/>
        <v>-34297.878682002716</v>
      </c>
      <c r="EO72" s="12">
        <f t="shared" si="202"/>
        <v>-115694.15403980888</v>
      </c>
      <c r="EP72" s="12">
        <f t="shared" si="202"/>
        <v>-120201.07957674592</v>
      </c>
      <c r="EQ72" s="12">
        <f t="shared" si="202"/>
        <v>-123857.1104341092</v>
      </c>
      <c r="ER72" s="12">
        <f t="shared" si="202"/>
        <v>-127624.34296850453</v>
      </c>
      <c r="ES72" s="12">
        <f t="shared" si="202"/>
        <v>-131506.15948534914</v>
      </c>
      <c r="ET72" s="12">
        <f t="shared" si="202"/>
        <v>-135506.0451661163</v>
      </c>
      <c r="EU72" s="12">
        <f t="shared" si="202"/>
        <v>-139627.59119740853</v>
      </c>
      <c r="EV72" s="12">
        <f t="shared" si="202"/>
        <v>-143874.49799520566</v>
      </c>
      <c r="EW72" s="12">
        <f t="shared" si="202"/>
        <v>-148250.57852718025</v>
      </c>
    </row>
    <row r="73" spans="2:153" x14ac:dyDescent="0.4">
      <c r="B73" s="61" t="s">
        <v>44</v>
      </c>
      <c r="E73" s="57"/>
      <c r="F73" s="14" cm="1">
        <f t="array" ref="F73">SUMPRODUCT(($H73:$EJ73)*($H$6:$EJ$6&lt;=$C$5))</f>
        <v>-439976.62931731413</v>
      </c>
      <c r="H73" s="12"/>
      <c r="I73" s="266">
        <f>-I36/12*I$22</f>
        <v>0</v>
      </c>
      <c r="J73" s="266">
        <f t="shared" si="204"/>
        <v>0</v>
      </c>
      <c r="K73" s="266">
        <f t="shared" si="204"/>
        <v>0</v>
      </c>
      <c r="L73" s="266">
        <f t="shared" si="204"/>
        <v>0</v>
      </c>
      <c r="M73" s="266">
        <f t="shared" si="204"/>
        <v>0</v>
      </c>
      <c r="N73" s="266">
        <f t="shared" si="204"/>
        <v>0</v>
      </c>
      <c r="O73" s="266">
        <f t="shared" si="204"/>
        <v>0</v>
      </c>
      <c r="P73" s="266">
        <f t="shared" si="204"/>
        <v>0</v>
      </c>
      <c r="Q73" s="266">
        <f t="shared" si="204"/>
        <v>0</v>
      </c>
      <c r="R73" s="266">
        <f t="shared" si="204"/>
        <v>0</v>
      </c>
      <c r="S73" s="266">
        <f t="shared" si="204"/>
        <v>0</v>
      </c>
      <c r="T73" s="266">
        <f t="shared" si="204"/>
        <v>0</v>
      </c>
      <c r="U73" s="266">
        <f t="shared" si="204"/>
        <v>0</v>
      </c>
      <c r="V73" s="266">
        <f t="shared" si="204"/>
        <v>0</v>
      </c>
      <c r="W73" s="266">
        <f t="shared" si="204"/>
        <v>0</v>
      </c>
      <c r="X73" s="266">
        <f t="shared" si="204"/>
        <v>0</v>
      </c>
      <c r="Y73" s="266">
        <f t="shared" si="204"/>
        <v>-2772.9931829765023</v>
      </c>
      <c r="Z73" s="266">
        <f t="shared" si="204"/>
        <v>-5555.2296765629271</v>
      </c>
      <c r="AA73" s="266">
        <f t="shared" si="204"/>
        <v>-8346.7325890357988</v>
      </c>
      <c r="AB73" s="266">
        <f t="shared" si="204"/>
        <v>-11147.525080023366</v>
      </c>
      <c r="AC73" s="266">
        <f t="shared" si="204"/>
        <v>-13957.630360612591</v>
      </c>
      <c r="AD73" s="266">
        <f t="shared" si="204"/>
        <v>-16777.071693456335</v>
      </c>
      <c r="AE73" s="266">
        <f t="shared" si="204"/>
        <v>-19605.872392880778</v>
      </c>
      <c r="AF73" s="266">
        <f t="shared" si="204"/>
        <v>-22444.055824993044</v>
      </c>
      <c r="AG73" s="266">
        <f t="shared" si="204"/>
        <v>-25312.686710124963</v>
      </c>
      <c r="AH73" s="266">
        <f t="shared" si="204"/>
        <v>-28195.520474333636</v>
      </c>
      <c r="AI73" s="266">
        <f t="shared" si="204"/>
        <v>-28266.009275519467</v>
      </c>
      <c r="AJ73" s="266">
        <f t="shared" si="204"/>
        <v>-28336.674298708265</v>
      </c>
      <c r="AK73" s="266">
        <f t="shared" si="204"/>
        <v>-28407.515984455033</v>
      </c>
      <c r="AL73" s="266">
        <f t="shared" si="204"/>
        <v>-28478.53477441617</v>
      </c>
      <c r="AM73" s="266">
        <f t="shared" si="204"/>
        <v>-28549.731111352205</v>
      </c>
      <c r="AN73" s="266">
        <f t="shared" si="204"/>
        <v>-28621.105439130588</v>
      </c>
      <c r="AO73" s="266">
        <f t="shared" si="204"/>
        <v>-28692.658202728417</v>
      </c>
      <c r="AP73" s="266">
        <f t="shared" si="204"/>
        <v>-28764.389848235238</v>
      </c>
      <c r="AQ73" s="266">
        <f t="shared" si="204"/>
        <v>-28836.300822855821</v>
      </c>
      <c r="AR73" s="266">
        <f t="shared" si="204"/>
        <v>-28908.391574912959</v>
      </c>
      <c r="AS73" s="266">
        <f t="shared" si="204"/>
        <v>-28980.662553850238</v>
      </c>
      <c r="AT73" s="266">
        <f t="shared" si="204"/>
        <v>-29053.11421023486</v>
      </c>
      <c r="AU73" s="266">
        <f t="shared" si="204"/>
        <v>-29125.746995760448</v>
      </c>
      <c r="AV73" s="266">
        <f t="shared" si="204"/>
        <v>-29198.56136324985</v>
      </c>
      <c r="AW73" s="266">
        <f t="shared" si="204"/>
        <v>-29271.557766657967</v>
      </c>
      <c r="AX73" s="266">
        <f t="shared" si="204"/>
        <v>-29344.736661074614</v>
      </c>
      <c r="AY73" s="266">
        <f t="shared" si="204"/>
        <v>-29418.098502727298</v>
      </c>
      <c r="AZ73" s="266">
        <f t="shared" si="204"/>
        <v>-29491.643748984116</v>
      </c>
      <c r="BA73" s="266">
        <f t="shared" si="204"/>
        <v>-29565.372858356575</v>
      </c>
      <c r="BB73" s="266">
        <f t="shared" si="204"/>
        <v>-29639.286290502463</v>
      </c>
      <c r="BC73" s="266">
        <f t="shared" si="204"/>
        <v>-29713.384506228715</v>
      </c>
      <c r="BD73" s="266">
        <f t="shared" si="204"/>
        <v>-29787.667967494286</v>
      </c>
      <c r="BE73" s="266">
        <f t="shared" si="204"/>
        <v>-29862.137137413021</v>
      </c>
      <c r="BF73" s="266">
        <f t="shared" si="204"/>
        <v>-29936.792480256554</v>
      </c>
      <c r="BG73" s="266">
        <f t="shared" si="204"/>
        <v>-30011.63446145719</v>
      </c>
      <c r="BH73" s="266">
        <f t="shared" si="204"/>
        <v>-30086.663547610835</v>
      </c>
      <c r="BI73" s="266">
        <f t="shared" si="204"/>
        <v>-30161.880206479862</v>
      </c>
      <c r="BJ73" s="266">
        <f t="shared" si="204"/>
        <v>-30237.284906996058</v>
      </c>
      <c r="BK73" s="266">
        <f t="shared" si="204"/>
        <v>-30312.878119263547</v>
      </c>
      <c r="BL73" s="266">
        <f t="shared" si="204"/>
        <v>-30388.660314561705</v>
      </c>
      <c r="BM73" s="266">
        <f t="shared" si="204"/>
        <v>-30464.631965348104</v>
      </c>
      <c r="BN73" s="266">
        <f t="shared" si="204"/>
        <v>-30540.793545261469</v>
      </c>
      <c r="BO73" s="266">
        <f t="shared" si="204"/>
        <v>-30617.14552912462</v>
      </c>
      <c r="BP73" s="266">
        <f t="shared" si="204"/>
        <v>-30693.688392947435</v>
      </c>
      <c r="BQ73" s="266">
        <f t="shared" si="204"/>
        <v>-30770.422613929801</v>
      </c>
      <c r="BR73" s="266">
        <f t="shared" si="204"/>
        <v>-30847.348670464624</v>
      </c>
      <c r="BS73" s="266">
        <f t="shared" si="204"/>
        <v>-30924.467042140783</v>
      </c>
      <c r="BT73" s="266">
        <f t="shared" si="204"/>
        <v>-31001.778209746135</v>
      </c>
      <c r="BU73" s="266">
        <f t="shared" si="204"/>
        <v>-31079.282655270501</v>
      </c>
      <c r="BV73" s="266">
        <f t="shared" ref="BV73:EG73" si="206">-BV36/12*BV$22</f>
        <v>-31156.980861908673</v>
      </c>
      <c r="BW73" s="266">
        <f t="shared" si="206"/>
        <v>-31234.873314063439</v>
      </c>
      <c r="BX73" s="266">
        <f t="shared" si="206"/>
        <v>-31312.960497348598</v>
      </c>
      <c r="BY73" s="266">
        <f t="shared" si="206"/>
        <v>-31391.242898591969</v>
      </c>
      <c r="BZ73" s="266">
        <f t="shared" si="206"/>
        <v>-31469.721005838448</v>
      </c>
      <c r="CA73" s="266">
        <f t="shared" si="206"/>
        <v>-31548.395308353043</v>
      </c>
      <c r="CB73" s="266">
        <f t="shared" si="206"/>
        <v>-31627.266296623922</v>
      </c>
      <c r="CC73" s="266">
        <f t="shared" si="206"/>
        <v>-31706.334462365481</v>
      </c>
      <c r="CD73" s="266">
        <f t="shared" si="206"/>
        <v>-31785.600298521396</v>
      </c>
      <c r="CE73" s="266">
        <f t="shared" si="206"/>
        <v>-31865.064299267695</v>
      </c>
      <c r="CF73" s="266">
        <f t="shared" si="206"/>
        <v>-31944.726960015869</v>
      </c>
      <c r="CG73" s="266">
        <f t="shared" si="206"/>
        <v>-32024.588777415905</v>
      </c>
      <c r="CH73" s="266">
        <f t="shared" si="206"/>
        <v>-32104.650249359442</v>
      </c>
      <c r="CI73" s="266">
        <f t="shared" si="206"/>
        <v>-32184.911874982841</v>
      </c>
      <c r="CJ73" s="266">
        <f t="shared" si="206"/>
        <v>-32265.374154670291</v>
      </c>
      <c r="CK73" s="266">
        <f t="shared" si="206"/>
        <v>-32346.037590056967</v>
      </c>
      <c r="CL73" s="266">
        <f t="shared" si="206"/>
        <v>-32426.902684032109</v>
      </c>
      <c r="CM73" s="266">
        <f t="shared" si="206"/>
        <v>-32507.969940742183</v>
      </c>
      <c r="CN73" s="266">
        <f t="shared" si="206"/>
        <v>-32589.239865594041</v>
      </c>
      <c r="CO73" s="266">
        <f t="shared" si="206"/>
        <v>-32670.712965258022</v>
      </c>
      <c r="CP73" s="266">
        <f t="shared" si="206"/>
        <v>-32752.389747671161</v>
      </c>
      <c r="CQ73" s="266">
        <f t="shared" si="206"/>
        <v>-32834.270722040339</v>
      </c>
      <c r="CR73" s="266">
        <f t="shared" si="206"/>
        <v>-32916.356398845441</v>
      </c>
      <c r="CS73" s="266">
        <f t="shared" si="206"/>
        <v>-32998.647289842542</v>
      </c>
      <c r="CT73" s="266">
        <f t="shared" si="206"/>
        <v>-33081.143908067148</v>
      </c>
      <c r="CU73" s="266">
        <f t="shared" si="206"/>
        <v>-33163.846767837313</v>
      </c>
      <c r="CV73" s="266">
        <f t="shared" si="206"/>
        <v>-33246.756384756911</v>
      </c>
      <c r="CW73" s="266">
        <f t="shared" si="206"/>
        <v>-33329.873275718797</v>
      </c>
      <c r="CX73" s="266">
        <f t="shared" si="206"/>
        <v>-33413.197958908087</v>
      </c>
      <c r="CY73" s="266">
        <f t="shared" si="206"/>
        <v>-33496.73095380536</v>
      </c>
      <c r="CZ73" s="266">
        <f t="shared" si="206"/>
        <v>-33580.47278118987</v>
      </c>
      <c r="DA73" s="266">
        <f t="shared" si="206"/>
        <v>-33664.423963142843</v>
      </c>
      <c r="DB73" s="266">
        <f t="shared" si="206"/>
        <v>-33748.585023050699</v>
      </c>
      <c r="DC73" s="266">
        <f t="shared" si="206"/>
        <v>-33832.956485608323</v>
      </c>
      <c r="DD73" s="266">
        <f t="shared" si="206"/>
        <v>-33917.538876822342</v>
      </c>
      <c r="DE73" s="266">
        <f t="shared" si="206"/>
        <v>-34002.332724014399</v>
      </c>
      <c r="DF73" s="266">
        <f t="shared" si="206"/>
        <v>-34087.338555824426</v>
      </c>
      <c r="DG73" s="266">
        <f t="shared" si="206"/>
        <v>-34172.55690221399</v>
      </c>
      <c r="DH73" s="266">
        <f t="shared" si="206"/>
        <v>-34257.98829446952</v>
      </c>
      <c r="DI73" s="266">
        <f t="shared" si="206"/>
        <v>-34343.633265205695</v>
      </c>
      <c r="DJ73" s="266">
        <f t="shared" si="206"/>
        <v>-34429.492348368709</v>
      </c>
      <c r="DK73" s="266">
        <f t="shared" si="206"/>
        <v>-34515.566079239623</v>
      </c>
      <c r="DL73" s="266">
        <f t="shared" si="206"/>
        <v>-34601.854994437723</v>
      </c>
      <c r="DM73" s="266">
        <f t="shared" si="206"/>
        <v>-34688.35963192382</v>
      </c>
      <c r="DN73" s="266">
        <f t="shared" si="206"/>
        <v>-34775.080531003623</v>
      </c>
      <c r="DO73" s="266">
        <f t="shared" si="206"/>
        <v>-34862.018232331131</v>
      </c>
      <c r="DP73" s="266">
        <f t="shared" si="206"/>
        <v>-34949.173277911956</v>
      </c>
      <c r="DQ73" s="266">
        <f t="shared" si="206"/>
        <v>-35036.546211106732</v>
      </c>
      <c r="DR73" s="266">
        <f t="shared" si="206"/>
        <v>-35124.137576634501</v>
      </c>
      <c r="DS73" s="266">
        <f t="shared" si="206"/>
        <v>-35211.947920576087</v>
      </c>
      <c r="DT73" s="266">
        <f t="shared" si="206"/>
        <v>-35299.977790377518</v>
      </c>
      <c r="DU73" s="266">
        <f t="shared" si="206"/>
        <v>-35388.22773485347</v>
      </c>
      <c r="DV73" s="266">
        <f t="shared" si="206"/>
        <v>-35476.698304190599</v>
      </c>
      <c r="DW73" s="266">
        <f t="shared" si="206"/>
        <v>-35565.390049951071</v>
      </c>
      <c r="DX73" s="266">
        <f t="shared" si="206"/>
        <v>-35654.303525075949</v>
      </c>
      <c r="DY73" s="266">
        <f t="shared" si="206"/>
        <v>-35743.439283888634</v>
      </c>
      <c r="DZ73" s="266">
        <f t="shared" si="206"/>
        <v>-35832.797882098355</v>
      </c>
      <c r="EA73" s="266">
        <f t="shared" si="206"/>
        <v>-35922.379876803599</v>
      </c>
      <c r="EB73" s="266">
        <f t="shared" si="206"/>
        <v>-36012.18582649561</v>
      </c>
      <c r="EC73" s="266">
        <f t="shared" si="206"/>
        <v>-36102.216291061843</v>
      </c>
      <c r="ED73" s="266">
        <f t="shared" si="206"/>
        <v>-36192.471831789495</v>
      </c>
      <c r="EE73" s="266">
        <f t="shared" si="206"/>
        <v>-36282.953011368962</v>
      </c>
      <c r="EF73" s="266">
        <f t="shared" si="206"/>
        <v>-36373.660393897386</v>
      </c>
      <c r="EG73" s="266">
        <f t="shared" si="206"/>
        <v>-36464.594544882129</v>
      </c>
      <c r="EH73" s="266">
        <f t="shared" si="205"/>
        <v>-36555.756031244338</v>
      </c>
      <c r="EI73" s="266">
        <f t="shared" si="205"/>
        <v>-36647.145421322442</v>
      </c>
      <c r="EJ73" s="266">
        <f t="shared" si="205"/>
        <v>-36738.763284875749</v>
      </c>
      <c r="EK73" s="8"/>
      <c r="EL73" s="12">
        <f t="shared" si="202"/>
        <v>0</v>
      </c>
      <c r="EM73" s="12">
        <f t="shared" si="202"/>
        <v>0</v>
      </c>
      <c r="EN73" s="12">
        <f t="shared" si="202"/>
        <v>-100607.11080054134</v>
      </c>
      <c r="EO73" s="12">
        <f t="shared" si="202"/>
        <v>-339369.51851677278</v>
      </c>
      <c r="EP73" s="12">
        <f t="shared" si="202"/>
        <v>-352589.8334251215</v>
      </c>
      <c r="EQ73" s="12">
        <f t="shared" si="202"/>
        <v>-363314.1906067204</v>
      </c>
      <c r="ER73" s="12">
        <f t="shared" si="202"/>
        <v>-374364.73937427992</v>
      </c>
      <c r="ES73" s="12">
        <f t="shared" si="202"/>
        <v>-385751.4011570242</v>
      </c>
      <c r="ET73" s="12">
        <f t="shared" si="202"/>
        <v>-397484.39915394096</v>
      </c>
      <c r="EU73" s="12">
        <f t="shared" si="202"/>
        <v>-409574.26751239825</v>
      </c>
      <c r="EV73" s="12">
        <f t="shared" si="202"/>
        <v>-422031.86078593647</v>
      </c>
      <c r="EW73" s="12">
        <f t="shared" si="202"/>
        <v>-434868.36367972859</v>
      </c>
    </row>
    <row r="74" spans="2:153" x14ac:dyDescent="0.4">
      <c r="B74" s="61" t="s">
        <v>45</v>
      </c>
      <c r="E74" s="57"/>
      <c r="F74" s="14" cm="1">
        <f t="array" ref="F74">SUMPRODUCT(($H74:$EJ74)*($H$6:$EJ$6&lt;=$C$5))</f>
        <v>-183666.17131647983</v>
      </c>
      <c r="H74" s="12"/>
      <c r="I74" s="245">
        <f>-'Inputs &amp; Drivers'!$H$54*Model!I55</f>
        <v>0</v>
      </c>
      <c r="J74" s="245">
        <f>-'Inputs &amp; Drivers'!$H$54*Model!J55</f>
        <v>0</v>
      </c>
      <c r="K74" s="245">
        <f>-'Inputs &amp; Drivers'!$H$54*Model!K55</f>
        <v>0</v>
      </c>
      <c r="L74" s="245">
        <f>-'Inputs &amp; Drivers'!$H$54*Model!L55</f>
        <v>0</v>
      </c>
      <c r="M74" s="245">
        <f>-'Inputs &amp; Drivers'!$H$54*Model!M55</f>
        <v>0</v>
      </c>
      <c r="N74" s="245">
        <f>-'Inputs &amp; Drivers'!$H$54*Model!N55</f>
        <v>0</v>
      </c>
      <c r="O74" s="245">
        <f>-'Inputs &amp; Drivers'!$H$54*Model!O55</f>
        <v>0</v>
      </c>
      <c r="P74" s="245">
        <f>-'Inputs &amp; Drivers'!$H$54*Model!P55</f>
        <v>0</v>
      </c>
      <c r="Q74" s="245">
        <f>-'Inputs &amp; Drivers'!$H$54*Model!Q55</f>
        <v>0</v>
      </c>
      <c r="R74" s="245">
        <f>-'Inputs &amp; Drivers'!$H$54*Model!R55</f>
        <v>0</v>
      </c>
      <c r="S74" s="245">
        <f>-'Inputs &amp; Drivers'!$H$54*Model!S55</f>
        <v>0</v>
      </c>
      <c r="T74" s="245">
        <f>-'Inputs &amp; Drivers'!$H$54*Model!T55</f>
        <v>0</v>
      </c>
      <c r="U74" s="245">
        <f>-'Inputs &amp; Drivers'!$H$54*Model!U55</f>
        <v>0</v>
      </c>
      <c r="V74" s="245">
        <f>-'Inputs &amp; Drivers'!$H$54*Model!V55</f>
        <v>0</v>
      </c>
      <c r="W74" s="245">
        <f>-'Inputs &amp; Drivers'!$H$54*Model!W55</f>
        <v>0</v>
      </c>
      <c r="X74" s="245">
        <f>-'Inputs &amp; Drivers'!$H$54*Model!X55</f>
        <v>0</v>
      </c>
      <c r="Y74" s="245">
        <f>-'Inputs &amp; Drivers'!$H$54*Model!Y55</f>
        <v>-1105.0100534843061</v>
      </c>
      <c r="Z74" s="245">
        <f>-'Inputs &amp; Drivers'!$H$54*Model!Z55</f>
        <v>-2213.7034738135599</v>
      </c>
      <c r="AA74" s="245">
        <f>-'Inputs &amp; Drivers'!$H$54*Model!AA55</f>
        <v>-3326.0894694048743</v>
      </c>
      <c r="AB74" s="245">
        <f>-'Inputs &amp; Drivers'!$H$54*Model!AB55</f>
        <v>-4442.1772691385095</v>
      </c>
      <c r="AC74" s="245">
        <f>-'Inputs &amp; Drivers'!$H$54*Model!AC55</f>
        <v>-5561.9761224005106</v>
      </c>
      <c r="AD74" s="245">
        <f>-'Inputs &amp; Drivers'!$H$54*Model!AD55</f>
        <v>-6685.4952991254131</v>
      </c>
      <c r="AE74" s="245">
        <f>-'Inputs &amp; Drivers'!$H$54*Model!AE55</f>
        <v>-7812.7440898390578</v>
      </c>
      <c r="AF74" s="245">
        <f>-'Inputs &amp; Drivers'!$H$54*Model!AF55</f>
        <v>-8943.7318057014763</v>
      </c>
      <c r="AG74" s="245">
        <f>-'Inputs &amp; Drivers'!$H$54*Model!AG55</f>
        <v>-10311.629185103602</v>
      </c>
      <c r="AH74" s="245">
        <f>-'Inputs &amp; Drivers'!$H$54*Model!AH55</f>
        <v>-11486.009175629291</v>
      </c>
      <c r="AI74" s="245">
        <f>-'Inputs &amp; Drivers'!$H$54*Model!AI55</f>
        <v>-11514.724198568365</v>
      </c>
      <c r="AJ74" s="245">
        <f>-'Inputs &amp; Drivers'!$H$54*Model!AJ55</f>
        <v>-11543.511009064783</v>
      </c>
      <c r="AK74" s="245">
        <f>-'Inputs &amp; Drivers'!$H$54*Model!AK55</f>
        <v>-11572.369786587447</v>
      </c>
      <c r="AL74" s="245">
        <f>-'Inputs &amp; Drivers'!$H$54*Model!AL55</f>
        <v>-11601.300711053913</v>
      </c>
      <c r="AM74" s="245">
        <f>-'Inputs &amp; Drivers'!$H$54*Model!AM55</f>
        <v>-11630.303962831547</v>
      </c>
      <c r="AN74" s="245">
        <f>-'Inputs &amp; Drivers'!$H$54*Model!AN55</f>
        <v>-12719.323333896684</v>
      </c>
      <c r="AO74" s="245">
        <f>-'Inputs &amp; Drivers'!$H$54*Model!AO55</f>
        <v>-12751.121642231426</v>
      </c>
      <c r="AP74" s="245">
        <f>-'Inputs &amp; Drivers'!$H$54*Model!AP55</f>
        <v>-12782.999446337002</v>
      </c>
      <c r="AQ74" s="245">
        <f>-'Inputs &amp; Drivers'!$H$54*Model!AQ55</f>
        <v>-12814.956944952846</v>
      </c>
      <c r="AR74" s="245">
        <f>-'Inputs &amp; Drivers'!$H$54*Model!AR55</f>
        <v>-12846.994337315225</v>
      </c>
      <c r="AS74" s="245">
        <f>-'Inputs &amp; Drivers'!$H$54*Model!AS55</f>
        <v>-12879.111823158513</v>
      </c>
      <c r="AT74" s="245">
        <f>-'Inputs &amp; Drivers'!$H$54*Model!AT55</f>
        <v>-12911.30960271641</v>
      </c>
      <c r="AU74" s="245">
        <f>-'Inputs &amp; Drivers'!$H$54*Model!AU55</f>
        <v>-12943.587876723201</v>
      </c>
      <c r="AV74" s="245">
        <f>-'Inputs &amp; Drivers'!$H$54*Model!AV55</f>
        <v>-12975.946846415009</v>
      </c>
      <c r="AW74" s="245">
        <f>-'Inputs &amp; Drivers'!$H$54*Model!AW55</f>
        <v>-13008.386713531047</v>
      </c>
      <c r="AX74" s="245">
        <f>-'Inputs &amp; Drivers'!$H$54*Model!AX55</f>
        <v>-13040.907680314871</v>
      </c>
      <c r="AY74" s="245">
        <f>-'Inputs &amp; Drivers'!$H$54*Model!AY55</f>
        <v>-13073.509949515659</v>
      </c>
      <c r="AZ74" s="245">
        <f>-'Inputs &amp; Drivers'!$H$54*Model!AZ55</f>
        <v>-13106.193724389448</v>
      </c>
      <c r="BA74" s="245">
        <f>-'Inputs &amp; Drivers'!$H$54*Model!BA55</f>
        <v>-13138.95920870042</v>
      </c>
      <c r="BB74" s="245">
        <f>-'Inputs &amp; Drivers'!$H$54*Model!BB55</f>
        <v>-13171.806606722172</v>
      </c>
      <c r="BC74" s="245">
        <f>-'Inputs &amp; Drivers'!$H$54*Model!BC55</f>
        <v>-13204.736123238976</v>
      </c>
      <c r="BD74" s="245">
        <f>-'Inputs &amp; Drivers'!$H$54*Model!BD55</f>
        <v>-13237.747963547072</v>
      </c>
      <c r="BE74" s="245">
        <f>-'Inputs &amp; Drivers'!$H$54*Model!BE55</f>
        <v>-13270.842333455939</v>
      </c>
      <c r="BF74" s="245">
        <f>-'Inputs &amp; Drivers'!$H$54*Model!BF55</f>
        <v>-13304.019439289576</v>
      </c>
      <c r="BG74" s="245">
        <f>-'Inputs &amp; Drivers'!$H$54*Model!BG55</f>
        <v>-13337.279487887799</v>
      </c>
      <c r="BH74" s="245">
        <f>-'Inputs &amp; Drivers'!$H$54*Model!BH55</f>
        <v>-13370.622686607519</v>
      </c>
      <c r="BI74" s="245">
        <f>-'Inputs &amp; Drivers'!$H$54*Model!BI55</f>
        <v>-13404.049243324038</v>
      </c>
      <c r="BJ74" s="245">
        <f>-'Inputs &amp; Drivers'!$H$54*Model!BJ55</f>
        <v>-13437.559366432346</v>
      </c>
      <c r="BK74" s="245">
        <f>-'Inputs &amp; Drivers'!$H$54*Model!BK55</f>
        <v>-13471.153264848424</v>
      </c>
      <c r="BL74" s="245">
        <f>-'Inputs &amp; Drivers'!$H$54*Model!BL55</f>
        <v>-13504.831148010548</v>
      </c>
      <c r="BM74" s="245">
        <f>-'Inputs &amp; Drivers'!$H$54*Model!BM55</f>
        <v>-13538.593225880571</v>
      </c>
      <c r="BN74" s="245">
        <f>-'Inputs &amp; Drivers'!$H$54*Model!BN55</f>
        <v>-13572.439708945274</v>
      </c>
      <c r="BO74" s="245">
        <f>-'Inputs &amp; Drivers'!$H$54*Model!BO55</f>
        <v>-13606.370808217638</v>
      </c>
      <c r="BP74" s="245">
        <f>-'Inputs &amp; Drivers'!$H$54*Model!BP55</f>
        <v>-13640.38673523818</v>
      </c>
      <c r="BQ74" s="245">
        <f>-'Inputs &amp; Drivers'!$H$54*Model!BQ55</f>
        <v>-13674.487702076274</v>
      </c>
      <c r="BR74" s="245">
        <f>-'Inputs &amp; Drivers'!$H$54*Model!BR55</f>
        <v>-13708.673921331465</v>
      </c>
      <c r="BS74" s="245">
        <f>-'Inputs &amp; Drivers'!$H$54*Model!BS55</f>
        <v>-13742.945606134794</v>
      </c>
      <c r="BT74" s="245">
        <f>-'Inputs &amp; Drivers'!$H$54*Model!BT55</f>
        <v>-13777.302970150129</v>
      </c>
      <c r="BU74" s="245">
        <f>-'Inputs &amp; Drivers'!$H$54*Model!BU55</f>
        <v>-13811.746227575504</v>
      </c>
      <c r="BV74" s="245">
        <f>-'Inputs &amp; Drivers'!$H$54*Model!BV55</f>
        <v>-13846.275593144443</v>
      </c>
      <c r="BW74" s="245">
        <f>-'Inputs &amp; Drivers'!$H$54*Model!BW55</f>
        <v>-13880.891282127302</v>
      </c>
      <c r="BX74" s="245">
        <f>-'Inputs &amp; Drivers'!$H$54*Model!BX55</f>
        <v>-13915.593510332621</v>
      </c>
      <c r="BY74" s="245">
        <f>-'Inputs &amp; Drivers'!$H$54*Model!BY55</f>
        <v>-13950.382494108451</v>
      </c>
      <c r="BZ74" s="245">
        <f>-'Inputs &amp; Drivers'!$H$54*Model!BZ55</f>
        <v>-13985.258450343723</v>
      </c>
      <c r="CA74" s="245">
        <f>-'Inputs &amp; Drivers'!$H$54*Model!CA55</f>
        <v>-14020.221596469579</v>
      </c>
      <c r="CB74" s="245">
        <f>-'Inputs &amp; Drivers'!$H$54*Model!CB55</f>
        <v>-14055.272150460751</v>
      </c>
      <c r="CC74" s="245">
        <f>-'Inputs &amp; Drivers'!$H$54*Model!CC55</f>
        <v>-14090.410330836903</v>
      </c>
      <c r="CD74" s="245">
        <f>-'Inputs &amp; Drivers'!$H$54*Model!CD55</f>
        <v>-14125.636356663996</v>
      </c>
      <c r="CE74" s="245">
        <f>-'Inputs &amp; Drivers'!$H$54*Model!CE55</f>
        <v>-14160.950447555655</v>
      </c>
      <c r="CF74" s="245">
        <f>-'Inputs &amp; Drivers'!$H$54*Model!CF55</f>
        <v>-14196.352823674544</v>
      </c>
      <c r="CG74" s="245">
        <f>-'Inputs &amp; Drivers'!$H$54*Model!CG55</f>
        <v>-14231.843705733729</v>
      </c>
      <c r="CH74" s="245">
        <f>-'Inputs &amp; Drivers'!$H$54*Model!CH55</f>
        <v>-14267.423314998065</v>
      </c>
      <c r="CI74" s="245">
        <f>-'Inputs &amp; Drivers'!$H$54*Model!CI55</f>
        <v>-14303.091873285557</v>
      </c>
      <c r="CJ74" s="245">
        <f>-'Inputs &amp; Drivers'!$H$54*Model!CJ55</f>
        <v>-14338.84960296877</v>
      </c>
      <c r="CK74" s="245">
        <f>-'Inputs &amp; Drivers'!$H$54*Model!CK55</f>
        <v>-14374.69672697619</v>
      </c>
      <c r="CL74" s="245">
        <f>-'Inputs &amp; Drivers'!$H$54*Model!CL55</f>
        <v>-14410.633468793629</v>
      </c>
      <c r="CM74" s="245">
        <f>-'Inputs &amp; Drivers'!$H$54*Model!CM55</f>
        <v>-14446.660052465615</v>
      </c>
      <c r="CN74" s="245">
        <f>-'Inputs &amp; Drivers'!$H$54*Model!CN55</f>
        <v>-14482.776702596779</v>
      </c>
      <c r="CO74" s="245">
        <f>-'Inputs &amp; Drivers'!$H$54*Model!CO55</f>
        <v>-14518.983644353271</v>
      </c>
      <c r="CP74" s="245">
        <f>-'Inputs &amp; Drivers'!$H$54*Model!CP55</f>
        <v>-14555.281103464151</v>
      </c>
      <c r="CQ74" s="245">
        <f>-'Inputs &amp; Drivers'!$H$54*Model!CQ55</f>
        <v>-14591.669306222811</v>
      </c>
      <c r="CR74" s="245">
        <f>-'Inputs &amp; Drivers'!$H$54*Model!CR55</f>
        <v>-14628.148479488367</v>
      </c>
      <c r="CS74" s="245">
        <f>-'Inputs &amp; Drivers'!$H$54*Model!CS55</f>
        <v>-14664.718850687088</v>
      </c>
      <c r="CT74" s="245">
        <f>-'Inputs &amp; Drivers'!$H$54*Model!CT55</f>
        <v>-14701.380647813807</v>
      </c>
      <c r="CU74" s="245">
        <f>-'Inputs &amp; Drivers'!$H$54*Model!CU55</f>
        <v>-14738.13409943334</v>
      </c>
      <c r="CV74" s="245">
        <f>-'Inputs &amp; Drivers'!$H$54*Model!CV55</f>
        <v>-14774.979434681922</v>
      </c>
      <c r="CW74" s="245">
        <f>-'Inputs &amp; Drivers'!$H$54*Model!CW55</f>
        <v>-14811.916883268625</v>
      </c>
      <c r="CX74" s="245">
        <f>-'Inputs &amp; Drivers'!$H$54*Model!CX55</f>
        <v>-14848.946675476796</v>
      </c>
      <c r="CY74" s="245">
        <f>-'Inputs &amp; Drivers'!$H$54*Model!CY55</f>
        <v>-14886.069042165489</v>
      </c>
      <c r="CZ74" s="245">
        <f>-'Inputs &amp; Drivers'!$H$54*Model!CZ55</f>
        <v>-14923.284214770903</v>
      </c>
      <c r="DA74" s="245">
        <f>-'Inputs &amp; Drivers'!$H$54*Model!DA55</f>
        <v>-14960.592425307825</v>
      </c>
      <c r="DB74" s="245">
        <f>-'Inputs &amp; Drivers'!$H$54*Model!DB55</f>
        <v>-14997.993906371094</v>
      </c>
      <c r="DC74" s="245">
        <f>-'Inputs &amp; Drivers'!$H$54*Model!DC55</f>
        <v>-15035.48889113702</v>
      </c>
      <c r="DD74" s="245">
        <f>-'Inputs &amp; Drivers'!$H$54*Model!DD55</f>
        <v>-15073.077613364863</v>
      </c>
      <c r="DE74" s="245">
        <f>-'Inputs &amp; Drivers'!$H$54*Model!DE55</f>
        <v>-15110.760307398272</v>
      </c>
      <c r="DF74" s="245">
        <f>-'Inputs &amp; Drivers'!$H$54*Model!DF55</f>
        <v>-15148.537208166768</v>
      </c>
      <c r="DG74" s="245">
        <f>-'Inputs &amp; Drivers'!$H$54*Model!DG55</f>
        <v>-15186.408551187185</v>
      </c>
      <c r="DH74" s="245">
        <f>-'Inputs &amp; Drivers'!$H$54*Model!DH55</f>
        <v>-15224.374572565153</v>
      </c>
      <c r="DI74" s="245">
        <f>-'Inputs &amp; Drivers'!$H$54*Model!DI55</f>
        <v>-15262.435508996565</v>
      </c>
      <c r="DJ74" s="245">
        <f>-'Inputs &amp; Drivers'!$H$54*Model!DJ55</f>
        <v>-15300.591597769053</v>
      </c>
      <c r="DK74" s="245">
        <f>-'Inputs &amp; Drivers'!$H$54*Model!DK55</f>
        <v>-15338.843076763475</v>
      </c>
      <c r="DL74" s="245">
        <f>-'Inputs &amp; Drivers'!$H$54*Model!DL55</f>
        <v>-15377.190184455385</v>
      </c>
      <c r="DM74" s="245">
        <f>-'Inputs &amp; Drivers'!$H$54*Model!DM55</f>
        <v>-15415.633159916521</v>
      </c>
      <c r="DN74" s="245">
        <f>-'Inputs &amp; Drivers'!$H$54*Model!DN55</f>
        <v>-15454.172242816312</v>
      </c>
      <c r="DO74" s="245">
        <f>-'Inputs &amp; Drivers'!$H$54*Model!DO55</f>
        <v>-15492.807673423351</v>
      </c>
      <c r="DP74" s="245">
        <f>-'Inputs &amp; Drivers'!$H$54*Model!DP55</f>
        <v>-15531.539692606908</v>
      </c>
      <c r="DQ74" s="245">
        <f>-'Inputs &amp; Drivers'!$H$54*Model!DQ55</f>
        <v>-15570.36854183843</v>
      </c>
      <c r="DR74" s="245">
        <f>-'Inputs &amp; Drivers'!$H$54*Model!DR55</f>
        <v>-15609.294463193022</v>
      </c>
      <c r="DS74" s="245">
        <f>-'Inputs &amp; Drivers'!$H$54*Model!DS55</f>
        <v>-15648.317699351002</v>
      </c>
      <c r="DT74" s="245">
        <f>-'Inputs &amp; Drivers'!$H$54*Model!DT55</f>
        <v>-15687.43849359938</v>
      </c>
      <c r="DU74" s="245">
        <f>-'Inputs &amp; Drivers'!$H$54*Model!DU55</f>
        <v>-15726.657089833378</v>
      </c>
      <c r="DV74" s="245">
        <f>-'Inputs &amp; Drivers'!$H$54*Model!DV55</f>
        <v>-15765.973732557963</v>
      </c>
      <c r="DW74" s="245">
        <f>-'Inputs &amp; Drivers'!$H$54*Model!DW55</f>
        <v>-15805.388666889356</v>
      </c>
      <c r="DX74" s="245">
        <f>-'Inputs &amp; Drivers'!$H$54*Model!DX55</f>
        <v>-15844.902138556572</v>
      </c>
      <c r="DY74" s="245">
        <f>-'Inputs &amp; Drivers'!$H$54*Model!DY55</f>
        <v>-15884.514393902966</v>
      </c>
      <c r="DZ74" s="245">
        <f>-'Inputs &amp; Drivers'!$H$54*Model!DZ55</f>
        <v>-15924.225679887721</v>
      </c>
      <c r="EA74" s="245">
        <f>-'Inputs &amp; Drivers'!$H$54*Model!EA55</f>
        <v>-15964.036244087438</v>
      </c>
      <c r="EB74" s="245">
        <f>-'Inputs &amp; Drivers'!$H$54*Model!EB55</f>
        <v>-16003.946334697657</v>
      </c>
      <c r="EC74" s="245">
        <f>-'Inputs &amp; Drivers'!$H$54*Model!EC55</f>
        <v>-16043.9562005344</v>
      </c>
      <c r="ED74" s="245">
        <f>-'Inputs &amp; Drivers'!$H$54*Model!ED55</f>
        <v>-16084.066091035735</v>
      </c>
      <c r="EE74" s="245">
        <f>-'Inputs &amp; Drivers'!$H$54*Model!EE55</f>
        <v>-16124.276256263322</v>
      </c>
      <c r="EF74" s="245">
        <f>-'Inputs &amp; Drivers'!$H$54*Model!EF55</f>
        <v>-16164.586946903977</v>
      </c>
      <c r="EG74" s="245">
        <f>-'Inputs &amp; Drivers'!$H$54*Model!EG55</f>
        <v>-16204.99841427124</v>
      </c>
      <c r="EH74" s="245">
        <f>-'Inputs &amp; Drivers'!$H$54*Model!EH55</f>
        <v>-16245.510910306919</v>
      </c>
      <c r="EI74" s="245">
        <f>-'Inputs &amp; Drivers'!$H$54*Model!EI55</f>
        <v>-16286.124687582682</v>
      </c>
      <c r="EJ74" s="245">
        <f>-'Inputs &amp; Drivers'!$H$54*Model!EJ55</f>
        <v>-16326.839999301637</v>
      </c>
      <c r="EK74" s="67"/>
      <c r="EL74" s="12">
        <f t="shared" si="202"/>
        <v>0</v>
      </c>
      <c r="EM74" s="12">
        <f t="shared" si="202"/>
        <v>0</v>
      </c>
      <c r="EN74" s="12">
        <f t="shared" si="202"/>
        <v>-40090.927582907709</v>
      </c>
      <c r="EO74" s="12">
        <f t="shared" si="202"/>
        <v>-143575.24373357213</v>
      </c>
      <c r="EP74" s="12">
        <f t="shared" si="202"/>
        <v>-156692.20411897279</v>
      </c>
      <c r="EQ74" s="12">
        <f t="shared" si="202"/>
        <v>-161458.1474481379</v>
      </c>
      <c r="ER74" s="12">
        <f t="shared" si="202"/>
        <v>-166369.05150425501</v>
      </c>
      <c r="ES74" s="12">
        <f t="shared" si="202"/>
        <v>-171429.32540654944</v>
      </c>
      <c r="ET74" s="12">
        <f t="shared" si="202"/>
        <v>-176643.51238182659</v>
      </c>
      <c r="EU74" s="12">
        <f t="shared" si="202"/>
        <v>-182016.29384348268</v>
      </c>
      <c r="EV74" s="12">
        <f t="shared" si="202"/>
        <v>-187552.49359458219</v>
      </c>
      <c r="EW74" s="12">
        <f t="shared" si="202"/>
        <v>-193257.08215877571</v>
      </c>
    </row>
    <row r="75" spans="2:153" x14ac:dyDescent="0.4">
      <c r="B75" s="61" t="s">
        <v>46</v>
      </c>
      <c r="E75" s="57"/>
      <c r="F75" s="14" cm="1">
        <f t="array" ref="F75">SUMPRODUCT(($H75:$EJ75)*($H$6:$EJ$6&lt;=$C$5))</f>
        <v>-69996.281936845422</v>
      </c>
      <c r="H75" s="12"/>
      <c r="I75" s="266">
        <f>-I38/12*I$22</f>
        <v>0</v>
      </c>
      <c r="J75" s="266">
        <f t="shared" ref="J75:BU75" si="207">-J38/12*J$22</f>
        <v>0</v>
      </c>
      <c r="K75" s="266">
        <f t="shared" si="207"/>
        <v>0</v>
      </c>
      <c r="L75" s="266">
        <f t="shared" si="207"/>
        <v>0</v>
      </c>
      <c r="M75" s="266">
        <f t="shared" si="207"/>
        <v>0</v>
      </c>
      <c r="N75" s="266">
        <f t="shared" si="207"/>
        <v>0</v>
      </c>
      <c r="O75" s="266">
        <f t="shared" si="207"/>
        <v>0</v>
      </c>
      <c r="P75" s="266">
        <f t="shared" si="207"/>
        <v>0</v>
      </c>
      <c r="Q75" s="266">
        <f t="shared" si="207"/>
        <v>0</v>
      </c>
      <c r="R75" s="266">
        <f t="shared" si="207"/>
        <v>0</v>
      </c>
      <c r="S75" s="266">
        <f t="shared" si="207"/>
        <v>0</v>
      </c>
      <c r="T75" s="266">
        <f t="shared" si="207"/>
        <v>0</v>
      </c>
      <c r="U75" s="266">
        <f t="shared" si="207"/>
        <v>0</v>
      </c>
      <c r="V75" s="266">
        <f t="shared" si="207"/>
        <v>0</v>
      </c>
      <c r="W75" s="266">
        <f t="shared" si="207"/>
        <v>0</v>
      </c>
      <c r="X75" s="266">
        <f t="shared" si="207"/>
        <v>0</v>
      </c>
      <c r="Y75" s="266">
        <f t="shared" si="207"/>
        <v>-441.15800638262527</v>
      </c>
      <c r="Z75" s="266">
        <f t="shared" si="207"/>
        <v>-883.78653945319274</v>
      </c>
      <c r="AA75" s="266">
        <f t="shared" si="207"/>
        <v>-1327.8892755284223</v>
      </c>
      <c r="AB75" s="266">
        <f t="shared" si="207"/>
        <v>-1773.4698990946263</v>
      </c>
      <c r="AC75" s="266">
        <f t="shared" si="207"/>
        <v>-2220.5321028247304</v>
      </c>
      <c r="AD75" s="266">
        <f t="shared" si="207"/>
        <v>-2669.0795875953254</v>
      </c>
      <c r="AE75" s="266">
        <f t="shared" si="207"/>
        <v>-3119.1160625037596</v>
      </c>
      <c r="AF75" s="266">
        <f t="shared" si="207"/>
        <v>-3570.6452448852565</v>
      </c>
      <c r="AG75" s="266">
        <f t="shared" si="207"/>
        <v>-4027.018340247153</v>
      </c>
      <c r="AH75" s="266">
        <f t="shared" si="207"/>
        <v>-4485.6509845530782</v>
      </c>
      <c r="AI75" s="266">
        <f t="shared" si="207"/>
        <v>-4496.8651120144605</v>
      </c>
      <c r="AJ75" s="266">
        <f t="shared" si="207"/>
        <v>-4508.1072747944963</v>
      </c>
      <c r="AK75" s="266">
        <f t="shared" si="207"/>
        <v>-4519.3775429814832</v>
      </c>
      <c r="AL75" s="266">
        <f t="shared" si="207"/>
        <v>-4530.6759868389363</v>
      </c>
      <c r="AM75" s="266">
        <f t="shared" si="207"/>
        <v>-4542.0026768060334</v>
      </c>
      <c r="AN75" s="266">
        <f t="shared" si="207"/>
        <v>-4553.3576834980486</v>
      </c>
      <c r="AO75" s="266">
        <f t="shared" si="207"/>
        <v>-4564.7410777067926</v>
      </c>
      <c r="AP75" s="266">
        <f t="shared" si="207"/>
        <v>-4576.1529304010592</v>
      </c>
      <c r="AQ75" s="266">
        <f t="shared" si="207"/>
        <v>-4587.5933127270619</v>
      </c>
      <c r="AR75" s="266">
        <f t="shared" si="207"/>
        <v>-4599.0622960088795</v>
      </c>
      <c r="AS75" s="266">
        <f t="shared" si="207"/>
        <v>-4610.5599517489009</v>
      </c>
      <c r="AT75" s="266">
        <f t="shared" si="207"/>
        <v>-4622.0863516282734</v>
      </c>
      <c r="AU75" s="266">
        <f t="shared" si="207"/>
        <v>-4633.641567507344</v>
      </c>
      <c r="AV75" s="266">
        <f t="shared" si="207"/>
        <v>-4645.2256714261121</v>
      </c>
      <c r="AW75" s="266">
        <f t="shared" si="207"/>
        <v>-4656.8387356046769</v>
      </c>
      <c r="AX75" s="266">
        <f t="shared" si="207"/>
        <v>-4668.4808324436881</v>
      </c>
      <c r="AY75" s="266">
        <f t="shared" si="207"/>
        <v>-4680.1520345247982</v>
      </c>
      <c r="AZ75" s="266">
        <f t="shared" si="207"/>
        <v>-4691.8524146111095</v>
      </c>
      <c r="BA75" s="266">
        <f t="shared" si="207"/>
        <v>-4703.5820456476376</v>
      </c>
      <c r="BB75" s="266">
        <f t="shared" si="207"/>
        <v>-4715.3410007617558</v>
      </c>
      <c r="BC75" s="266">
        <f t="shared" si="207"/>
        <v>-4727.1293532636601</v>
      </c>
      <c r="BD75" s="266">
        <f t="shared" si="207"/>
        <v>-4738.9471766468187</v>
      </c>
      <c r="BE75" s="266">
        <f t="shared" si="207"/>
        <v>-4750.7945445884352</v>
      </c>
      <c r="BF75" s="266">
        <f t="shared" si="207"/>
        <v>-4762.6715309499068</v>
      </c>
      <c r="BG75" s="266">
        <f t="shared" si="207"/>
        <v>-4774.5782097772808</v>
      </c>
      <c r="BH75" s="266">
        <f t="shared" si="207"/>
        <v>-4786.5146553017239</v>
      </c>
      <c r="BI75" s="266">
        <f t="shared" si="207"/>
        <v>-4798.480941939978</v>
      </c>
      <c r="BJ75" s="266">
        <f t="shared" si="207"/>
        <v>-4810.4771442948277</v>
      </c>
      <c r="BK75" s="266">
        <f t="shared" si="207"/>
        <v>-4822.5033371555646</v>
      </c>
      <c r="BL75" s="266">
        <f t="shared" si="207"/>
        <v>-4834.5595954984537</v>
      </c>
      <c r="BM75" s="266">
        <f t="shared" si="207"/>
        <v>-4846.6459944871995</v>
      </c>
      <c r="BN75" s="266">
        <f t="shared" si="207"/>
        <v>-4858.7626094734169</v>
      </c>
      <c r="BO75" s="266">
        <f t="shared" si="207"/>
        <v>-4870.9095159971002</v>
      </c>
      <c r="BP75" s="266">
        <f t="shared" si="207"/>
        <v>-4883.086789787093</v>
      </c>
      <c r="BQ75" s="266">
        <f t="shared" si="207"/>
        <v>-4895.2945067615601</v>
      </c>
      <c r="BR75" s="266">
        <f t="shared" si="207"/>
        <v>-4907.5327430284642</v>
      </c>
      <c r="BS75" s="266">
        <f t="shared" si="207"/>
        <v>-4919.8015748860353</v>
      </c>
      <c r="BT75" s="266">
        <f t="shared" si="207"/>
        <v>-4932.1010788232497</v>
      </c>
      <c r="BU75" s="266">
        <f t="shared" si="207"/>
        <v>-4944.431331520308</v>
      </c>
      <c r="BV75" s="266">
        <f t="shared" ref="BV75:EG75" si="208">-BV38/12*BV$22</f>
        <v>-4956.7924098491076</v>
      </c>
      <c r="BW75" s="266">
        <f t="shared" si="208"/>
        <v>-4969.184390873731</v>
      </c>
      <c r="BX75" s="266">
        <f t="shared" si="208"/>
        <v>-4981.6073518509147</v>
      </c>
      <c r="BY75" s="266">
        <f t="shared" si="208"/>
        <v>-4994.0613702305418</v>
      </c>
      <c r="BZ75" s="266">
        <f t="shared" si="208"/>
        <v>-5006.5465236561176</v>
      </c>
      <c r="CA75" s="266">
        <f t="shared" si="208"/>
        <v>-5019.0628899652584</v>
      </c>
      <c r="CB75" s="266">
        <f t="shared" si="208"/>
        <v>-5031.6105471901701</v>
      </c>
      <c r="CC75" s="266">
        <f t="shared" si="208"/>
        <v>-5044.1895735581465</v>
      </c>
      <c r="CD75" s="266">
        <f t="shared" si="208"/>
        <v>-5056.8000474920409</v>
      </c>
      <c r="CE75" s="266">
        <f t="shared" si="208"/>
        <v>-5069.4420476107716</v>
      </c>
      <c r="CF75" s="266">
        <f t="shared" si="208"/>
        <v>-5082.1156527297981</v>
      </c>
      <c r="CG75" s="266">
        <f t="shared" si="208"/>
        <v>-5094.8209418616216</v>
      </c>
      <c r="CH75" s="266">
        <f t="shared" si="208"/>
        <v>-5107.5579942162758</v>
      </c>
      <c r="CI75" s="266">
        <f t="shared" si="208"/>
        <v>-5120.3268892018159</v>
      </c>
      <c r="CJ75" s="266">
        <f t="shared" si="208"/>
        <v>-5133.1277064248197</v>
      </c>
      <c r="CK75" s="266">
        <f t="shared" si="208"/>
        <v>-5145.9605256908808</v>
      </c>
      <c r="CL75" s="266">
        <f t="shared" si="208"/>
        <v>-5158.8254270051084</v>
      </c>
      <c r="CM75" s="266">
        <f t="shared" si="208"/>
        <v>-5171.7224905726216</v>
      </c>
      <c r="CN75" s="266">
        <f t="shared" si="208"/>
        <v>-5184.6517967990521</v>
      </c>
      <c r="CO75" s="266">
        <f t="shared" si="208"/>
        <v>-5197.6134262910491</v>
      </c>
      <c r="CP75" s="266">
        <f t="shared" si="208"/>
        <v>-5210.6074598567766</v>
      </c>
      <c r="CQ75" s="266">
        <f t="shared" si="208"/>
        <v>-5223.6339785064192</v>
      </c>
      <c r="CR75" s="266">
        <f t="shared" si="208"/>
        <v>-5236.6930634526843</v>
      </c>
      <c r="CS75" s="266">
        <f t="shared" si="208"/>
        <v>-5249.7847961113166</v>
      </c>
      <c r="CT75" s="266">
        <f t="shared" si="208"/>
        <v>-5262.9092581015939</v>
      </c>
      <c r="CU75" s="266">
        <f t="shared" si="208"/>
        <v>-5276.0665312468473</v>
      </c>
      <c r="CV75" s="266">
        <f t="shared" si="208"/>
        <v>-5289.2566975749642</v>
      </c>
      <c r="CW75" s="266">
        <f t="shared" si="208"/>
        <v>-5302.4798393189012</v>
      </c>
      <c r="CX75" s="266">
        <f t="shared" si="208"/>
        <v>-5315.7360389171981</v>
      </c>
      <c r="CY75" s="266">
        <f t="shared" si="208"/>
        <v>-5329.0253790144907</v>
      </c>
      <c r="CZ75" s="266">
        <f t="shared" si="208"/>
        <v>-5342.3479424620273</v>
      </c>
      <c r="DA75" s="266">
        <f t="shared" si="208"/>
        <v>-5355.7038123181819</v>
      </c>
      <c r="DB75" s="266">
        <f t="shared" si="208"/>
        <v>-5369.0930718489772</v>
      </c>
      <c r="DC75" s="266">
        <f t="shared" si="208"/>
        <v>-5382.5158045285989</v>
      </c>
      <c r="DD75" s="266">
        <f t="shared" si="208"/>
        <v>-5395.9720940399202</v>
      </c>
      <c r="DE75" s="266">
        <f t="shared" si="208"/>
        <v>-5409.4620242750188</v>
      </c>
      <c r="DF75" s="266">
        <f t="shared" si="208"/>
        <v>-5422.9856793357067</v>
      </c>
      <c r="DG75" s="266">
        <f t="shared" si="208"/>
        <v>-5436.5431435340452</v>
      </c>
      <c r="DH75" s="266">
        <f t="shared" si="208"/>
        <v>-5450.1345013928803</v>
      </c>
      <c r="DI75" s="266">
        <f t="shared" si="208"/>
        <v>-5463.759837646362</v>
      </c>
      <c r="DJ75" s="266">
        <f t="shared" si="208"/>
        <v>-5477.4192372404777</v>
      </c>
      <c r="DK75" s="266">
        <f t="shared" si="208"/>
        <v>-5491.1127853335784</v>
      </c>
      <c r="DL75" s="266">
        <f t="shared" si="208"/>
        <v>-5504.8405672969129</v>
      </c>
      <c r="DM75" s="266">
        <f t="shared" si="208"/>
        <v>-5518.6026687151552</v>
      </c>
      <c r="DN75" s="266">
        <f t="shared" si="208"/>
        <v>-5532.3991753869423</v>
      </c>
      <c r="DO75" s="266">
        <f t="shared" si="208"/>
        <v>-5546.2301733254089</v>
      </c>
      <c r="DP75" s="266">
        <f t="shared" si="208"/>
        <v>-5560.0957487587229</v>
      </c>
      <c r="DQ75" s="266">
        <f t="shared" si="208"/>
        <v>-5573.9959881306186</v>
      </c>
      <c r="DR75" s="266">
        <f t="shared" si="208"/>
        <v>-5587.930978100946</v>
      </c>
      <c r="DS75" s="266">
        <f t="shared" si="208"/>
        <v>-5601.9008055461982</v>
      </c>
      <c r="DT75" s="266">
        <f t="shared" si="208"/>
        <v>-5615.9055575600632</v>
      </c>
      <c r="DU75" s="266">
        <f t="shared" si="208"/>
        <v>-5629.9453214539617</v>
      </c>
      <c r="DV75" s="266">
        <f t="shared" si="208"/>
        <v>-5644.0201847575972</v>
      </c>
      <c r="DW75" s="266">
        <f t="shared" si="208"/>
        <v>-5658.1302352194907</v>
      </c>
      <c r="DX75" s="266">
        <f t="shared" si="208"/>
        <v>-5672.2755608075395</v>
      </c>
      <c r="DY75" s="266">
        <f t="shared" si="208"/>
        <v>-5686.4562497095585</v>
      </c>
      <c r="DZ75" s="266">
        <f t="shared" si="208"/>
        <v>-5700.6723903338316</v>
      </c>
      <c r="EA75" s="266">
        <f t="shared" si="208"/>
        <v>-5714.924071309666</v>
      </c>
      <c r="EB75" s="266">
        <f t="shared" si="208"/>
        <v>-5729.2113814879403</v>
      </c>
      <c r="EC75" s="266">
        <f t="shared" si="208"/>
        <v>-5743.5344099416598</v>
      </c>
      <c r="ED75" s="266">
        <f t="shared" si="208"/>
        <v>-5757.8932459665129</v>
      </c>
      <c r="EE75" s="266">
        <f t="shared" si="208"/>
        <v>-5772.2879790814286</v>
      </c>
      <c r="EF75" s="266">
        <f t="shared" si="208"/>
        <v>-5786.718699029132</v>
      </c>
      <c r="EG75" s="266">
        <f t="shared" si="208"/>
        <v>-5801.1854957767046</v>
      </c>
      <c r="EH75" s="266">
        <f>-EH38/12*EH$22</f>
        <v>-5815.6884595161464</v>
      </c>
      <c r="EI75" s="266">
        <f>-EI38/12*EI$22</f>
        <v>-5830.227680664937</v>
      </c>
      <c r="EJ75" s="266">
        <f>-EJ38/12*EJ$22</f>
        <v>-5844.8032498665989</v>
      </c>
      <c r="EK75" s="8"/>
      <c r="EL75" s="12">
        <f t="shared" si="202"/>
        <v>0</v>
      </c>
      <c r="EM75" s="12">
        <f t="shared" si="202"/>
        <v>0</v>
      </c>
      <c r="EN75" s="12">
        <f t="shared" si="202"/>
        <v>-16005.676718267938</v>
      </c>
      <c r="EO75" s="12">
        <f t="shared" si="202"/>
        <v>-53990.605218577482</v>
      </c>
      <c r="EP75" s="12">
        <f t="shared" si="202"/>
        <v>-56093.837135814778</v>
      </c>
      <c r="EQ75" s="12">
        <f t="shared" si="202"/>
        <v>-57799.984869250969</v>
      </c>
      <c r="ER75" s="12">
        <f t="shared" si="202"/>
        <v>-59558.026718635454</v>
      </c>
      <c r="ES75" s="12">
        <f t="shared" si="202"/>
        <v>-61369.541093162959</v>
      </c>
      <c r="ET75" s="12">
        <f t="shared" si="202"/>
        <v>-63236.154410854273</v>
      </c>
      <c r="EU75" s="12">
        <f t="shared" si="202"/>
        <v>-65159.542558790665</v>
      </c>
      <c r="EV75" s="12">
        <f t="shared" si="202"/>
        <v>-67141.432397762648</v>
      </c>
      <c r="EW75" s="12">
        <f t="shared" si="202"/>
        <v>-69183.603312684121</v>
      </c>
    </row>
    <row r="76" spans="2:153" x14ac:dyDescent="0.4">
      <c r="B76" s="61" t="s">
        <v>47</v>
      </c>
      <c r="E76" s="57"/>
      <c r="F76" s="14" cm="1">
        <f t="array" ref="F76">SUMPRODUCT(($H76:$EJ76)*($H$6:$EJ$6&lt;=$C$5))</f>
        <v>-1109861.6424103526</v>
      </c>
      <c r="H76" s="12"/>
      <c r="I76" s="245">
        <f>-I39/12*$C$6*(I$5&gt;'Inputs &amp; Drivers'!$F$41)</f>
        <v>0</v>
      </c>
      <c r="J76" s="245">
        <f>-J39/12*$C$6*(J$5&gt;'Inputs &amp; Drivers'!$F$41)</f>
        <v>0</v>
      </c>
      <c r="K76" s="245">
        <f>-K39/12*$C$6*(K$5&gt;'Inputs &amp; Drivers'!$F$41)</f>
        <v>0</v>
      </c>
      <c r="L76" s="245">
        <f>-L39/12*$C$6*(L$5&gt;'Inputs &amp; Drivers'!$F$41)</f>
        <v>0</v>
      </c>
      <c r="M76" s="245">
        <f>-M39/12*$C$6*(M$5&gt;'Inputs &amp; Drivers'!$F$41)</f>
        <v>0</v>
      </c>
      <c r="N76" s="245">
        <f>-N39/12*$C$6*(N$5&gt;'Inputs &amp; Drivers'!$F$41)</f>
        <v>0</v>
      </c>
      <c r="O76" s="245">
        <f>-O39/12*$C$6*(O$5&gt;'Inputs &amp; Drivers'!$F$41)</f>
        <v>0</v>
      </c>
      <c r="P76" s="245">
        <f>-P39/12*$C$6*(P$5&gt;'Inputs &amp; Drivers'!$F$41)</f>
        <v>0</v>
      </c>
      <c r="Q76" s="245">
        <f>-Q39/12*$C$6*(Q$5&gt;'Inputs &amp; Drivers'!$F$41)</f>
        <v>0</v>
      </c>
      <c r="R76" s="245">
        <f>-R39/12*$C$6*(R$5&gt;'Inputs &amp; Drivers'!$F$41)</f>
        <v>0</v>
      </c>
      <c r="S76" s="245">
        <f>-S39/12*$C$6*(S$5&gt;'Inputs &amp; Drivers'!$F$41)</f>
        <v>0</v>
      </c>
      <c r="T76" s="245">
        <f>-T39/12*$C$6*(T$5&gt;'Inputs &amp; Drivers'!$F$41)</f>
        <v>0</v>
      </c>
      <c r="U76" s="245">
        <f>-U39/12*$C$6*(U$5&gt;'Inputs &amp; Drivers'!$F$41)</f>
        <v>0</v>
      </c>
      <c r="V76" s="245">
        <f>-V39/12*$C$6*(V$5&gt;'Inputs &amp; Drivers'!$F$41)</f>
        <v>0</v>
      </c>
      <c r="W76" s="245">
        <f>-W39/12*$C$6*(W$5&gt;'Inputs &amp; Drivers'!$F$41)</f>
        <v>0</v>
      </c>
      <c r="X76" s="245">
        <f>-X39/12*$C$6*(X$5&gt;'Inputs &amp; Drivers'!$F$41)</f>
        <v>0</v>
      </c>
      <c r="Y76" s="245">
        <f>-Y39/12*$C$6*(Y$5&gt;'Inputs &amp; Drivers'!$F$41)</f>
        <v>-54619.56269499172</v>
      </c>
      <c r="Z76" s="245">
        <f>-Z39/12*$C$6*(Z$5&gt;'Inputs &amp; Drivers'!$F$41)</f>
        <v>-54710.595299483371</v>
      </c>
      <c r="AA76" s="245">
        <f>-AA39/12*$C$6*(AA$5&gt;'Inputs &amp; Drivers'!$F$41)</f>
        <v>-54801.779624982511</v>
      </c>
      <c r="AB76" s="245">
        <f>-AB39/12*$C$6*(AB$5&gt;'Inputs &amp; Drivers'!$F$41)</f>
        <v>-54893.11592435748</v>
      </c>
      <c r="AC76" s="245">
        <f>-AC39/12*$C$6*(AC$5&gt;'Inputs &amp; Drivers'!$F$41)</f>
        <v>-54984.60445089807</v>
      </c>
      <c r="AD76" s="245">
        <f>-AD39/12*$C$6*(AD$5&gt;'Inputs &amp; Drivers'!$F$41)</f>
        <v>-55076.24545831624</v>
      </c>
      <c r="AE76" s="245">
        <f>-AE39/12*$C$6*(AE$5&gt;'Inputs &amp; Drivers'!$F$41)</f>
        <v>-55168.03920074676</v>
      </c>
      <c r="AF76" s="245">
        <f>-AF39/12*$C$6*(AF$5&gt;'Inputs &amp; Drivers'!$F$41)</f>
        <v>-55259.985932748008</v>
      </c>
      <c r="AG76" s="245">
        <f>-AG39/12*$C$6*(AG$5&gt;'Inputs &amp; Drivers'!$F$41)</f>
        <v>-55352.085909302594</v>
      </c>
      <c r="AH76" s="245">
        <f>-AH39/12*$C$6*(AH$5&gt;'Inputs &amp; Drivers'!$F$41)</f>
        <v>-55444.339385818101</v>
      </c>
      <c r="AI76" s="245">
        <f>-AI39/12*$C$6*(AI$5&gt;'Inputs &amp; Drivers'!$F$41)</f>
        <v>-55536.7466181278</v>
      </c>
      <c r="AJ76" s="245">
        <f>-AJ39/12*$C$6*(AJ$5&gt;'Inputs &amp; Drivers'!$F$41)</f>
        <v>-55629.307862491347</v>
      </c>
      <c r="AK76" s="245">
        <f>-AK39/12*$C$6*(AK$5&gt;'Inputs &amp; Drivers'!$F$41)</f>
        <v>-55722.023375595505</v>
      </c>
      <c r="AL76" s="245">
        <f>-AL39/12*$C$6*(AL$5&gt;'Inputs &amp; Drivers'!$F$41)</f>
        <v>-55814.893414554834</v>
      </c>
      <c r="AM76" s="245">
        <f>-AM39/12*$C$6*(AM$5&gt;'Inputs &amp; Drivers'!$F$41)</f>
        <v>-55907.918236912432</v>
      </c>
      <c r="AN76" s="245">
        <f>-AN39/12*$C$6*(AN$5&gt;'Inputs &amp; Drivers'!$F$41)</f>
        <v>-56001.098100640622</v>
      </c>
      <c r="AO76" s="245">
        <f>-AO39/12*$C$6*(AO$5&gt;'Inputs &amp; Drivers'!$F$41)</f>
        <v>-56094.433264141684</v>
      </c>
      <c r="AP76" s="245">
        <f>-AP39/12*$C$6*(AP$5&gt;'Inputs &amp; Drivers'!$F$41)</f>
        <v>-56187.923986248585</v>
      </c>
      <c r="AQ76" s="245">
        <f>-AQ39/12*$C$6*(AQ$5&gt;'Inputs &amp; Drivers'!$F$41)</f>
        <v>-56281.570526225667</v>
      </c>
      <c r="AR76" s="245">
        <f>-AR39/12*$C$6*(AR$5&gt;'Inputs &amp; Drivers'!$F$41)</f>
        <v>-56375.373143769379</v>
      </c>
      <c r="AS76" s="245">
        <f>-AS39/12*$C$6*(AS$5&gt;'Inputs &amp; Drivers'!$F$41)</f>
        <v>-56469.332099009</v>
      </c>
      <c r="AT76" s="245">
        <f>-AT39/12*$C$6*(AT$5&gt;'Inputs &amp; Drivers'!$F$41)</f>
        <v>-56563.447652507348</v>
      </c>
      <c r="AU76" s="245">
        <f>-AU39/12*$C$6*(AU$5&gt;'Inputs &amp; Drivers'!$F$41)</f>
        <v>-56657.720065261543</v>
      </c>
      <c r="AV76" s="245">
        <f>-AV39/12*$C$6*(AV$5&gt;'Inputs &amp; Drivers'!$F$41)</f>
        <v>-56752.149598703647</v>
      </c>
      <c r="AW76" s="245">
        <f>-AW39/12*$C$6*(AW$5&gt;'Inputs &amp; Drivers'!$F$41)</f>
        <v>-56846.736514701493</v>
      </c>
      <c r="AX76" s="245">
        <f>-AX39/12*$C$6*(AX$5&gt;'Inputs &amp; Drivers'!$F$41)</f>
        <v>-56941.481075559328</v>
      </c>
      <c r="AY76" s="245">
        <f>-AY39/12*$C$6*(AY$5&gt;'Inputs &amp; Drivers'!$F$41)</f>
        <v>-57036.383544018594</v>
      </c>
      <c r="AZ76" s="245">
        <f>-AZ39/12*$C$6*(AZ$5&gt;'Inputs &amp; Drivers'!$F$41)</f>
        <v>-57131.444183258631</v>
      </c>
      <c r="BA76" s="245">
        <f>-BA39/12*$C$6*(BA$5&gt;'Inputs &amp; Drivers'!$F$41)</f>
        <v>-57226.663256897409</v>
      </c>
      <c r="BB76" s="245">
        <f>-BB39/12*$C$6*(BB$5&gt;'Inputs &amp; Drivers'!$F$41)</f>
        <v>-57322.041028992237</v>
      </c>
      <c r="BC76" s="245">
        <f>-BC39/12*$C$6*(BC$5&gt;'Inputs &amp; Drivers'!$F$41)</f>
        <v>-57417.577764040558</v>
      </c>
      <c r="BD76" s="245">
        <f>-BD39/12*$C$6*(BD$5&gt;'Inputs &amp; Drivers'!$F$41)</f>
        <v>-57513.273726980624</v>
      </c>
      <c r="BE76" s="245">
        <f>-BE39/12*$C$6*(BE$5&gt;'Inputs &amp; Drivers'!$F$41)</f>
        <v>-57609.129183192264</v>
      </c>
      <c r="BF76" s="245">
        <f>-BF39/12*$C$6*(BF$5&gt;'Inputs &amp; Drivers'!$F$41)</f>
        <v>-57705.144398497578</v>
      </c>
      <c r="BG76" s="245">
        <f>-BG39/12*$C$6*(BG$5&gt;'Inputs &amp; Drivers'!$F$41)</f>
        <v>-57801.319639161738</v>
      </c>
      <c r="BH76" s="245">
        <f>-BH39/12*$C$6*(BH$5&gt;'Inputs &amp; Drivers'!$F$41)</f>
        <v>-57897.655171893675</v>
      </c>
      <c r="BI76" s="245">
        <f>-BI39/12*$C$6*(BI$5&gt;'Inputs &amp; Drivers'!$F$41)</f>
        <v>-57994.151263846834</v>
      </c>
      <c r="BJ76" s="245">
        <f>-BJ39/12*$C$6*(BJ$5&gt;'Inputs &amp; Drivers'!$F$41)</f>
        <v>-58090.808182619912</v>
      </c>
      <c r="BK76" s="245">
        <f>-BK39/12*$C$6*(BK$5&gt;'Inputs &amp; Drivers'!$F$41)</f>
        <v>-58187.62619625761</v>
      </c>
      <c r="BL76" s="245">
        <f>-BL39/12*$C$6*(BL$5&gt;'Inputs &amp; Drivers'!$F$41)</f>
        <v>-58284.605573251371</v>
      </c>
      <c r="BM76" s="245">
        <f>-BM39/12*$C$6*(BM$5&gt;'Inputs &amp; Drivers'!$F$41)</f>
        <v>-58381.74658254013</v>
      </c>
      <c r="BN76" s="245">
        <f>-BN39/12*$C$6*(BN$5&gt;'Inputs &amp; Drivers'!$F$41)</f>
        <v>-58479.04949351104</v>
      </c>
      <c r="BO76" s="245">
        <f>-BO39/12*$C$6*(BO$5&gt;'Inputs &amp; Drivers'!$F$41)</f>
        <v>-58576.514576000227</v>
      </c>
      <c r="BP76" s="245">
        <f>-BP39/12*$C$6*(BP$5&gt;'Inputs &amp; Drivers'!$F$41)</f>
        <v>-58674.142100293568</v>
      </c>
      <c r="BQ76" s="245">
        <f>-BQ39/12*$C$6*(BQ$5&gt;'Inputs &amp; Drivers'!$F$41)</f>
        <v>-58771.932337127393</v>
      </c>
      <c r="BR76" s="245">
        <f>-BR39/12*$C$6*(BR$5&gt;'Inputs &amp; Drivers'!$F$41)</f>
        <v>-58869.885557689282</v>
      </c>
      <c r="BS76" s="245">
        <f>-BS39/12*$C$6*(BS$5&gt;'Inputs &amp; Drivers'!$F$41)</f>
        <v>-58968.002033618766</v>
      </c>
      <c r="BT76" s="245">
        <f>-BT39/12*$C$6*(BT$5&gt;'Inputs &amp; Drivers'!$F$41)</f>
        <v>-59066.282037008139</v>
      </c>
      <c r="BU76" s="245">
        <f>-BU39/12*$C$6*(BU$5&gt;'Inputs &amp; Drivers'!$F$41)</f>
        <v>-59164.725840403145</v>
      </c>
      <c r="BV76" s="245">
        <f>-BV39/12*$C$6*(BV$5&gt;'Inputs &amp; Drivers'!$F$41)</f>
        <v>-59263.33371680382</v>
      </c>
      <c r="BW76" s="245">
        <f>-BW39/12*$C$6*(BW$5&gt;'Inputs &amp; Drivers'!$F$41)</f>
        <v>-59362.105939665162</v>
      </c>
      <c r="BX76" s="245">
        <f>-BX39/12*$C$6*(BX$5&gt;'Inputs &amp; Drivers'!$F$41)</f>
        <v>-59461.042782897937</v>
      </c>
      <c r="BY76" s="245">
        <f>-BY39/12*$C$6*(BY$5&gt;'Inputs &amp; Drivers'!$F$41)</f>
        <v>-59560.144520869435</v>
      </c>
      <c r="BZ76" s="245">
        <f>-BZ39/12*$C$6*(BZ$5&gt;'Inputs &amp; Drivers'!$F$41)</f>
        <v>-59659.411428404223</v>
      </c>
      <c r="CA76" s="245">
        <f>-CA39/12*$C$6*(CA$5&gt;'Inputs &amp; Drivers'!$F$41)</f>
        <v>-59758.843780784897</v>
      </c>
      <c r="CB76" s="245">
        <f>-CB39/12*$C$6*(CB$5&gt;'Inputs &amp; Drivers'!$F$41)</f>
        <v>-59858.441853752876</v>
      </c>
      <c r="CC76" s="245">
        <f>-CC39/12*$C$6*(CC$5&gt;'Inputs &amp; Drivers'!$F$41)</f>
        <v>-59958.205923509136</v>
      </c>
      <c r="CD76" s="245">
        <f>-CD39/12*$C$6*(CD$5&gt;'Inputs &amp; Drivers'!$F$41)</f>
        <v>-60058.136266714988</v>
      </c>
      <c r="CE76" s="245">
        <f>-CE39/12*$C$6*(CE$5&gt;'Inputs &amp; Drivers'!$F$41)</f>
        <v>-60158.23316049284</v>
      </c>
      <c r="CF76" s="245">
        <f>-CF39/12*$C$6*(CF$5&gt;'Inputs &amp; Drivers'!$F$41)</f>
        <v>-60258.496882426996</v>
      </c>
      <c r="CG76" s="245">
        <f>-CG39/12*$C$6*(CG$5&gt;'Inputs &amp; Drivers'!$F$41)</f>
        <v>-60358.927710564378</v>
      </c>
      <c r="CH76" s="245">
        <f>-CH39/12*$C$6*(CH$5&gt;'Inputs &amp; Drivers'!$F$41)</f>
        <v>-60459.525923415327</v>
      </c>
      <c r="CI76" s="245">
        <f>-CI39/12*$C$6*(CI$5&gt;'Inputs &amp; Drivers'!$F$41)</f>
        <v>-60560.29179995435</v>
      </c>
      <c r="CJ76" s="245">
        <f>-CJ39/12*$C$6*(CJ$5&gt;'Inputs &amp; Drivers'!$F$41)</f>
        <v>-60661.225619620935</v>
      </c>
      <c r="CK76" s="245">
        <f>-CK39/12*$C$6*(CK$5&gt;'Inputs &amp; Drivers'!$F$41)</f>
        <v>-60762.327662320306</v>
      </c>
      <c r="CL76" s="245">
        <f>-CL39/12*$C$6*(CL$5&gt;'Inputs &amp; Drivers'!$F$41)</f>
        <v>-60863.598208424177</v>
      </c>
      <c r="CM76" s="245">
        <f>-CM39/12*$C$6*(CM$5&gt;'Inputs &amp; Drivers'!$F$41)</f>
        <v>-60965.037538771547</v>
      </c>
      <c r="CN76" s="245">
        <f>-CN39/12*$C$6*(CN$5&gt;'Inputs &amp; Drivers'!$F$41)</f>
        <v>-61066.645934669497</v>
      </c>
      <c r="CO76" s="245">
        <f>-CO39/12*$C$6*(CO$5&gt;'Inputs &amp; Drivers'!$F$41)</f>
        <v>-61168.423677893952</v>
      </c>
      <c r="CP76" s="245">
        <f>-CP39/12*$C$6*(CP$5&gt;'Inputs &amp; Drivers'!$F$41)</f>
        <v>-61270.371050690446</v>
      </c>
      <c r="CQ76" s="245">
        <f>-CQ39/12*$C$6*(CQ$5&gt;'Inputs &amp; Drivers'!$F$41)</f>
        <v>-61372.488335774935</v>
      </c>
      <c r="CR76" s="245">
        <f>-CR39/12*$C$6*(CR$5&gt;'Inputs &amp; Drivers'!$F$41)</f>
        <v>-61474.775816334564</v>
      </c>
      <c r="CS76" s="245">
        <f>-CS39/12*$C$6*(CS$5&gt;'Inputs &amp; Drivers'!$F$41)</f>
        <v>-61577.233776028457</v>
      </c>
      <c r="CT76" s="245">
        <f>-CT39/12*$C$6*(CT$5&gt;'Inputs &amp; Drivers'!$F$41)</f>
        <v>-61679.862498988507</v>
      </c>
      <c r="CU76" s="245">
        <f>-CU39/12*$C$6*(CU$5&gt;'Inputs &amp; Drivers'!$F$41)</f>
        <v>-61782.662269820161</v>
      </c>
      <c r="CV76" s="245">
        <f>-CV39/12*$C$6*(CV$5&gt;'Inputs &amp; Drivers'!$F$41)</f>
        <v>-61885.633373603196</v>
      </c>
      <c r="CW76" s="245">
        <f>-CW39/12*$C$6*(CW$5&gt;'Inputs &amp; Drivers'!$F$41)</f>
        <v>-61988.776095892536</v>
      </c>
      <c r="CX76" s="245">
        <f>-CX39/12*$C$6*(CX$5&gt;'Inputs &amp; Drivers'!$F$41)</f>
        <v>-62092.090722719018</v>
      </c>
      <c r="CY76" s="245">
        <f>-CY39/12*$C$6*(CY$5&gt;'Inputs &amp; Drivers'!$F$41)</f>
        <v>-62195.577540590224</v>
      </c>
      <c r="CZ76" s="245">
        <f>-CZ39/12*$C$6*(CZ$5&gt;'Inputs &amp; Drivers'!$F$41)</f>
        <v>-62299.236836491218</v>
      </c>
      <c r="DA76" s="245">
        <f>-DA39/12*$C$6*(DA$5&gt;'Inputs &amp; Drivers'!$F$41)</f>
        <v>-62403.06889788538</v>
      </c>
      <c r="DB76" s="245">
        <f>-DB39/12*$C$6*(DB$5&gt;'Inputs &amp; Drivers'!$F$41)</f>
        <v>-62507.074012715173</v>
      </c>
      <c r="DC76" s="245">
        <f>-DC39/12*$C$6*(DC$5&gt;'Inputs &amp; Drivers'!$F$41)</f>
        <v>-62611.252469403044</v>
      </c>
      <c r="DD76" s="245">
        <f>-DD39/12*$C$6*(DD$5&gt;'Inputs &amp; Drivers'!$F$41)</f>
        <v>-62715.604556852057</v>
      </c>
      <c r="DE76" s="245">
        <f>-DE39/12*$C$6*(DE$5&gt;'Inputs &amp; Drivers'!$F$41)</f>
        <v>-62820.130564446808</v>
      </c>
      <c r="DF76" s="245">
        <f>-DF39/12*$C$6*(DF$5&gt;'Inputs &amp; Drivers'!$F$41)</f>
        <v>-62924.830782054225</v>
      </c>
      <c r="DG76" s="245">
        <f>-DG39/12*$C$6*(DG$5&gt;'Inputs &amp; Drivers'!$F$41)</f>
        <v>-63029.70550002432</v>
      </c>
      <c r="DH76" s="245">
        <f>-DH39/12*$C$6*(DH$5&gt;'Inputs &amp; Drivers'!$F$41)</f>
        <v>-63134.755009191031</v>
      </c>
      <c r="DI76" s="245">
        <f>-DI39/12*$C$6*(DI$5&gt;'Inputs &amp; Drivers'!$F$41)</f>
        <v>-63239.979600873019</v>
      </c>
      <c r="DJ76" s="245">
        <f>-DJ39/12*$C$6*(DJ$5&gt;'Inputs &amp; Drivers'!$F$41)</f>
        <v>-63345.379566874479</v>
      </c>
      <c r="DK76" s="245">
        <f>-DK39/12*$C$6*(DK$5&gt;'Inputs &amp; Drivers'!$F$41)</f>
        <v>-63450.955199485936</v>
      </c>
      <c r="DL76" s="245">
        <f>-DL39/12*$C$6*(DL$5&gt;'Inputs &amp; Drivers'!$F$41)</f>
        <v>-63556.706791485085</v>
      </c>
      <c r="DM76" s="245">
        <f>-DM39/12*$C$6*(DM$5&gt;'Inputs &amp; Drivers'!$F$41)</f>
        <v>-63662.634636137562</v>
      </c>
      <c r="DN76" s="245">
        <f>-DN39/12*$C$6*(DN$5&gt;'Inputs &amp; Drivers'!$F$41)</f>
        <v>-63768.739027197793</v>
      </c>
      <c r="DO76" s="245">
        <f>-DO39/12*$C$6*(DO$5&gt;'Inputs &amp; Drivers'!$F$41)</f>
        <v>-63875.020258909797</v>
      </c>
      <c r="DP76" s="245">
        <f>-DP39/12*$C$6*(DP$5&gt;'Inputs &amp; Drivers'!$F$41)</f>
        <v>-63981.478626007985</v>
      </c>
      <c r="DQ76" s="245">
        <f>-DQ39/12*$C$6*(DQ$5&gt;'Inputs &amp; Drivers'!$F$41)</f>
        <v>-64088.114423718005</v>
      </c>
      <c r="DR76" s="245">
        <f>-DR39/12*$C$6*(DR$5&gt;'Inputs &amp; Drivers'!$F$41)</f>
        <v>-64194.927947757533</v>
      </c>
      <c r="DS76" s="245">
        <f>-DS39/12*$C$6*(DS$5&gt;'Inputs &amp; Drivers'!$F$41)</f>
        <v>-64301.919494337133</v>
      </c>
      <c r="DT76" s="245">
        <f>-DT39/12*$C$6*(DT$5&gt;'Inputs &amp; Drivers'!$F$41)</f>
        <v>-64409.08936016103</v>
      </c>
      <c r="DU76" s="245">
        <f>-DU39/12*$C$6*(DU$5&gt;'Inputs &amp; Drivers'!$F$41)</f>
        <v>-64516.437842427971</v>
      </c>
      <c r="DV76" s="245">
        <f>-DV39/12*$C$6*(DV$5&gt;'Inputs &amp; Drivers'!$F$41)</f>
        <v>-64623.96523883201</v>
      </c>
      <c r="DW76" s="245">
        <f>-DW39/12*$C$6*(DW$5&gt;'Inputs &amp; Drivers'!$F$41)</f>
        <v>-64731.671847563404</v>
      </c>
      <c r="DX76" s="245">
        <f>-DX39/12*$C$6*(DX$5&gt;'Inputs &amp; Drivers'!$F$41)</f>
        <v>-64839.557967309345</v>
      </c>
      <c r="DY76" s="245">
        <f>-DY39/12*$C$6*(DY$5&gt;'Inputs &amp; Drivers'!$F$41)</f>
        <v>-64947.623897254867</v>
      </c>
      <c r="DZ76" s="245">
        <f>-DZ39/12*$C$6*(DZ$5&gt;'Inputs &amp; Drivers'!$F$41)</f>
        <v>-65055.869937083633</v>
      </c>
      <c r="EA76" s="245">
        <f>-EA39/12*$C$6*(EA$5&gt;'Inputs &amp; Drivers'!$F$41)</f>
        <v>-65164.296386978764</v>
      </c>
      <c r="EB76" s="245">
        <f>-EB39/12*$C$6*(EB$5&gt;'Inputs &amp; Drivers'!$F$41)</f>
        <v>-65272.903547623733</v>
      </c>
      <c r="EC76" s="245">
        <f>-EC39/12*$C$6*(EC$5&gt;'Inputs &amp; Drivers'!$F$41)</f>
        <v>-65381.691720203104</v>
      </c>
      <c r="ED76" s="245">
        <f>-ED39/12*$C$6*(ED$5&gt;'Inputs &amp; Drivers'!$F$41)</f>
        <v>-65490.661206403442</v>
      </c>
      <c r="EE76" s="245">
        <f>-EE39/12*$C$6*(EE$5&gt;'Inputs &amp; Drivers'!$F$41)</f>
        <v>-65599.812308414112</v>
      </c>
      <c r="EF76" s="245">
        <f>-EF39/12*$C$6*(EF$5&gt;'Inputs &amp; Drivers'!$F$41)</f>
        <v>-65709.145328928134</v>
      </c>
      <c r="EG76" s="245">
        <f>-EG39/12*$C$6*(EG$5&gt;'Inputs &amp; Drivers'!$F$41)</f>
        <v>-65818.660571143017</v>
      </c>
      <c r="EH76" s="245">
        <f>-EH39/12*$C$6*(EH$5&gt;'Inputs &amp; Drivers'!$F$41)</f>
        <v>-65928.35833876158</v>
      </c>
      <c r="EI76" s="245">
        <f>-EI39/12*$C$6*(EI$5&gt;'Inputs &amp; Drivers'!$F$41)</f>
        <v>-66038.238935992849</v>
      </c>
      <c r="EJ76" s="245">
        <f>-EJ39/12*$C$6*(EJ$5&gt;'Inputs &amp; Drivers'!$F$41)</f>
        <v>-66148.302667552853</v>
      </c>
      <c r="EK76" s="8"/>
      <c r="EL76" s="12">
        <f t="shared" si="202"/>
        <v>0</v>
      </c>
      <c r="EM76" s="12">
        <f t="shared" si="202"/>
        <v>0</v>
      </c>
      <c r="EN76" s="12">
        <f t="shared" si="202"/>
        <v>-439513.92858652415</v>
      </c>
      <c r="EO76" s="12">
        <f t="shared" si="202"/>
        <v>-670347.71382382861</v>
      </c>
      <c r="EP76" s="12">
        <f t="shared" si="202"/>
        <v>-683878.25050993054</v>
      </c>
      <c r="EQ76" s="12">
        <f t="shared" si="202"/>
        <v>-697681.89236106595</v>
      </c>
      <c r="ER76" s="12">
        <f t="shared" si="202"/>
        <v>-711764.15182902501</v>
      </c>
      <c r="ES76" s="12">
        <f t="shared" si="202"/>
        <v>-726130.65263088455</v>
      </c>
      <c r="ET76" s="12">
        <f t="shared" si="202"/>
        <v>-740787.13199482718</v>
      </c>
      <c r="EU76" s="12">
        <f t="shared" si="202"/>
        <v>-755739.44295129052</v>
      </c>
      <c r="EV76" s="12">
        <f t="shared" si="202"/>
        <v>-770993.55667035957</v>
      </c>
      <c r="EW76" s="12">
        <f t="shared" si="202"/>
        <v>-786555.5648463401</v>
      </c>
    </row>
    <row r="77" spans="2:153" x14ac:dyDescent="0.4">
      <c r="B77" s="61" t="s">
        <v>48</v>
      </c>
      <c r="E77" s="57"/>
      <c r="F77" s="14" cm="1">
        <f t="array" ref="F77">SUMPRODUCT(($H77:$EJ77)*($H$6:$EJ$6&lt;=$C$5))</f>
        <v>-141329.96998233671</v>
      </c>
      <c r="H77" s="12"/>
      <c r="I77" s="245">
        <f>-I40/12*$C$6*(I$5&gt;'Inputs &amp; Drivers'!$F$41)</f>
        <v>0</v>
      </c>
      <c r="J77" s="245">
        <f>-J40/12*$C$6*(J$5&gt;'Inputs &amp; Drivers'!$F$41)</f>
        <v>0</v>
      </c>
      <c r="K77" s="245">
        <f>-K40/12*$C$6*(K$5&gt;'Inputs &amp; Drivers'!$F$41)</f>
        <v>0</v>
      </c>
      <c r="L77" s="245">
        <f>-L40/12*$C$6*(L$5&gt;'Inputs &amp; Drivers'!$F$41)</f>
        <v>0</v>
      </c>
      <c r="M77" s="245">
        <f>-M40/12*$C$6*(M$5&gt;'Inputs &amp; Drivers'!$F$41)</f>
        <v>0</v>
      </c>
      <c r="N77" s="245">
        <f>-N40/12*$C$6*(N$5&gt;'Inputs &amp; Drivers'!$F$41)</f>
        <v>0</v>
      </c>
      <c r="O77" s="245">
        <f>-O40/12*$C$6*(O$5&gt;'Inputs &amp; Drivers'!$F$41)</f>
        <v>0</v>
      </c>
      <c r="P77" s="245">
        <f>-P40/12*$C$6*(P$5&gt;'Inputs &amp; Drivers'!$F$41)</f>
        <v>0</v>
      </c>
      <c r="Q77" s="245">
        <f>-Q40/12*$C$6*(Q$5&gt;'Inputs &amp; Drivers'!$F$41)</f>
        <v>0</v>
      </c>
      <c r="R77" s="245">
        <f>-R40/12*$C$6*(R$5&gt;'Inputs &amp; Drivers'!$F$41)</f>
        <v>0</v>
      </c>
      <c r="S77" s="245">
        <f>-S40/12*$C$6*(S$5&gt;'Inputs &amp; Drivers'!$F$41)</f>
        <v>0</v>
      </c>
      <c r="T77" s="245">
        <f>-T40/12*$C$6*(T$5&gt;'Inputs &amp; Drivers'!$F$41)</f>
        <v>0</v>
      </c>
      <c r="U77" s="245">
        <f>-U40/12*$C$6*(U$5&gt;'Inputs &amp; Drivers'!$F$41)</f>
        <v>0</v>
      </c>
      <c r="V77" s="245">
        <f>-V40/12*$C$6*(V$5&gt;'Inputs &amp; Drivers'!$F$41)</f>
        <v>0</v>
      </c>
      <c r="W77" s="245">
        <f>-W40/12*$C$6*(W$5&gt;'Inputs &amp; Drivers'!$F$41)</f>
        <v>0</v>
      </c>
      <c r="X77" s="245">
        <f>-X40/12*$C$6*(X$5&gt;'Inputs &amp; Drivers'!$F$41)</f>
        <v>0</v>
      </c>
      <c r="Y77" s="245">
        <f>-Y40/12*$C$6*(Y$5&gt;'Inputs &amp; Drivers'!$F$41)</f>
        <v>-6932.4829574412561</v>
      </c>
      <c r="Z77" s="245">
        <f>-Z40/12*$C$6*(Z$5&gt;'Inputs &amp; Drivers'!$F$41)</f>
        <v>-6944.0370957036594</v>
      </c>
      <c r="AA77" s="245">
        <f>-AA40/12*$C$6*(AA$5&gt;'Inputs &amp; Drivers'!$F$41)</f>
        <v>-6955.610490863166</v>
      </c>
      <c r="AB77" s="245">
        <f>-AB40/12*$C$6*(AB$5&gt;'Inputs &amp; Drivers'!$F$41)</f>
        <v>-6967.2031750146043</v>
      </c>
      <c r="AC77" s="245">
        <f>-AC40/12*$C$6*(AC$5&gt;'Inputs &amp; Drivers'!$F$41)</f>
        <v>-6978.8151803062956</v>
      </c>
      <c r="AD77" s="245">
        <f>-AD40/12*$C$6*(AD$5&gt;'Inputs &amp; Drivers'!$F$41)</f>
        <v>-6990.4465389401394</v>
      </c>
      <c r="AE77" s="245">
        <f>-AE40/12*$C$6*(AE$5&gt;'Inputs &amp; Drivers'!$F$41)</f>
        <v>-7002.0972831717063</v>
      </c>
      <c r="AF77" s="245">
        <f>-AF40/12*$C$6*(AF$5&gt;'Inputs &amp; Drivers'!$F$41)</f>
        <v>-7013.7674453103255</v>
      </c>
      <c r="AG77" s="245">
        <f>-AG40/12*$C$6*(AG$5&gt;'Inputs &amp; Drivers'!$F$41)</f>
        <v>-7031.3018639236006</v>
      </c>
      <c r="AH77" s="245">
        <f>-AH40/12*$C$6*(AH$5&gt;'Inputs &amp; Drivers'!$F$41)</f>
        <v>-7048.8801185834091</v>
      </c>
      <c r="AI77" s="245">
        <f>-AI40/12*$C$6*(AI$5&gt;'Inputs &amp; Drivers'!$F$41)</f>
        <v>-7066.5023188798668</v>
      </c>
      <c r="AJ77" s="245">
        <f>-AJ40/12*$C$6*(AJ$5&gt;'Inputs &amp; Drivers'!$F$41)</f>
        <v>-7084.1685746770663</v>
      </c>
      <c r="AK77" s="245">
        <f>-AK40/12*$C$6*(AK$5&gt;'Inputs &amp; Drivers'!$F$41)</f>
        <v>-7101.8789961137581</v>
      </c>
      <c r="AL77" s="245">
        <f>-AL40/12*$C$6*(AL$5&gt;'Inputs &amp; Drivers'!$F$41)</f>
        <v>-7119.6336936040425</v>
      </c>
      <c r="AM77" s="245">
        <f>-AM40/12*$C$6*(AM$5&gt;'Inputs &amp; Drivers'!$F$41)</f>
        <v>-7137.4327778380512</v>
      </c>
      <c r="AN77" s="245">
        <f>-AN40/12*$C$6*(AN$5&gt;'Inputs &amp; Drivers'!$F$41)</f>
        <v>-7155.276359782647</v>
      </c>
      <c r="AO77" s="245">
        <f>-AO40/12*$C$6*(AO$5&gt;'Inputs &amp; Drivers'!$F$41)</f>
        <v>-7173.1645506821042</v>
      </c>
      <c r="AP77" s="245">
        <f>-AP40/12*$C$6*(AP$5&gt;'Inputs &amp; Drivers'!$F$41)</f>
        <v>-7191.0974620588095</v>
      </c>
      <c r="AQ77" s="245">
        <f>-AQ40/12*$C$6*(AQ$5&gt;'Inputs &amp; Drivers'!$F$41)</f>
        <v>-7209.0752057139553</v>
      </c>
      <c r="AR77" s="245">
        <f>-AR40/12*$C$6*(AR$5&gt;'Inputs &amp; Drivers'!$F$41)</f>
        <v>-7227.0978937282398</v>
      </c>
      <c r="AS77" s="245">
        <f>-AS40/12*$C$6*(AS$5&gt;'Inputs &amp; Drivers'!$F$41)</f>
        <v>-7245.1656384625594</v>
      </c>
      <c r="AT77" s="245">
        <f>-AT40/12*$C$6*(AT$5&gt;'Inputs &amp; Drivers'!$F$41)</f>
        <v>-7263.2785525587151</v>
      </c>
      <c r="AU77" s="245">
        <f>-AU40/12*$C$6*(AU$5&gt;'Inputs &amp; Drivers'!$F$41)</f>
        <v>-7281.436748940112</v>
      </c>
      <c r="AV77" s="245">
        <f>-AV40/12*$C$6*(AV$5&gt;'Inputs &amp; Drivers'!$F$41)</f>
        <v>-7299.6403408124625</v>
      </c>
      <c r="AW77" s="245">
        <f>-AW40/12*$C$6*(AW$5&gt;'Inputs &amp; Drivers'!$F$41)</f>
        <v>-7317.8894416644916</v>
      </c>
      <c r="AX77" s="245">
        <f>-AX40/12*$C$6*(AX$5&gt;'Inputs &amp; Drivers'!$F$41)</f>
        <v>-7336.1841652686535</v>
      </c>
      <c r="AY77" s="245">
        <f>-AY40/12*$C$6*(AY$5&gt;'Inputs &amp; Drivers'!$F$41)</f>
        <v>-7354.5246256818245</v>
      </c>
      <c r="AZ77" s="245">
        <f>-AZ40/12*$C$6*(AZ$5&gt;'Inputs &amp; Drivers'!$F$41)</f>
        <v>-7372.9109372460289</v>
      </c>
      <c r="BA77" s="245">
        <f>-BA40/12*$C$6*(BA$5&gt;'Inputs &amp; Drivers'!$F$41)</f>
        <v>-7391.3432145891438</v>
      </c>
      <c r="BB77" s="245">
        <f>-BB40/12*$C$6*(BB$5&gt;'Inputs &amp; Drivers'!$F$41)</f>
        <v>-7409.8215726256158</v>
      </c>
      <c r="BC77" s="245">
        <f>-BC40/12*$C$6*(BC$5&gt;'Inputs &amp; Drivers'!$F$41)</f>
        <v>-7428.3461265571786</v>
      </c>
      <c r="BD77" s="245">
        <f>-BD40/12*$C$6*(BD$5&gt;'Inputs &amp; Drivers'!$F$41)</f>
        <v>-7446.9169918735715</v>
      </c>
      <c r="BE77" s="245">
        <f>-BE40/12*$C$6*(BE$5&gt;'Inputs &amp; Drivers'!$F$41)</f>
        <v>-7465.5342843532553</v>
      </c>
      <c r="BF77" s="245">
        <f>-BF40/12*$C$6*(BF$5&gt;'Inputs &amp; Drivers'!$F$41)</f>
        <v>-7484.1981200641385</v>
      </c>
      <c r="BG77" s="245">
        <f>-BG40/12*$C$6*(BG$5&gt;'Inputs &amp; Drivers'!$F$41)</f>
        <v>-7502.9086153642975</v>
      </c>
      <c r="BH77" s="245">
        <f>-BH40/12*$C$6*(BH$5&gt;'Inputs &amp; Drivers'!$F$41)</f>
        <v>-7521.6658869027087</v>
      </c>
      <c r="BI77" s="245">
        <f>-BI40/12*$C$6*(BI$5&gt;'Inputs &amp; Drivers'!$F$41)</f>
        <v>-7540.4700516199655</v>
      </c>
      <c r="BJ77" s="245">
        <f>-BJ40/12*$C$6*(BJ$5&gt;'Inputs &amp; Drivers'!$F$41)</f>
        <v>-7559.3212267490144</v>
      </c>
      <c r="BK77" s="245">
        <f>-BK40/12*$C$6*(BK$5&gt;'Inputs &amp; Drivers'!$F$41)</f>
        <v>-7578.2195298158867</v>
      </c>
      <c r="BL77" s="245">
        <f>-BL40/12*$C$6*(BL$5&gt;'Inputs &amp; Drivers'!$F$41)</f>
        <v>-7597.1650786404261</v>
      </c>
      <c r="BM77" s="245">
        <f>-BM40/12*$C$6*(BM$5&gt;'Inputs &amp; Drivers'!$F$41)</f>
        <v>-7616.157991337026</v>
      </c>
      <c r="BN77" s="245">
        <f>-BN40/12*$C$6*(BN$5&gt;'Inputs &amp; Drivers'!$F$41)</f>
        <v>-7635.1983863153673</v>
      </c>
      <c r="BO77" s="245">
        <f>-BO40/12*$C$6*(BO$5&gt;'Inputs &amp; Drivers'!$F$41)</f>
        <v>-7654.2863822811551</v>
      </c>
      <c r="BP77" s="245">
        <f>-BP40/12*$C$6*(BP$5&gt;'Inputs &amp; Drivers'!$F$41)</f>
        <v>-7673.4220982368588</v>
      </c>
      <c r="BQ77" s="245">
        <f>-BQ40/12*$C$6*(BQ$5&gt;'Inputs &amp; Drivers'!$F$41)</f>
        <v>-7692.6056534824502</v>
      </c>
      <c r="BR77" s="245">
        <f>-BR40/12*$C$6*(BR$5&gt;'Inputs &amp; Drivers'!$F$41)</f>
        <v>-7711.837167616156</v>
      </c>
      <c r="BS77" s="245">
        <f>-BS40/12*$C$6*(BS$5&gt;'Inputs &amp; Drivers'!$F$41)</f>
        <v>-7731.1167605351957</v>
      </c>
      <c r="BT77" s="245">
        <f>-BT40/12*$C$6*(BT$5&gt;'Inputs &amp; Drivers'!$F$41)</f>
        <v>-7750.4445524365337</v>
      </c>
      <c r="BU77" s="245">
        <f>-BU40/12*$C$6*(BU$5&gt;'Inputs &amp; Drivers'!$F$41)</f>
        <v>-7769.8206638176252</v>
      </c>
      <c r="BV77" s="245">
        <f>-BV40/12*$C$6*(BV$5&gt;'Inputs &amp; Drivers'!$F$41)</f>
        <v>-7789.2452154771681</v>
      </c>
      <c r="BW77" s="245">
        <f>-BW40/12*$C$6*(BW$5&gt;'Inputs &amp; Drivers'!$F$41)</f>
        <v>-7808.7183285158599</v>
      </c>
      <c r="BX77" s="245">
        <f>-BX40/12*$C$6*(BX$5&gt;'Inputs &amp; Drivers'!$F$41)</f>
        <v>-7828.2401243371496</v>
      </c>
      <c r="BY77" s="245">
        <f>-BY40/12*$C$6*(BY$5&gt;'Inputs &amp; Drivers'!$F$41)</f>
        <v>-7847.8107246479922</v>
      </c>
      <c r="BZ77" s="245">
        <f>-BZ40/12*$C$6*(BZ$5&gt;'Inputs &amp; Drivers'!$F$41)</f>
        <v>-7867.430251459612</v>
      </c>
      <c r="CA77" s="245">
        <f>-CA40/12*$C$6*(CA$5&gt;'Inputs &amp; Drivers'!$F$41)</f>
        <v>-7887.0988270882608</v>
      </c>
      <c r="CB77" s="245">
        <f>-CB40/12*$C$6*(CB$5&gt;'Inputs &amp; Drivers'!$F$41)</f>
        <v>-7906.8165741559806</v>
      </c>
      <c r="CC77" s="245">
        <f>-CC40/12*$C$6*(CC$5&gt;'Inputs &amp; Drivers'!$F$41)</f>
        <v>-7926.5836155913703</v>
      </c>
      <c r="CD77" s="245">
        <f>-CD40/12*$C$6*(CD$5&gt;'Inputs &amp; Drivers'!$F$41)</f>
        <v>-7946.4000746303491</v>
      </c>
      <c r="CE77" s="245">
        <f>-CE40/12*$C$6*(CE$5&gt;'Inputs &amp; Drivers'!$F$41)</f>
        <v>-7966.2660748169237</v>
      </c>
      <c r="CF77" s="245">
        <f>-CF40/12*$C$6*(CF$5&gt;'Inputs &amp; Drivers'!$F$41)</f>
        <v>-7986.1817400039672</v>
      </c>
      <c r="CG77" s="245">
        <f>-CG40/12*$C$6*(CG$5&gt;'Inputs &amp; Drivers'!$F$41)</f>
        <v>-8006.1471943539764</v>
      </c>
      <c r="CH77" s="245">
        <f>-CH40/12*$C$6*(CH$5&gt;'Inputs &amp; Drivers'!$F$41)</f>
        <v>-8026.1625623398604</v>
      </c>
      <c r="CI77" s="245">
        <f>-CI40/12*$C$6*(CI$5&gt;'Inputs &amp; Drivers'!$F$41)</f>
        <v>-8046.2279687457103</v>
      </c>
      <c r="CJ77" s="245">
        <f>-CJ40/12*$C$6*(CJ$5&gt;'Inputs &amp; Drivers'!$F$41)</f>
        <v>-8066.3435386675728</v>
      </c>
      <c r="CK77" s="245">
        <f>-CK40/12*$C$6*(CK$5&gt;'Inputs &amp; Drivers'!$F$41)</f>
        <v>-8086.5093975142418</v>
      </c>
      <c r="CL77" s="245">
        <f>-CL40/12*$C$6*(CL$5&gt;'Inputs &amp; Drivers'!$F$41)</f>
        <v>-8106.7256710080273</v>
      </c>
      <c r="CM77" s="245">
        <f>-CM40/12*$C$6*(CM$5&gt;'Inputs &amp; Drivers'!$F$41)</f>
        <v>-8126.9924851855458</v>
      </c>
      <c r="CN77" s="245">
        <f>-CN40/12*$C$6*(CN$5&gt;'Inputs &amp; Drivers'!$F$41)</f>
        <v>-8147.3099663985104</v>
      </c>
      <c r="CO77" s="245">
        <f>-CO40/12*$C$6*(CO$5&gt;'Inputs &amp; Drivers'!$F$41)</f>
        <v>-8167.6782413145056</v>
      </c>
      <c r="CP77" s="245">
        <f>-CP40/12*$C$6*(CP$5&gt;'Inputs &amp; Drivers'!$F$41)</f>
        <v>-8188.0974369177902</v>
      </c>
      <c r="CQ77" s="245">
        <f>-CQ40/12*$C$6*(CQ$5&gt;'Inputs &amp; Drivers'!$F$41)</f>
        <v>-8208.5676805100848</v>
      </c>
      <c r="CR77" s="245">
        <f>-CR40/12*$C$6*(CR$5&gt;'Inputs &amp; Drivers'!$F$41)</f>
        <v>-8229.0890997113602</v>
      </c>
      <c r="CS77" s="245">
        <f>-CS40/12*$C$6*(CS$5&gt;'Inputs &amp; Drivers'!$F$41)</f>
        <v>-8249.6618224606354</v>
      </c>
      <c r="CT77" s="245">
        <f>-CT40/12*$C$6*(CT$5&gt;'Inputs &amp; Drivers'!$F$41)</f>
        <v>-8270.285977016787</v>
      </c>
      <c r="CU77" s="245">
        <f>-CU40/12*$C$6*(CU$5&gt;'Inputs &amp; Drivers'!$F$41)</f>
        <v>-8290.9616919593282</v>
      </c>
      <c r="CV77" s="245">
        <f>-CV40/12*$C$6*(CV$5&gt;'Inputs &amp; Drivers'!$F$41)</f>
        <v>-8311.6890961892277</v>
      </c>
      <c r="CW77" s="245">
        <f>-CW40/12*$C$6*(CW$5&gt;'Inputs &amp; Drivers'!$F$41)</f>
        <v>-8332.4683189296993</v>
      </c>
      <c r="CX77" s="245">
        <f>-CX40/12*$C$6*(CX$5&gt;'Inputs &amp; Drivers'!$F$41)</f>
        <v>-8353.2994897270219</v>
      </c>
      <c r="CY77" s="245">
        <f>-CY40/12*$C$6*(CY$5&gt;'Inputs &amp; Drivers'!$F$41)</f>
        <v>-8374.1827384513399</v>
      </c>
      <c r="CZ77" s="245">
        <f>-CZ40/12*$C$6*(CZ$5&gt;'Inputs &amp; Drivers'!$F$41)</f>
        <v>-8395.1181952974675</v>
      </c>
      <c r="DA77" s="245">
        <f>-DA40/12*$C$6*(DA$5&gt;'Inputs &amp; Drivers'!$F$41)</f>
        <v>-8416.1059907857107</v>
      </c>
      <c r="DB77" s="245">
        <f>-DB40/12*$C$6*(DB$5&gt;'Inputs &amp; Drivers'!$F$41)</f>
        <v>-8437.1462557626746</v>
      </c>
      <c r="DC77" s="245">
        <f>-DC40/12*$C$6*(DC$5&gt;'Inputs &amp; Drivers'!$F$41)</f>
        <v>-8458.2391214020809</v>
      </c>
      <c r="DD77" s="245">
        <f>-DD40/12*$C$6*(DD$5&gt;'Inputs &amp; Drivers'!$F$41)</f>
        <v>-8479.3847192055855</v>
      </c>
      <c r="DE77" s="245">
        <f>-DE40/12*$C$6*(DE$5&gt;'Inputs &amp; Drivers'!$F$41)</f>
        <v>-8500.5831810035997</v>
      </c>
      <c r="DF77" s="245">
        <f>-DF40/12*$C$6*(DF$5&gt;'Inputs &amp; Drivers'!$F$41)</f>
        <v>-8521.8346389561066</v>
      </c>
      <c r="DG77" s="245">
        <f>-DG40/12*$C$6*(DG$5&gt;'Inputs &amp; Drivers'!$F$41)</f>
        <v>-8543.1392255534975</v>
      </c>
      <c r="DH77" s="245">
        <f>-DH40/12*$C$6*(DH$5&gt;'Inputs &amp; Drivers'!$F$41)</f>
        <v>-8564.49707361738</v>
      </c>
      <c r="DI77" s="245">
        <f>-DI40/12*$C$6*(DI$5&gt;'Inputs &amp; Drivers'!$F$41)</f>
        <v>-8585.9083163014238</v>
      </c>
      <c r="DJ77" s="245">
        <f>-DJ40/12*$C$6*(DJ$5&gt;'Inputs &amp; Drivers'!$F$41)</f>
        <v>-8607.3730870921772</v>
      </c>
      <c r="DK77" s="245">
        <f>-DK40/12*$C$6*(DK$5&gt;'Inputs &amp; Drivers'!$F$41)</f>
        <v>-8628.8915198099057</v>
      </c>
      <c r="DL77" s="245">
        <f>-DL40/12*$C$6*(DL$5&gt;'Inputs &amp; Drivers'!$F$41)</f>
        <v>-8650.4637486094307</v>
      </c>
      <c r="DM77" s="245">
        <f>-DM40/12*$C$6*(DM$5&gt;'Inputs &amp; Drivers'!$F$41)</f>
        <v>-8672.0899079809551</v>
      </c>
      <c r="DN77" s="245">
        <f>-DN40/12*$C$6*(DN$5&gt;'Inputs &amp; Drivers'!$F$41)</f>
        <v>-8693.7701327509058</v>
      </c>
      <c r="DO77" s="245">
        <f>-DO40/12*$C$6*(DO$5&gt;'Inputs &amp; Drivers'!$F$41)</f>
        <v>-8715.5045580827828</v>
      </c>
      <c r="DP77" s="245">
        <f>-DP40/12*$C$6*(DP$5&gt;'Inputs &amp; Drivers'!$F$41)</f>
        <v>-8737.2933194779889</v>
      </c>
      <c r="DQ77" s="245">
        <f>-DQ40/12*$C$6*(DQ$5&gt;'Inputs &amp; Drivers'!$F$41)</f>
        <v>-8759.1365527766829</v>
      </c>
      <c r="DR77" s="245">
        <f>-DR40/12*$C$6*(DR$5&gt;'Inputs &amp; Drivers'!$F$41)</f>
        <v>-8781.0343941586252</v>
      </c>
      <c r="DS77" s="245">
        <f>-DS40/12*$C$6*(DS$5&gt;'Inputs &amp; Drivers'!$F$41)</f>
        <v>-8802.9869801440218</v>
      </c>
      <c r="DT77" s="245">
        <f>-DT40/12*$C$6*(DT$5&gt;'Inputs &amp; Drivers'!$F$41)</f>
        <v>-8824.9944475943794</v>
      </c>
      <c r="DU77" s="245">
        <f>-DU40/12*$C$6*(DU$5&gt;'Inputs &amp; Drivers'!$F$41)</f>
        <v>-8847.0569337133675</v>
      </c>
      <c r="DV77" s="245">
        <f>-DV40/12*$C$6*(DV$5&gt;'Inputs &amp; Drivers'!$F$41)</f>
        <v>-8869.1745760476497</v>
      </c>
      <c r="DW77" s="245">
        <f>-DW40/12*$C$6*(DW$5&gt;'Inputs &amp; Drivers'!$F$41)</f>
        <v>-8891.3475124877677</v>
      </c>
      <c r="DX77" s="245">
        <f>-DX40/12*$C$6*(DX$5&gt;'Inputs &amp; Drivers'!$F$41)</f>
        <v>-8913.5758812689874</v>
      </c>
      <c r="DY77" s="245">
        <f>-DY40/12*$C$6*(DY$5&gt;'Inputs &amp; Drivers'!$F$41)</f>
        <v>-8935.8598209721586</v>
      </c>
      <c r="DZ77" s="245">
        <f>-DZ40/12*$C$6*(DZ$5&gt;'Inputs &amp; Drivers'!$F$41)</f>
        <v>-8958.1994705245888</v>
      </c>
      <c r="EA77" s="245">
        <f>-EA40/12*$C$6*(EA$5&gt;'Inputs &amp; Drivers'!$F$41)</f>
        <v>-8980.5949692008999</v>
      </c>
      <c r="EB77" s="245">
        <f>-EB40/12*$C$6*(EB$5&gt;'Inputs &amp; Drivers'!$F$41)</f>
        <v>-9003.0464566239025</v>
      </c>
      <c r="EC77" s="245">
        <f>-EC40/12*$C$6*(EC$5&gt;'Inputs &amp; Drivers'!$F$41)</f>
        <v>-9025.5540727654607</v>
      </c>
      <c r="ED77" s="245">
        <f>-ED40/12*$C$6*(ED$5&gt;'Inputs &amp; Drivers'!$F$41)</f>
        <v>-9048.1179579473737</v>
      </c>
      <c r="EE77" s="245">
        <f>-EE40/12*$C$6*(EE$5&gt;'Inputs &amp; Drivers'!$F$41)</f>
        <v>-9070.7382528422404</v>
      </c>
      <c r="EF77" s="245">
        <f>-EF40/12*$C$6*(EF$5&gt;'Inputs &amp; Drivers'!$F$41)</f>
        <v>-9093.4150984743465</v>
      </c>
      <c r="EG77" s="245">
        <f>-EG40/12*$C$6*(EG$5&gt;'Inputs &amp; Drivers'!$F$41)</f>
        <v>-9116.1486362205324</v>
      </c>
      <c r="EH77" s="245">
        <f>-EH40/12*$C$6*(EH$5&gt;'Inputs &amp; Drivers'!$F$41)</f>
        <v>-9138.9390078110846</v>
      </c>
      <c r="EI77" s="245">
        <f>-EI40/12*$C$6*(EI$5&gt;'Inputs &amp; Drivers'!$F$41)</f>
        <v>-9161.7863553306106</v>
      </c>
      <c r="EJ77" s="245">
        <f>-EJ40/12*$C$6*(EJ$5&gt;'Inputs &amp; Drivers'!$F$41)</f>
        <v>-9184.6908212189373</v>
      </c>
      <c r="EK77" s="8"/>
      <c r="EL77" s="12">
        <f t="shared" si="202"/>
        <v>0</v>
      </c>
      <c r="EM77" s="12">
        <f t="shared" si="202"/>
        <v>0</v>
      </c>
      <c r="EN77" s="12">
        <f t="shared" si="202"/>
        <v>-55784.460166751152</v>
      </c>
      <c r="EO77" s="12">
        <f t="shared" si="202"/>
        <v>-85545.509815585552</v>
      </c>
      <c r="EP77" s="12">
        <f t="shared" si="202"/>
        <v>-88147.458356280375</v>
      </c>
      <c r="EQ77" s="12">
        <f t="shared" si="202"/>
        <v>-90828.547651680099</v>
      </c>
      <c r="ER77" s="12">
        <f t="shared" si="202"/>
        <v>-93591.184843569979</v>
      </c>
      <c r="ES77" s="12">
        <f t="shared" si="202"/>
        <v>-96437.85028925605</v>
      </c>
      <c r="ET77" s="12">
        <f t="shared" si="202"/>
        <v>-99371.09978848524</v>
      </c>
      <c r="EU77" s="12">
        <f t="shared" si="202"/>
        <v>-102393.56687809956</v>
      </c>
      <c r="EV77" s="12">
        <f t="shared" si="202"/>
        <v>-105507.96519648412</v>
      </c>
      <c r="EW77" s="12">
        <f t="shared" si="202"/>
        <v>-108717.09091993215</v>
      </c>
    </row>
    <row r="78" spans="2:153" x14ac:dyDescent="0.4">
      <c r="B78" s="42" t="s">
        <v>49</v>
      </c>
      <c r="C78" s="43"/>
      <c r="D78" s="43"/>
      <c r="E78" s="44"/>
      <c r="F78" s="223">
        <f>SUM(F69:F77)</f>
        <v>-2494801.4816099713</v>
      </c>
      <c r="G78" s="222"/>
      <c r="H78" s="222"/>
      <c r="I78" s="221">
        <f>SUM(I69:I77)</f>
        <v>0</v>
      </c>
      <c r="J78" s="221">
        <f t="shared" ref="J78:BU78" si="209">SUM(J69:J77)</f>
        <v>0</v>
      </c>
      <c r="K78" s="221">
        <f t="shared" si="209"/>
        <v>0</v>
      </c>
      <c r="L78" s="221">
        <f t="shared" si="209"/>
        <v>0</v>
      </c>
      <c r="M78" s="221">
        <f t="shared" si="209"/>
        <v>0</v>
      </c>
      <c r="N78" s="221">
        <f t="shared" si="209"/>
        <v>0</v>
      </c>
      <c r="O78" s="221">
        <f t="shared" si="209"/>
        <v>0</v>
      </c>
      <c r="P78" s="221">
        <f t="shared" si="209"/>
        <v>0</v>
      </c>
      <c r="Q78" s="221">
        <f t="shared" si="209"/>
        <v>0</v>
      </c>
      <c r="R78" s="221">
        <f t="shared" si="209"/>
        <v>0</v>
      </c>
      <c r="S78" s="221">
        <f t="shared" si="209"/>
        <v>0</v>
      </c>
      <c r="T78" s="221">
        <f t="shared" si="209"/>
        <v>0</v>
      </c>
      <c r="U78" s="221">
        <f t="shared" si="209"/>
        <v>0</v>
      </c>
      <c r="V78" s="221">
        <f t="shared" si="209"/>
        <v>0</v>
      </c>
      <c r="W78" s="221">
        <f t="shared" si="209"/>
        <v>0</v>
      </c>
      <c r="X78" s="221">
        <f t="shared" si="209"/>
        <v>0</v>
      </c>
      <c r="Y78" s="221">
        <f t="shared" si="209"/>
        <v>-69337.448373997031</v>
      </c>
      <c r="Z78" s="221">
        <f t="shared" si="209"/>
        <v>-77251.389180720376</v>
      </c>
      <c r="AA78" s="221">
        <f t="shared" si="209"/>
        <v>-85191.517186109515</v>
      </c>
      <c r="AB78" s="221">
        <f t="shared" si="209"/>
        <v>-93157.897697657783</v>
      </c>
      <c r="AC78" s="221">
        <f t="shared" si="209"/>
        <v>-101150.59616780793</v>
      </c>
      <c r="AD78" s="221">
        <f t="shared" si="209"/>
        <v>-109169.67819425387</v>
      </c>
      <c r="AE78" s="221">
        <f t="shared" si="209"/>
        <v>-117215.20952024304</v>
      </c>
      <c r="AF78" s="221">
        <f t="shared" si="209"/>
        <v>-125287.25603487941</v>
      </c>
      <c r="AG78" s="221">
        <f t="shared" si="209"/>
        <v>-133675.58039635813</v>
      </c>
      <c r="AH78" s="221">
        <f t="shared" si="209"/>
        <v>-141904.80073183458</v>
      </c>
      <c r="AI78" s="221">
        <f t="shared" si="209"/>
        <v>-142213.3591175093</v>
      </c>
      <c r="AJ78" s="221">
        <f t="shared" si="209"/>
        <v>-142522.61189312127</v>
      </c>
      <c r="AK78" s="221">
        <f t="shared" si="209"/>
        <v>-142832.56066630202</v>
      </c>
      <c r="AL78" s="221">
        <f t="shared" si="209"/>
        <v>-143143.20704848808</v>
      </c>
      <c r="AM78" s="221">
        <f t="shared" si="209"/>
        <v>-143454.55265493054</v>
      </c>
      <c r="AN78" s="221">
        <f t="shared" si="209"/>
        <v>-144826.54271586184</v>
      </c>
      <c r="AO78" s="221">
        <f t="shared" si="209"/>
        <v>-145141.94149090091</v>
      </c>
      <c r="AP78" s="221">
        <f t="shared" si="209"/>
        <v>-145458.05098357477</v>
      </c>
      <c r="AQ78" s="221">
        <f t="shared" si="209"/>
        <v>-145774.87284104511</v>
      </c>
      <c r="AR78" s="221">
        <f t="shared" si="209"/>
        <v>-146092.40871437587</v>
      </c>
      <c r="AS78" s="221">
        <f t="shared" si="209"/>
        <v>-146410.66025854202</v>
      </c>
      <c r="AT78" s="221">
        <f t="shared" si="209"/>
        <v>-146729.62913243918</v>
      </c>
      <c r="AU78" s="221">
        <f t="shared" si="209"/>
        <v>-147049.31699889319</v>
      </c>
      <c r="AV78" s="221">
        <f t="shared" si="209"/>
        <v>-147369.72552466943</v>
      </c>
      <c r="AW78" s="221">
        <f t="shared" si="209"/>
        <v>-147690.85638048215</v>
      </c>
      <c r="AX78" s="221">
        <f t="shared" si="209"/>
        <v>-148012.71124100441</v>
      </c>
      <c r="AY78" s="221">
        <f t="shared" si="209"/>
        <v>-148335.29178487731</v>
      </c>
      <c r="AZ78" s="221">
        <f t="shared" si="209"/>
        <v>-148658.59969471948</v>
      </c>
      <c r="BA78" s="221">
        <f t="shared" si="209"/>
        <v>-148982.6366571369</v>
      </c>
      <c r="BB78" s="221">
        <f t="shared" si="209"/>
        <v>-149307.40436273231</v>
      </c>
      <c r="BC78" s="221">
        <f t="shared" si="209"/>
        <v>-149632.90450611498</v>
      </c>
      <c r="BD78" s="221">
        <f t="shared" si="209"/>
        <v>-149959.13878591027</v>
      </c>
      <c r="BE78" s="221">
        <f t="shared" si="209"/>
        <v>-150286.10890476921</v>
      </c>
      <c r="BF78" s="221">
        <f t="shared" si="209"/>
        <v>-150613.81656937845</v>
      </c>
      <c r="BG78" s="221">
        <f t="shared" si="209"/>
        <v>-150942.26349046978</v>
      </c>
      <c r="BH78" s="221">
        <f t="shared" si="209"/>
        <v>-151271.45138283001</v>
      </c>
      <c r="BI78" s="221">
        <f t="shared" si="209"/>
        <v>-151601.38196531052</v>
      </c>
      <c r="BJ78" s="221">
        <f t="shared" si="209"/>
        <v>-151932.05696083725</v>
      </c>
      <c r="BK78" s="221">
        <f t="shared" si="209"/>
        <v>-152263.47809642047</v>
      </c>
      <c r="BL78" s="221">
        <f t="shared" si="209"/>
        <v>-152595.64710316464</v>
      </c>
      <c r="BM78" s="221">
        <f t="shared" si="209"/>
        <v>-152928.56571627819</v>
      </c>
      <c r="BN78" s="221">
        <f t="shared" si="209"/>
        <v>-153262.23567508342</v>
      </c>
      <c r="BO78" s="221">
        <f t="shared" si="209"/>
        <v>-153596.65872302654</v>
      </c>
      <c r="BP78" s="221">
        <f t="shared" si="209"/>
        <v>-153931.83660768744</v>
      </c>
      <c r="BQ78" s="221">
        <f t="shared" si="209"/>
        <v>-154267.77108078977</v>
      </c>
      <c r="BR78" s="221">
        <f t="shared" si="209"/>
        <v>-154604.46389821079</v>
      </c>
      <c r="BS78" s="221">
        <f t="shared" si="209"/>
        <v>-154941.91681999154</v>
      </c>
      <c r="BT78" s="221">
        <f t="shared" si="209"/>
        <v>-155280.13161034684</v>
      </c>
      <c r="BU78" s="221">
        <f t="shared" si="209"/>
        <v>-155619.11003767521</v>
      </c>
      <c r="BV78" s="221">
        <f t="shared" ref="BV78:EG78" si="210">SUM(BV69:BV77)</f>
        <v>-155958.85387456906</v>
      </c>
      <c r="BW78" s="221">
        <f t="shared" si="210"/>
        <v>-156299.36489782479</v>
      </c>
      <c r="BX78" s="221">
        <f t="shared" si="210"/>
        <v>-156640.64488845298</v>
      </c>
      <c r="BY78" s="221">
        <f t="shared" si="210"/>
        <v>-156982.69563168834</v>
      </c>
      <c r="BZ78" s="221">
        <f t="shared" si="210"/>
        <v>-157325.51891700021</v>
      </c>
      <c r="CA78" s="221">
        <f t="shared" si="210"/>
        <v>-157669.11653810233</v>
      </c>
      <c r="CB78" s="221">
        <f t="shared" si="210"/>
        <v>-158013.49029296363</v>
      </c>
      <c r="CC78" s="221">
        <f t="shared" si="210"/>
        <v>-158358.64198381791</v>
      </c>
      <c r="CD78" s="221">
        <f t="shared" si="210"/>
        <v>-158704.57341717451</v>
      </c>
      <c r="CE78" s="221">
        <f t="shared" si="210"/>
        <v>-159051.28640382853</v>
      </c>
      <c r="CF78" s="221">
        <f t="shared" si="210"/>
        <v>-159398.78275887101</v>
      </c>
      <c r="CG78" s="221">
        <f t="shared" si="210"/>
        <v>-159747.06430169949</v>
      </c>
      <c r="CH78" s="221">
        <f t="shared" si="210"/>
        <v>-160096.13285602827</v>
      </c>
      <c r="CI78" s="221">
        <f t="shared" si="210"/>
        <v>-160445.99024989884</v>
      </c>
      <c r="CJ78" s="221">
        <f t="shared" si="210"/>
        <v>-160796.63831569024</v>
      </c>
      <c r="CK78" s="221">
        <f t="shared" si="210"/>
        <v>-161148.07889012981</v>
      </c>
      <c r="CL78" s="221">
        <f t="shared" si="210"/>
        <v>-161500.3138143032</v>
      </c>
      <c r="CM78" s="221">
        <f t="shared" si="210"/>
        <v>-161853.34493366521</v>
      </c>
      <c r="CN78" s="221">
        <f t="shared" si="210"/>
        <v>-162207.17409805043</v>
      </c>
      <c r="CO78" s="221">
        <f t="shared" si="210"/>
        <v>-162561.80316168335</v>
      </c>
      <c r="CP78" s="221">
        <f t="shared" si="210"/>
        <v>-162917.2339831893</v>
      </c>
      <c r="CQ78" s="221">
        <f t="shared" si="210"/>
        <v>-163273.46842560501</v>
      </c>
      <c r="CR78" s="221">
        <f t="shared" si="210"/>
        <v>-163630.50835638921</v>
      </c>
      <c r="CS78" s="221">
        <f t="shared" si="210"/>
        <v>-163988.35564743326</v>
      </c>
      <c r="CT78" s="221">
        <f t="shared" si="210"/>
        <v>-164347.01217507181</v>
      </c>
      <c r="CU78" s="221">
        <f t="shared" si="210"/>
        <v>-164706.47982009366</v>
      </c>
      <c r="CV78" s="221">
        <f t="shared" si="210"/>
        <v>-165066.76046775235</v>
      </c>
      <c r="CW78" s="221">
        <f t="shared" si="210"/>
        <v>-165427.85600777707</v>
      </c>
      <c r="CX78" s="221">
        <f t="shared" si="210"/>
        <v>-165789.76833438323</v>
      </c>
      <c r="CY78" s="221">
        <f t="shared" si="210"/>
        <v>-166152.49934628361</v>
      </c>
      <c r="CZ78" s="221">
        <f t="shared" si="210"/>
        <v>-166516.05094669884</v>
      </c>
      <c r="DA78" s="221">
        <f t="shared" si="210"/>
        <v>-166880.42504336851</v>
      </c>
      <c r="DB78" s="221">
        <f t="shared" si="210"/>
        <v>-167245.623548562</v>
      </c>
      <c r="DC78" s="221">
        <f t="shared" si="210"/>
        <v>-167611.64837908949</v>
      </c>
      <c r="DD78" s="221">
        <f t="shared" si="210"/>
        <v>-167978.50145631269</v>
      </c>
      <c r="DE78" s="221">
        <f t="shared" si="210"/>
        <v>-168346.18470615611</v>
      </c>
      <c r="DF78" s="221">
        <f t="shared" si="210"/>
        <v>-168714.70005911781</v>
      </c>
      <c r="DG78" s="221">
        <f t="shared" si="210"/>
        <v>-169084.04945028055</v>
      </c>
      <c r="DH78" s="221">
        <f t="shared" si="210"/>
        <v>-169454.23481932288</v>
      </c>
      <c r="DI78" s="221">
        <f t="shared" si="210"/>
        <v>-169825.25811053021</v>
      </c>
      <c r="DJ78" s="221">
        <f t="shared" si="210"/>
        <v>-170197.12127280582</v>
      </c>
      <c r="DK78" s="221">
        <f t="shared" si="210"/>
        <v>-170569.82625968207</v>
      </c>
      <c r="DL78" s="221">
        <f t="shared" si="210"/>
        <v>-170943.37502933171</v>
      </c>
      <c r="DM78" s="221">
        <f t="shared" si="210"/>
        <v>-171317.76954457883</v>
      </c>
      <c r="DN78" s="221">
        <f t="shared" si="210"/>
        <v>-171693.01177291013</v>
      </c>
      <c r="DO78" s="221">
        <f t="shared" si="210"/>
        <v>-172069.10368648643</v>
      </c>
      <c r="DP78" s="221">
        <f t="shared" si="210"/>
        <v>-172446.04726215353</v>
      </c>
      <c r="DQ78" s="221">
        <f t="shared" si="210"/>
        <v>-172823.84448145391</v>
      </c>
      <c r="DR78" s="221">
        <f t="shared" si="210"/>
        <v>-173202.49733063779</v>
      </c>
      <c r="DS78" s="221">
        <f t="shared" si="210"/>
        <v>-173582.00780067459</v>
      </c>
      <c r="DT78" s="221">
        <f t="shared" si="210"/>
        <v>-173962.37788726436</v>
      </c>
      <c r="DU78" s="221">
        <f t="shared" si="210"/>
        <v>-174343.60959084902</v>
      </c>
      <c r="DV78" s="221">
        <f t="shared" si="210"/>
        <v>-174725.70491662409</v>
      </c>
      <c r="DW78" s="221">
        <f t="shared" si="210"/>
        <v>-175108.66587454994</v>
      </c>
      <c r="DX78" s="221">
        <f t="shared" si="210"/>
        <v>-175492.49447936335</v>
      </c>
      <c r="DY78" s="221">
        <f t="shared" si="210"/>
        <v>-175877.19275058902</v>
      </c>
      <c r="DZ78" s="221">
        <f t="shared" si="210"/>
        <v>-176262.76271255111</v>
      </c>
      <c r="EA78" s="221">
        <f t="shared" si="210"/>
        <v>-176649.20639438491</v>
      </c>
      <c r="EB78" s="221">
        <f t="shared" si="210"/>
        <v>-177036.5258300484</v>
      </c>
      <c r="EC78" s="221">
        <f t="shared" si="210"/>
        <v>-177424.7230583338</v>
      </c>
      <c r="ED78" s="221">
        <f t="shared" si="210"/>
        <v>-177813.80012287945</v>
      </c>
      <c r="EE78" s="221">
        <f t="shared" si="210"/>
        <v>-178203.75907218133</v>
      </c>
      <c r="EF78" s="221">
        <f t="shared" si="210"/>
        <v>-178594.60195960477</v>
      </c>
      <c r="EG78" s="221">
        <f t="shared" si="210"/>
        <v>-178986.33084339631</v>
      </c>
      <c r="EH78" s="221">
        <f>SUM(EH69:EH77)</f>
        <v>-179378.94778669553</v>
      </c>
      <c r="EI78" s="221">
        <f>SUM(EI69:EI77)</f>
        <v>-179772.4548575466</v>
      </c>
      <c r="EJ78" s="221">
        <f>SUM(EJ69:EJ77)</f>
        <v>-180166.85412891052</v>
      </c>
      <c r="EK78" s="118"/>
      <c r="EL78" s="221">
        <f t="shared" ref="EL78:EW78" si="211">SUM(EL69:EL77)</f>
        <v>0</v>
      </c>
      <c r="EM78" s="221">
        <f t="shared" si="211"/>
        <v>0</v>
      </c>
      <c r="EN78" s="221">
        <f t="shared" si="211"/>
        <v>-777760.99235566892</v>
      </c>
      <c r="EO78" s="221">
        <f t="shared" si="211"/>
        <v>-1717040.4892543023</v>
      </c>
      <c r="EP78" s="221">
        <f t="shared" si="211"/>
        <v>-1778138.8753275219</v>
      </c>
      <c r="EQ78" s="221">
        <f t="shared" si="211"/>
        <v>-1825225.5011952561</v>
      </c>
      <c r="ER78" s="221">
        <f t="shared" si="211"/>
        <v>-1873603.0784876153</v>
      </c>
      <c r="ES78" s="221">
        <f t="shared" si="211"/>
        <v>-1923308.0220231574</v>
      </c>
      <c r="ET78" s="221">
        <f t="shared" si="211"/>
        <v>-1974377.7966723607</v>
      </c>
      <c r="EU78" s="221">
        <f t="shared" si="211"/>
        <v>-2026850.9481345597</v>
      </c>
      <c r="EV78" s="221">
        <f t="shared" si="211"/>
        <v>-2080767.1346275457</v>
      </c>
      <c r="EW78" s="221">
        <f t="shared" si="211"/>
        <v>-2136167.159517122</v>
      </c>
    </row>
    <row r="80" spans="2:153" x14ac:dyDescent="0.4">
      <c r="B80" s="228" t="s">
        <v>50</v>
      </c>
      <c r="C80" s="225"/>
      <c r="D80" s="225"/>
      <c r="E80" s="224"/>
      <c r="F80" s="226">
        <f>F66+F78</f>
        <v>4368237.6732327929</v>
      </c>
      <c r="G80" s="227"/>
      <c r="H80" s="227"/>
      <c r="I80" s="226">
        <f>I66+I78</f>
        <v>0</v>
      </c>
      <c r="J80" s="226">
        <f t="shared" ref="J80:AF80" si="212">J66+J78</f>
        <v>0</v>
      </c>
      <c r="K80" s="226">
        <f t="shared" si="212"/>
        <v>0</v>
      </c>
      <c r="L80" s="226">
        <f t="shared" si="212"/>
        <v>0</v>
      </c>
      <c r="M80" s="226">
        <f t="shared" si="212"/>
        <v>0</v>
      </c>
      <c r="N80" s="226">
        <f t="shared" si="212"/>
        <v>0</v>
      </c>
      <c r="O80" s="226">
        <f t="shared" si="212"/>
        <v>0</v>
      </c>
      <c r="P80" s="226">
        <f t="shared" si="212"/>
        <v>0</v>
      </c>
      <c r="Q80" s="226">
        <f t="shared" si="212"/>
        <v>0</v>
      </c>
      <c r="R80" s="226">
        <f t="shared" si="212"/>
        <v>0</v>
      </c>
      <c r="S80" s="226">
        <f t="shared" si="212"/>
        <v>0</v>
      </c>
      <c r="T80" s="226">
        <f t="shared" si="212"/>
        <v>0</v>
      </c>
      <c r="U80" s="226">
        <f t="shared" si="212"/>
        <v>0</v>
      </c>
      <c r="V80" s="226">
        <f t="shared" si="212"/>
        <v>0</v>
      </c>
      <c r="W80" s="226">
        <f t="shared" si="212"/>
        <v>0</v>
      </c>
      <c r="X80" s="226">
        <f t="shared" si="212"/>
        <v>0</v>
      </c>
      <c r="Y80" s="226">
        <f t="shared" si="212"/>
        <v>-27814.900542396259</v>
      </c>
      <c r="Z80" s="226">
        <f t="shared" si="212"/>
        <v>5932.1149752531783</v>
      </c>
      <c r="AA80" s="226">
        <f t="shared" si="212"/>
        <v>39791.697808240773</v>
      </c>
      <c r="AB80" s="226">
        <f t="shared" si="212"/>
        <v>73764.129439241136</v>
      </c>
      <c r="AC80" s="226">
        <f t="shared" si="212"/>
        <v>107849.69197651764</v>
      </c>
      <c r="AD80" s="226">
        <f t="shared" si="212"/>
        <v>142048.66815522546</v>
      </c>
      <c r="AE80" s="226">
        <f t="shared" si="212"/>
        <v>176361.3413387179</v>
      </c>
      <c r="AF80" s="226">
        <f t="shared" si="212"/>
        <v>210787.995519855</v>
      </c>
      <c r="AG80" s="226">
        <f t="shared" ref="AG80:CR80" si="213">AG66+AG78</f>
        <v>252811.26558450828</v>
      </c>
      <c r="AH80" s="226">
        <f t="shared" si="213"/>
        <v>288559.00467727485</v>
      </c>
      <c r="AI80" s="226">
        <f t="shared" si="213"/>
        <v>289286.94177771616</v>
      </c>
      <c r="AJ80" s="226">
        <f t="shared" si="213"/>
        <v>290016.70962022309</v>
      </c>
      <c r="AK80" s="226">
        <f t="shared" si="213"/>
        <v>290748.31279981637</v>
      </c>
      <c r="AL80" s="226">
        <f t="shared" si="213"/>
        <v>291481.75592303457</v>
      </c>
      <c r="AM80" s="226">
        <f t="shared" si="213"/>
        <v>292217.04360796278</v>
      </c>
      <c r="AN80" s="226">
        <f t="shared" si="213"/>
        <v>327225.69057837245</v>
      </c>
      <c r="AO80" s="226">
        <f t="shared" si="213"/>
        <v>328050.36006254307</v>
      </c>
      <c r="AP80" s="226">
        <f t="shared" si="213"/>
        <v>328877.10222918692</v>
      </c>
      <c r="AQ80" s="226">
        <f t="shared" si="213"/>
        <v>329705.92227835837</v>
      </c>
      <c r="AR80" s="226">
        <f t="shared" si="213"/>
        <v>330536.82542314194</v>
      </c>
      <c r="AS80" s="226">
        <f t="shared" si="213"/>
        <v>331369.81688968593</v>
      </c>
      <c r="AT80" s="226">
        <f t="shared" si="213"/>
        <v>332204.90191723476</v>
      </c>
      <c r="AU80" s="226">
        <f t="shared" si="213"/>
        <v>333042.08575816115</v>
      </c>
      <c r="AV80" s="226">
        <f t="shared" si="213"/>
        <v>333881.37367800006</v>
      </c>
      <c r="AW80" s="226">
        <f t="shared" si="213"/>
        <v>334722.7709554811</v>
      </c>
      <c r="AX80" s="226">
        <f t="shared" si="213"/>
        <v>335566.28288256121</v>
      </c>
      <c r="AY80" s="226">
        <f t="shared" si="213"/>
        <v>336411.9147644586</v>
      </c>
      <c r="AZ80" s="226">
        <f t="shared" si="213"/>
        <v>337259.67191968521</v>
      </c>
      <c r="BA80" s="226">
        <f t="shared" si="213"/>
        <v>338109.55968008027</v>
      </c>
      <c r="BB80" s="226">
        <f t="shared" si="213"/>
        <v>338961.58339084417</v>
      </c>
      <c r="BC80" s="226">
        <f t="shared" si="213"/>
        <v>339815.74841057078</v>
      </c>
      <c r="BD80" s="226">
        <f t="shared" si="213"/>
        <v>340672.06011128216</v>
      </c>
      <c r="BE80" s="226">
        <f t="shared" si="213"/>
        <v>341530.52387846156</v>
      </c>
      <c r="BF80" s="226">
        <f t="shared" si="213"/>
        <v>342391.14511108689</v>
      </c>
      <c r="BG80" s="226">
        <f t="shared" si="213"/>
        <v>343253.92922166549</v>
      </c>
      <c r="BH80" s="226">
        <f t="shared" si="213"/>
        <v>344118.88163626683</v>
      </c>
      <c r="BI80" s="226">
        <f t="shared" si="213"/>
        <v>344986.00779455726</v>
      </c>
      <c r="BJ80" s="226">
        <f t="shared" si="213"/>
        <v>345855.3131498337</v>
      </c>
      <c r="BK80" s="226">
        <f t="shared" si="213"/>
        <v>346726.80316905794</v>
      </c>
      <c r="BL80" s="226">
        <f t="shared" si="213"/>
        <v>347600.48333289096</v>
      </c>
      <c r="BM80" s="226">
        <f t="shared" si="213"/>
        <v>348476.35913572658</v>
      </c>
      <c r="BN80" s="226">
        <f t="shared" si="213"/>
        <v>349354.43608572701</v>
      </c>
      <c r="BO80" s="226">
        <f t="shared" si="213"/>
        <v>350234.71970485593</v>
      </c>
      <c r="BP80" s="226">
        <f t="shared" si="213"/>
        <v>351117.21552891412</v>
      </c>
      <c r="BQ80" s="226">
        <f t="shared" si="213"/>
        <v>352001.92910757393</v>
      </c>
      <c r="BR80" s="226">
        <f t="shared" si="213"/>
        <v>352888.86600441334</v>
      </c>
      <c r="BS80" s="226">
        <f t="shared" si="213"/>
        <v>353778.03179695178</v>
      </c>
      <c r="BT80" s="226">
        <f t="shared" si="213"/>
        <v>354669.43207668391</v>
      </c>
      <c r="BU80" s="226">
        <f t="shared" si="213"/>
        <v>355563.07244911592</v>
      </c>
      <c r="BV80" s="226">
        <f t="shared" si="213"/>
        <v>356458.95853379933</v>
      </c>
      <c r="BW80" s="226">
        <f t="shared" si="213"/>
        <v>357357.09596436704</v>
      </c>
      <c r="BX80" s="226">
        <f t="shared" si="213"/>
        <v>358257.49038856826</v>
      </c>
      <c r="BY80" s="226">
        <f t="shared" si="213"/>
        <v>359160.1474683038</v>
      </c>
      <c r="BZ80" s="226">
        <f t="shared" si="213"/>
        <v>360065.07287966163</v>
      </c>
      <c r="CA80" s="226">
        <f t="shared" si="213"/>
        <v>360972.27231295232</v>
      </c>
      <c r="CB80" s="226">
        <f t="shared" si="213"/>
        <v>361881.75147274463</v>
      </c>
      <c r="CC80" s="226">
        <f t="shared" si="213"/>
        <v>362793.51607790159</v>
      </c>
      <c r="CD80" s="226">
        <f t="shared" si="213"/>
        <v>363707.57186161558</v>
      </c>
      <c r="CE80" s="226">
        <f t="shared" si="213"/>
        <v>364623.92457144457</v>
      </c>
      <c r="CF80" s="226">
        <f t="shared" si="213"/>
        <v>365542.57996934862</v>
      </c>
      <c r="CG80" s="226">
        <f t="shared" si="213"/>
        <v>366463.54383172467</v>
      </c>
      <c r="CH80" s="226">
        <f t="shared" si="213"/>
        <v>367386.82194944425</v>
      </c>
      <c r="CI80" s="226">
        <f t="shared" si="213"/>
        <v>368312.42012788821</v>
      </c>
      <c r="CJ80" s="226">
        <f t="shared" si="213"/>
        <v>369240.34418698435</v>
      </c>
      <c r="CK80" s="226">
        <f t="shared" si="213"/>
        <v>370170.59996124275</v>
      </c>
      <c r="CL80" s="226">
        <f t="shared" si="213"/>
        <v>371103.19329979323</v>
      </c>
      <c r="CM80" s="226">
        <f t="shared" si="213"/>
        <v>372038.13006642123</v>
      </c>
      <c r="CN80" s="226">
        <f t="shared" si="213"/>
        <v>372975.41613960464</v>
      </c>
      <c r="CO80" s="226">
        <f t="shared" si="213"/>
        <v>373915.05741255102</v>
      </c>
      <c r="CP80" s="226">
        <f t="shared" si="213"/>
        <v>374857.0597932341</v>
      </c>
      <c r="CQ80" s="226">
        <f t="shared" si="213"/>
        <v>375801.4292044309</v>
      </c>
      <c r="CR80" s="226">
        <f t="shared" si="213"/>
        <v>376748.17158375843</v>
      </c>
      <c r="CS80" s="226">
        <f t="shared" ref="CS80:EW80" si="214">CS66+CS78</f>
        <v>377697.29288371158</v>
      </c>
      <c r="CT80" s="226">
        <f t="shared" si="214"/>
        <v>378648.79907169956</v>
      </c>
      <c r="CU80" s="226">
        <f t="shared" si="214"/>
        <v>379602.69613008382</v>
      </c>
      <c r="CV80" s="226">
        <f t="shared" si="214"/>
        <v>380558.9900562152</v>
      </c>
      <c r="CW80" s="226">
        <f t="shared" si="214"/>
        <v>381517.68686247151</v>
      </c>
      <c r="CX80" s="226">
        <f t="shared" si="214"/>
        <v>382478.79257629544</v>
      </c>
      <c r="CY80" s="226">
        <f t="shared" si="214"/>
        <v>383442.31324023171</v>
      </c>
      <c r="CZ80" s="226">
        <f t="shared" si="214"/>
        <v>384408.25491196522</v>
      </c>
      <c r="DA80" s="226">
        <f t="shared" si="214"/>
        <v>385376.6236643591</v>
      </c>
      <c r="DB80" s="226">
        <f t="shared" si="214"/>
        <v>386347.42558549246</v>
      </c>
      <c r="DC80" s="226">
        <f t="shared" si="214"/>
        <v>387320.66677869874</v>
      </c>
      <c r="DD80" s="226">
        <f t="shared" si="214"/>
        <v>388296.35336260346</v>
      </c>
      <c r="DE80" s="226">
        <f t="shared" si="214"/>
        <v>389274.49147116265</v>
      </c>
      <c r="DF80" s="226">
        <f t="shared" si="214"/>
        <v>390255.08725370205</v>
      </c>
      <c r="DG80" s="226">
        <f t="shared" si="214"/>
        <v>391238.14687495417</v>
      </c>
      <c r="DH80" s="226">
        <f t="shared" si="214"/>
        <v>392223.67651509802</v>
      </c>
      <c r="DI80" s="226">
        <f t="shared" si="214"/>
        <v>393211.68236979702</v>
      </c>
      <c r="DJ80" s="226">
        <f t="shared" si="214"/>
        <v>394202.1706502384</v>
      </c>
      <c r="DK80" s="226">
        <f t="shared" si="214"/>
        <v>395195.14758317196</v>
      </c>
      <c r="DL80" s="226">
        <f t="shared" si="214"/>
        <v>396190.6194109483</v>
      </c>
      <c r="DM80" s="226">
        <f t="shared" si="214"/>
        <v>397188.59239155857</v>
      </c>
      <c r="DN80" s="226">
        <f t="shared" si="214"/>
        <v>398189.07279867423</v>
      </c>
      <c r="DO80" s="226">
        <f t="shared" si="214"/>
        <v>399192.06692168425</v>
      </c>
      <c r="DP80" s="226">
        <f t="shared" si="214"/>
        <v>400197.58106573689</v>
      </c>
      <c r="DQ80" s="226">
        <f t="shared" si="214"/>
        <v>401205.62155177782</v>
      </c>
      <c r="DR80" s="226">
        <f t="shared" si="214"/>
        <v>402216.19471658918</v>
      </c>
      <c r="DS80" s="226">
        <f t="shared" si="214"/>
        <v>403229.30691283074</v>
      </c>
      <c r="DT80" s="226">
        <f t="shared" si="214"/>
        <v>404244.96450907888</v>
      </c>
      <c r="DU80" s="226">
        <f t="shared" si="214"/>
        <v>405263.17388986587</v>
      </c>
      <c r="DV80" s="226">
        <f t="shared" si="214"/>
        <v>406283.94145572069</v>
      </c>
      <c r="DW80" s="226">
        <f t="shared" si="214"/>
        <v>407307.27362320869</v>
      </c>
      <c r="DX80" s="226">
        <f t="shared" si="214"/>
        <v>408333.17682497157</v>
      </c>
      <c r="DY80" s="226">
        <f t="shared" si="214"/>
        <v>409361.65750976861</v>
      </c>
      <c r="DZ80" s="226">
        <f t="shared" si="214"/>
        <v>410392.72214251541</v>
      </c>
      <c r="EA80" s="226">
        <f t="shared" si="214"/>
        <v>411426.37720432581</v>
      </c>
      <c r="EB80" s="226">
        <f t="shared" si="214"/>
        <v>412462.6291925516</v>
      </c>
      <c r="EC80" s="226">
        <f t="shared" si="214"/>
        <v>413501.48462082312</v>
      </c>
      <c r="ED80" s="226">
        <f t="shared" si="214"/>
        <v>414542.9500190909</v>
      </c>
      <c r="EE80" s="226">
        <f t="shared" si="214"/>
        <v>415587.03193366539</v>
      </c>
      <c r="EF80" s="226">
        <f t="shared" si="214"/>
        <v>416633.73692725901</v>
      </c>
      <c r="EG80" s="226">
        <f t="shared" si="214"/>
        <v>417683.07157902623</v>
      </c>
      <c r="EH80" s="226">
        <f t="shared" si="214"/>
        <v>418735.04248460534</v>
      </c>
      <c r="EI80" s="226">
        <f t="shared" si="214"/>
        <v>419789.6562561593</v>
      </c>
      <c r="EJ80" s="226">
        <f t="shared" si="214"/>
        <v>420846.91952241765</v>
      </c>
      <c r="EK80" s="19"/>
      <c r="EL80" s="226">
        <f t="shared" si="214"/>
        <v>0</v>
      </c>
      <c r="EM80" s="226">
        <f t="shared" si="214"/>
        <v>0</v>
      </c>
      <c r="EN80" s="226">
        <f t="shared" si="214"/>
        <v>728720.73867065506</v>
      </c>
      <c r="EO80" s="226">
        <f t="shared" si="214"/>
        <v>3639516.9345621392</v>
      </c>
      <c r="EP80" s="226">
        <f t="shared" si="214"/>
        <v>4032017.7703580456</v>
      </c>
      <c r="EQ80" s="226">
        <f t="shared" si="214"/>
        <v>4155645.8177490463</v>
      </c>
      <c r="ER80" s="226">
        <f t="shared" si="214"/>
        <v>4283054.1204551365</v>
      </c>
      <c r="ES80" s="226">
        <f t="shared" si="214"/>
        <v>4414358.0620434126</v>
      </c>
      <c r="ET80" s="226">
        <f t="shared" si="214"/>
        <v>4549676.5437266473</v>
      </c>
      <c r="EU80" s="226">
        <f t="shared" si="214"/>
        <v>4689132.0915202256</v>
      </c>
      <c r="EV80" s="226">
        <f t="shared" si="214"/>
        <v>4832850.9666616991</v>
      </c>
      <c r="EW80" s="226">
        <f t="shared" si="214"/>
        <v>4980963.2793922089</v>
      </c>
    </row>
    <row r="81" spans="2:153" s="9" customFormat="1" x14ac:dyDescent="0.4">
      <c r="B81" s="70" t="s">
        <v>67</v>
      </c>
      <c r="E81" s="71"/>
      <c r="F81" s="71"/>
      <c r="I81" s="71">
        <f>SUM(J80:U80)</f>
        <v>0</v>
      </c>
      <c r="J81" s="71">
        <f t="shared" ref="J81:BU81" si="215">SUM(K80:V80)</f>
        <v>0</v>
      </c>
      <c r="K81" s="71">
        <f t="shared" si="215"/>
        <v>0</v>
      </c>
      <c r="L81" s="71">
        <f t="shared" si="215"/>
        <v>0</v>
      </c>
      <c r="M81" s="71">
        <f t="shared" si="215"/>
        <v>-27814.900542396259</v>
      </c>
      <c r="N81" s="71">
        <f t="shared" si="215"/>
        <v>-21882.785567143081</v>
      </c>
      <c r="O81" s="71">
        <f t="shared" si="215"/>
        <v>17908.912241097692</v>
      </c>
      <c r="P81" s="71">
        <f t="shared" si="215"/>
        <v>91673.041680338822</v>
      </c>
      <c r="Q81" s="71">
        <f t="shared" si="215"/>
        <v>199522.73365685646</v>
      </c>
      <c r="R81" s="71">
        <f t="shared" si="215"/>
        <v>341571.40181208192</v>
      </c>
      <c r="S81" s="71">
        <f t="shared" si="215"/>
        <v>517932.74315079983</v>
      </c>
      <c r="T81" s="71">
        <f t="shared" si="215"/>
        <v>728720.73867065483</v>
      </c>
      <c r="U81" s="71">
        <f t="shared" si="215"/>
        <v>981532.00425516313</v>
      </c>
      <c r="V81" s="71">
        <f t="shared" si="215"/>
        <v>1270091.008932438</v>
      </c>
      <c r="W81" s="71">
        <f t="shared" si="215"/>
        <v>1559377.9507101541</v>
      </c>
      <c r="X81" s="71">
        <f t="shared" si="215"/>
        <v>1849394.6603303773</v>
      </c>
      <c r="Y81" s="71">
        <f t="shared" si="215"/>
        <v>2167957.8736725901</v>
      </c>
      <c r="Z81" s="71">
        <f t="shared" si="215"/>
        <v>2453507.5146203716</v>
      </c>
      <c r="AA81" s="71">
        <f t="shared" si="215"/>
        <v>2705932.8604200934</v>
      </c>
      <c r="AB81" s="71">
        <f t="shared" si="215"/>
        <v>2959394.4215592248</v>
      </c>
      <c r="AC81" s="71">
        <f t="shared" si="215"/>
        <v>3179595.0896452507</v>
      </c>
      <c r="AD81" s="71">
        <f t="shared" si="215"/>
        <v>3366423.5237192116</v>
      </c>
      <c r="AE81" s="71">
        <f t="shared" si="215"/>
        <v>3519768.1046588514</v>
      </c>
      <c r="AF81" s="71">
        <f t="shared" si="215"/>
        <v>3639516.9345621392</v>
      </c>
      <c r="AG81" s="71">
        <f t="shared" si="215"/>
        <v>3718075.4858673164</v>
      </c>
      <c r="AH81" s="71">
        <f t="shared" si="215"/>
        <v>3761721.3831072757</v>
      </c>
      <c r="AI81" s="71">
        <f t="shared" si="215"/>
        <v>3805476.5270877215</v>
      </c>
      <c r="AJ81" s="71">
        <f t="shared" si="215"/>
        <v>3849341.1911454983</v>
      </c>
      <c r="AK81" s="71">
        <f t="shared" si="215"/>
        <v>3893315.6493011634</v>
      </c>
      <c r="AL81" s="71">
        <f t="shared" si="215"/>
        <v>3937400.1762606902</v>
      </c>
      <c r="AM81" s="71">
        <f t="shared" si="215"/>
        <v>3981595.0474171867</v>
      </c>
      <c r="AN81" s="71">
        <f t="shared" si="215"/>
        <v>3991629.0287584988</v>
      </c>
      <c r="AO81" s="71">
        <f t="shared" si="215"/>
        <v>4001688.2283760356</v>
      </c>
      <c r="AP81" s="71">
        <f t="shared" si="215"/>
        <v>4011772.7095376933</v>
      </c>
      <c r="AQ81" s="71">
        <f t="shared" si="215"/>
        <v>4021882.5356699056</v>
      </c>
      <c r="AR81" s="71">
        <f t="shared" si="215"/>
        <v>4032017.7703580456</v>
      </c>
      <c r="AS81" s="71">
        <f t="shared" si="215"/>
        <v>4042178.4773468208</v>
      </c>
      <c r="AT81" s="71">
        <f t="shared" si="215"/>
        <v>4052364.7205406725</v>
      </c>
      <c r="AU81" s="71">
        <f t="shared" si="215"/>
        <v>4062576.5640041782</v>
      </c>
      <c r="AV81" s="71">
        <f t="shared" si="215"/>
        <v>4072814.0719624441</v>
      </c>
      <c r="AW81" s="71">
        <f t="shared" si="215"/>
        <v>4083077.3088015197</v>
      </c>
      <c r="AX81" s="71">
        <f t="shared" si="215"/>
        <v>4093366.3390687923</v>
      </c>
      <c r="AY81" s="71">
        <f t="shared" si="215"/>
        <v>4103681.2274733922</v>
      </c>
      <c r="AZ81" s="71">
        <f t="shared" si="215"/>
        <v>4114022.0388865983</v>
      </c>
      <c r="BA81" s="71">
        <f t="shared" si="215"/>
        <v>4124388.8383422438</v>
      </c>
      <c r="BB81" s="71">
        <f t="shared" si="215"/>
        <v>4134781.6910371268</v>
      </c>
      <c r="BC81" s="71">
        <f t="shared" si="215"/>
        <v>4145200.6623314125</v>
      </c>
      <c r="BD81" s="71">
        <f t="shared" si="215"/>
        <v>4155645.8177490444</v>
      </c>
      <c r="BE81" s="71">
        <f t="shared" si="215"/>
        <v>4166117.2229781565</v>
      </c>
      <c r="BF81" s="71">
        <f t="shared" si="215"/>
        <v>4176614.9438714832</v>
      </c>
      <c r="BG81" s="71">
        <f t="shared" si="215"/>
        <v>4187139.0464467695</v>
      </c>
      <c r="BH81" s="71">
        <f t="shared" si="215"/>
        <v>4197689.5968871871</v>
      </c>
      <c r="BI81" s="71">
        <f t="shared" si="215"/>
        <v>4208266.6615417451</v>
      </c>
      <c r="BJ81" s="71">
        <f t="shared" si="215"/>
        <v>4218870.3069257112</v>
      </c>
      <c r="BK81" s="71">
        <f t="shared" si="215"/>
        <v>4229500.5997210201</v>
      </c>
      <c r="BL81" s="71">
        <f t="shared" si="215"/>
        <v>4240157.6067766966</v>
      </c>
      <c r="BM81" s="71">
        <f t="shared" si="215"/>
        <v>4250841.3951092735</v>
      </c>
      <c r="BN81" s="71">
        <f t="shared" si="215"/>
        <v>4261552.0319032082</v>
      </c>
      <c r="BO81" s="71">
        <f t="shared" si="215"/>
        <v>4272289.5845113061</v>
      </c>
      <c r="BP81" s="71">
        <f t="shared" si="215"/>
        <v>4283054.1204551356</v>
      </c>
      <c r="BQ81" s="71">
        <f t="shared" si="215"/>
        <v>4293845.707425463</v>
      </c>
      <c r="BR81" s="71">
        <f t="shared" si="215"/>
        <v>4304664.4132826664</v>
      </c>
      <c r="BS81" s="71">
        <f t="shared" si="215"/>
        <v>4315510.3060571579</v>
      </c>
      <c r="BT81" s="71">
        <f t="shared" si="215"/>
        <v>4326383.453949823</v>
      </c>
      <c r="BU81" s="71">
        <f t="shared" si="215"/>
        <v>4337283.9253324317</v>
      </c>
      <c r="BV81" s="71">
        <f t="shared" ref="BV81:DX81" si="216">SUM(BW80:CH80)</f>
        <v>4348211.7887480762</v>
      </c>
      <c r="BW81" s="71">
        <f t="shared" si="216"/>
        <v>4359167.1129115988</v>
      </c>
      <c r="BX81" s="71">
        <f t="shared" si="216"/>
        <v>4370149.9667100143</v>
      </c>
      <c r="BY81" s="71">
        <f t="shared" si="216"/>
        <v>4381160.4192029536</v>
      </c>
      <c r="BZ81" s="71">
        <f t="shared" si="216"/>
        <v>4392198.5396230854</v>
      </c>
      <c r="CA81" s="71">
        <f t="shared" si="216"/>
        <v>4403264.3973765532</v>
      </c>
      <c r="CB81" s="71">
        <f t="shared" si="216"/>
        <v>4414358.0620434135</v>
      </c>
      <c r="CC81" s="71">
        <f t="shared" si="216"/>
        <v>4425479.6033780631</v>
      </c>
      <c r="CD81" s="71">
        <f t="shared" si="216"/>
        <v>4436629.0913096815</v>
      </c>
      <c r="CE81" s="71">
        <f t="shared" si="216"/>
        <v>4447806.5959426668</v>
      </c>
      <c r="CF81" s="71">
        <f t="shared" si="216"/>
        <v>4459012.187557077</v>
      </c>
      <c r="CG81" s="71">
        <f t="shared" si="216"/>
        <v>4470245.9366090642</v>
      </c>
      <c r="CH81" s="71">
        <f t="shared" si="216"/>
        <v>4481507.9137313198</v>
      </c>
      <c r="CI81" s="71">
        <f t="shared" si="216"/>
        <v>4492798.1897335146</v>
      </c>
      <c r="CJ81" s="71">
        <f t="shared" si="216"/>
        <v>4504116.8356027463</v>
      </c>
      <c r="CK81" s="71">
        <f t="shared" si="216"/>
        <v>4515463.9225039752</v>
      </c>
      <c r="CL81" s="71">
        <f t="shared" si="216"/>
        <v>4526839.5217804769</v>
      </c>
      <c r="CM81" s="71">
        <f t="shared" si="216"/>
        <v>4538243.704954288</v>
      </c>
      <c r="CN81" s="71">
        <f t="shared" si="216"/>
        <v>4549676.5437266491</v>
      </c>
      <c r="CO81" s="71">
        <f t="shared" si="216"/>
        <v>4561138.109978457</v>
      </c>
      <c r="CP81" s="71">
        <f t="shared" si="216"/>
        <v>4572628.4757707147</v>
      </c>
      <c r="CQ81" s="71">
        <f t="shared" si="216"/>
        <v>4584147.7133449828</v>
      </c>
      <c r="CR81" s="71">
        <f t="shared" si="216"/>
        <v>4595695.8951238273</v>
      </c>
      <c r="CS81" s="71">
        <f t="shared" si="216"/>
        <v>4607273.0937112784</v>
      </c>
      <c r="CT81" s="71">
        <f t="shared" si="216"/>
        <v>4618879.3818932818</v>
      </c>
      <c r="CU81" s="71">
        <f t="shared" si="216"/>
        <v>4630514.832638151</v>
      </c>
      <c r="CV81" s="71">
        <f t="shared" si="216"/>
        <v>4642179.5190970339</v>
      </c>
      <c r="CW81" s="71">
        <f t="shared" si="216"/>
        <v>4653873.5146043599</v>
      </c>
      <c r="CX81" s="71">
        <f t="shared" si="216"/>
        <v>4665596.8926783027</v>
      </c>
      <c r="CY81" s="71">
        <f t="shared" si="216"/>
        <v>4677349.7270212425</v>
      </c>
      <c r="CZ81" s="71">
        <f t="shared" si="216"/>
        <v>4689132.0915202256</v>
      </c>
      <c r="DA81" s="71">
        <f t="shared" si="216"/>
        <v>4700944.0602474259</v>
      </c>
      <c r="DB81" s="71">
        <f t="shared" si="216"/>
        <v>4712785.7074606074</v>
      </c>
      <c r="DC81" s="71">
        <f t="shared" si="216"/>
        <v>4724657.1076035919</v>
      </c>
      <c r="DD81" s="71">
        <f t="shared" si="216"/>
        <v>4736558.3353067255</v>
      </c>
      <c r="DE81" s="71">
        <f t="shared" si="216"/>
        <v>4748489.4653873425</v>
      </c>
      <c r="DF81" s="71">
        <f t="shared" si="216"/>
        <v>4760450.5728502292</v>
      </c>
      <c r="DG81" s="71">
        <f t="shared" si="216"/>
        <v>4772441.7328881063</v>
      </c>
      <c r="DH81" s="71">
        <f t="shared" si="216"/>
        <v>4784463.0208820859</v>
      </c>
      <c r="DI81" s="71">
        <f t="shared" si="216"/>
        <v>4796514.5124021545</v>
      </c>
      <c r="DJ81" s="71">
        <f t="shared" si="216"/>
        <v>4808596.2832076373</v>
      </c>
      <c r="DK81" s="71">
        <f t="shared" si="216"/>
        <v>4820708.409247674</v>
      </c>
      <c r="DL81" s="71">
        <f t="shared" si="216"/>
        <v>4832850.9666616973</v>
      </c>
      <c r="DM81" s="71">
        <f t="shared" si="216"/>
        <v>4845024.0317799076</v>
      </c>
      <c r="DN81" s="71">
        <f t="shared" si="216"/>
        <v>4857227.6811237494</v>
      </c>
      <c r="DO81" s="71">
        <f t="shared" si="216"/>
        <v>4869461.9914063914</v>
      </c>
      <c r="DP81" s="71">
        <f t="shared" si="216"/>
        <v>4881727.0395332044</v>
      </c>
      <c r="DQ81" s="71">
        <f t="shared" si="216"/>
        <v>4894022.9026022507</v>
      </c>
      <c r="DR81" s="71">
        <f t="shared" si="216"/>
        <v>4906349.6579047516</v>
      </c>
      <c r="DS81" s="71">
        <f t="shared" si="216"/>
        <v>4918707.3829255868</v>
      </c>
      <c r="DT81" s="71">
        <f t="shared" si="216"/>
        <v>4931096.1553437663</v>
      </c>
      <c r="DU81" s="71">
        <f t="shared" si="216"/>
        <v>4943516.0530329272</v>
      </c>
      <c r="DV81" s="71">
        <f t="shared" si="216"/>
        <v>4955967.154061812</v>
      </c>
      <c r="DW81" s="71">
        <f t="shared" si="216"/>
        <v>4968449.5366947632</v>
      </c>
      <c r="DX81" s="71">
        <f t="shared" si="216"/>
        <v>4980963.279392208</v>
      </c>
      <c r="DY81" s="71"/>
      <c r="DZ81" s="71"/>
      <c r="EA81" s="71"/>
      <c r="EB81" s="71"/>
      <c r="EC81" s="71"/>
      <c r="ED81" s="71"/>
      <c r="EE81" s="71"/>
      <c r="EF81" s="71"/>
      <c r="EG81" s="71"/>
      <c r="EH81" s="71"/>
      <c r="EI81" s="71"/>
      <c r="EJ81" s="71"/>
      <c r="EK81" s="71"/>
    </row>
    <row r="82" spans="2:153" s="9" customFormat="1" x14ac:dyDescent="0.4">
      <c r="B82" s="70" t="s">
        <v>141</v>
      </c>
      <c r="E82" s="20"/>
      <c r="F82" s="20"/>
      <c r="I82" s="20">
        <f>IFERROR(I80/I66,0)</f>
        <v>0</v>
      </c>
      <c r="J82" s="20">
        <f t="shared" ref="J82:BU82" si="217">IFERROR(J80/J66,0)</f>
        <v>0</v>
      </c>
      <c r="K82" s="20">
        <f t="shared" si="217"/>
        <v>0</v>
      </c>
      <c r="L82" s="20">
        <f t="shared" si="217"/>
        <v>0</v>
      </c>
      <c r="M82" s="20">
        <f t="shared" si="217"/>
        <v>0</v>
      </c>
      <c r="N82" s="20">
        <f t="shared" si="217"/>
        <v>0</v>
      </c>
      <c r="O82" s="20">
        <f t="shared" si="217"/>
        <v>0</v>
      </c>
      <c r="P82" s="20">
        <f t="shared" si="217"/>
        <v>0</v>
      </c>
      <c r="Q82" s="20">
        <f t="shared" si="217"/>
        <v>0</v>
      </c>
      <c r="R82" s="20">
        <f t="shared" si="217"/>
        <v>0</v>
      </c>
      <c r="S82" s="20">
        <f t="shared" si="217"/>
        <v>0</v>
      </c>
      <c r="T82" s="20">
        <f t="shared" si="217"/>
        <v>0</v>
      </c>
      <c r="U82" s="20">
        <f t="shared" si="217"/>
        <v>0</v>
      </c>
      <c r="V82" s="20">
        <f t="shared" si="217"/>
        <v>0</v>
      </c>
      <c r="W82" s="20">
        <f t="shared" si="217"/>
        <v>0</v>
      </c>
      <c r="X82" s="20">
        <f t="shared" si="217"/>
        <v>0</v>
      </c>
      <c r="Y82" s="20">
        <f t="shared" si="217"/>
        <v>-0.66987461018053673</v>
      </c>
      <c r="Z82" s="20">
        <f t="shared" si="217"/>
        <v>7.1313597995705288E-2</v>
      </c>
      <c r="AA82" s="20">
        <f t="shared" si="217"/>
        <v>0.31837633405445287</v>
      </c>
      <c r="AB82" s="20">
        <f t="shared" si="217"/>
        <v>0.44190770208382651</v>
      </c>
      <c r="AC82" s="20">
        <f t="shared" si="217"/>
        <v>0.51602652290145079</v>
      </c>
      <c r="AD82" s="20">
        <f t="shared" si="217"/>
        <v>0.56543907011320016</v>
      </c>
      <c r="AE82" s="20">
        <f t="shared" si="217"/>
        <v>0.60073374669302115</v>
      </c>
      <c r="AF82" s="20">
        <f t="shared" si="217"/>
        <v>0.62720475412788712</v>
      </c>
      <c r="AG82" s="20">
        <f t="shared" si="217"/>
        <v>0.65412644237062612</v>
      </c>
      <c r="AH82" s="20">
        <f t="shared" si="217"/>
        <v>0.67034440770933257</v>
      </c>
      <c r="AI82" s="20">
        <f t="shared" si="217"/>
        <v>0.67042118204213996</v>
      </c>
      <c r="AJ82" s="20">
        <f t="shared" si="217"/>
        <v>0.67049790665396358</v>
      </c>
      <c r="AK82" s="20">
        <f t="shared" si="217"/>
        <v>0.670574581566584</v>
      </c>
      <c r="AL82" s="20">
        <f t="shared" si="217"/>
        <v>0.67065120680178913</v>
      </c>
      <c r="AM82" s="20">
        <f t="shared" si="217"/>
        <v>0.67072778238137176</v>
      </c>
      <c r="AN82" s="20">
        <f t="shared" si="217"/>
        <v>0.69319805627189945</v>
      </c>
      <c r="AO82" s="20">
        <f t="shared" si="217"/>
        <v>0.69327070407862901</v>
      </c>
      <c r="AP82" s="20">
        <f t="shared" si="217"/>
        <v>0.69334330378349596</v>
      </c>
      <c r="AQ82" s="20">
        <f t="shared" si="217"/>
        <v>0.69341585540918027</v>
      </c>
      <c r="AR82" s="20">
        <f t="shared" si="217"/>
        <v>0.69348835897836458</v>
      </c>
      <c r="AS82" s="20">
        <f t="shared" si="217"/>
        <v>0.69356081451373497</v>
      </c>
      <c r="AT82" s="20">
        <f t="shared" si="217"/>
        <v>0.69363322203798095</v>
      </c>
      <c r="AU82" s="20">
        <f t="shared" si="217"/>
        <v>0.69370558157379447</v>
      </c>
      <c r="AV82" s="20">
        <f t="shared" si="217"/>
        <v>0.69377789314387095</v>
      </c>
      <c r="AW82" s="20">
        <f t="shared" si="217"/>
        <v>0.69385015677090922</v>
      </c>
      <c r="AX82" s="20">
        <f t="shared" si="217"/>
        <v>0.69392237247761068</v>
      </c>
      <c r="AY82" s="20">
        <f t="shared" si="217"/>
        <v>0.69399454028667984</v>
      </c>
      <c r="AZ82" s="20">
        <f t="shared" si="217"/>
        <v>0.69406666022082431</v>
      </c>
      <c r="BA82" s="20">
        <f t="shared" si="217"/>
        <v>0.69413873230275436</v>
      </c>
      <c r="BB82" s="20">
        <f t="shared" si="217"/>
        <v>0.69421075655518394</v>
      </c>
      <c r="BC82" s="20">
        <f t="shared" si="217"/>
        <v>0.69428273300082899</v>
      </c>
      <c r="BD82" s="20">
        <f t="shared" si="217"/>
        <v>0.694354661662409</v>
      </c>
      <c r="BE82" s="20">
        <f t="shared" si="217"/>
        <v>0.69442654256264624</v>
      </c>
      <c r="BF82" s="20">
        <f t="shared" si="217"/>
        <v>0.69449837572426543</v>
      </c>
      <c r="BG82" s="20">
        <f t="shared" si="217"/>
        <v>0.69457016116999459</v>
      </c>
      <c r="BH82" s="20">
        <f t="shared" si="217"/>
        <v>0.69464189892256412</v>
      </c>
      <c r="BI82" s="20">
        <f t="shared" si="217"/>
        <v>0.69471358900470748</v>
      </c>
      <c r="BJ82" s="20">
        <f t="shared" si="217"/>
        <v>0.69478523143916082</v>
      </c>
      <c r="BK82" s="20">
        <f t="shared" si="217"/>
        <v>0.69485682624866285</v>
      </c>
      <c r="BL82" s="20">
        <f t="shared" si="217"/>
        <v>0.69492837345595526</v>
      </c>
      <c r="BM82" s="20">
        <f t="shared" si="217"/>
        <v>0.69499987308378197</v>
      </c>
      <c r="BN82" s="20">
        <f t="shared" si="217"/>
        <v>0.69507132515489023</v>
      </c>
      <c r="BO82" s="20">
        <f t="shared" si="217"/>
        <v>0.69514272969202906</v>
      </c>
      <c r="BP82" s="20">
        <f t="shared" si="217"/>
        <v>0.69521408671795071</v>
      </c>
      <c r="BQ82" s="20">
        <f t="shared" si="217"/>
        <v>0.69528539625540975</v>
      </c>
      <c r="BR82" s="20">
        <f t="shared" si="217"/>
        <v>0.6953566583271632</v>
      </c>
      <c r="BS82" s="20">
        <f t="shared" si="217"/>
        <v>0.69542787295597108</v>
      </c>
      <c r="BT82" s="20">
        <f t="shared" si="217"/>
        <v>0.69549904016459507</v>
      </c>
      <c r="BU82" s="20">
        <f t="shared" si="217"/>
        <v>0.69557015997579996</v>
      </c>
      <c r="BV82" s="20">
        <f t="shared" ref="BV82:EG82" si="218">IFERROR(BV80/BV66,0)</f>
        <v>0.69564123241235309</v>
      </c>
      <c r="BW82" s="20">
        <f t="shared" si="218"/>
        <v>0.69571225749702359</v>
      </c>
      <c r="BX82" s="20">
        <f t="shared" si="218"/>
        <v>0.69578323525258357</v>
      </c>
      <c r="BY82" s="20">
        <f t="shared" si="218"/>
        <v>0.69585416570180714</v>
      </c>
      <c r="BZ82" s="20">
        <f t="shared" si="218"/>
        <v>0.69592504886747097</v>
      </c>
      <c r="CA82" s="20">
        <f t="shared" si="218"/>
        <v>0.69599588477235408</v>
      </c>
      <c r="CB82" s="20">
        <f t="shared" si="218"/>
        <v>0.69606667343923745</v>
      </c>
      <c r="CC82" s="20">
        <f t="shared" si="218"/>
        <v>0.69613741489090475</v>
      </c>
      <c r="CD82" s="20">
        <f t="shared" si="218"/>
        <v>0.69620810915014175</v>
      </c>
      <c r="CE82" s="20">
        <f t="shared" si="218"/>
        <v>0.69627875623973612</v>
      </c>
      <c r="CF82" s="20">
        <f t="shared" si="218"/>
        <v>0.69634935618247851</v>
      </c>
      <c r="CG82" s="20">
        <f t="shared" si="218"/>
        <v>0.69641990900116069</v>
      </c>
      <c r="CH82" s="20">
        <f t="shared" si="218"/>
        <v>0.69649041471857753</v>
      </c>
      <c r="CI82" s="20">
        <f t="shared" si="218"/>
        <v>0.69656087335752548</v>
      </c>
      <c r="CJ82" s="20">
        <f t="shared" si="218"/>
        <v>0.69663128494080351</v>
      </c>
      <c r="CK82" s="20">
        <f t="shared" si="218"/>
        <v>0.69670164949121194</v>
      </c>
      <c r="CL82" s="20">
        <f t="shared" si="218"/>
        <v>0.69677196703155397</v>
      </c>
      <c r="CM82" s="20">
        <f t="shared" si="218"/>
        <v>0.69684223758463459</v>
      </c>
      <c r="CN82" s="20">
        <f t="shared" si="218"/>
        <v>0.69691246117326022</v>
      </c>
      <c r="CO82" s="20">
        <f t="shared" si="218"/>
        <v>0.69698263782024006</v>
      </c>
      <c r="CP82" s="20">
        <f t="shared" si="218"/>
        <v>0.69705276754838486</v>
      </c>
      <c r="CQ82" s="20">
        <f t="shared" si="218"/>
        <v>0.69712285038050747</v>
      </c>
      <c r="CR82" s="20">
        <f t="shared" si="218"/>
        <v>0.69719288633942234</v>
      </c>
      <c r="CS82" s="20">
        <f t="shared" si="218"/>
        <v>0.69726287544794618</v>
      </c>
      <c r="CT82" s="20">
        <f t="shared" si="218"/>
        <v>0.69733281772889733</v>
      </c>
      <c r="CU82" s="20">
        <f t="shared" si="218"/>
        <v>0.69740271320509606</v>
      </c>
      <c r="CV82" s="20">
        <f t="shared" si="218"/>
        <v>0.69747256189936457</v>
      </c>
      <c r="CW82" s="20">
        <f t="shared" si="218"/>
        <v>0.6975423638345265</v>
      </c>
      <c r="CX82" s="20">
        <f t="shared" si="218"/>
        <v>0.69761211903340759</v>
      </c>
      <c r="CY82" s="20">
        <f t="shared" si="218"/>
        <v>0.69768182751883512</v>
      </c>
      <c r="CZ82" s="20">
        <f t="shared" si="218"/>
        <v>0.69775148931363828</v>
      </c>
      <c r="DA82" s="20">
        <f t="shared" si="218"/>
        <v>0.69782110444064782</v>
      </c>
      <c r="DB82" s="20">
        <f t="shared" si="218"/>
        <v>0.69789067292269613</v>
      </c>
      <c r="DC82" s="20">
        <f t="shared" si="218"/>
        <v>0.6979601947826175</v>
      </c>
      <c r="DD82" s="20">
        <f t="shared" si="218"/>
        <v>0.69802967004324745</v>
      </c>
      <c r="DE82" s="20">
        <f t="shared" si="218"/>
        <v>0.69809909872742337</v>
      </c>
      <c r="DF82" s="20">
        <f t="shared" si="218"/>
        <v>0.69816848085798433</v>
      </c>
      <c r="DG82" s="20">
        <f t="shared" si="218"/>
        <v>0.69823781645777061</v>
      </c>
      <c r="DH82" s="20">
        <f t="shared" si="218"/>
        <v>0.69830710554962439</v>
      </c>
      <c r="DI82" s="20">
        <f t="shared" si="218"/>
        <v>0.69837634815638894</v>
      </c>
      <c r="DJ82" s="20">
        <f t="shared" si="218"/>
        <v>0.69844554430090922</v>
      </c>
      <c r="DK82" s="20">
        <f t="shared" si="218"/>
        <v>0.69851469400603217</v>
      </c>
      <c r="DL82" s="20">
        <f t="shared" si="218"/>
        <v>0.69858379729460518</v>
      </c>
      <c r="DM82" s="20">
        <f t="shared" si="218"/>
        <v>0.69865285418947753</v>
      </c>
      <c r="DN82" s="20">
        <f t="shared" si="218"/>
        <v>0.69872186471350051</v>
      </c>
      <c r="DO82" s="20">
        <f t="shared" si="218"/>
        <v>0.69879082888952548</v>
      </c>
      <c r="DP82" s="20">
        <f t="shared" si="218"/>
        <v>0.69885974674040641</v>
      </c>
      <c r="DQ82" s="20">
        <f t="shared" si="218"/>
        <v>0.69892861828899777</v>
      </c>
      <c r="DR82" s="20">
        <f t="shared" si="218"/>
        <v>0.69899744355815552</v>
      </c>
      <c r="DS82" s="20">
        <f t="shared" si="218"/>
        <v>0.69906622257073703</v>
      </c>
      <c r="DT82" s="20">
        <f t="shared" si="218"/>
        <v>0.69913495534960102</v>
      </c>
      <c r="DU82" s="20">
        <f t="shared" si="218"/>
        <v>0.6992036419176072</v>
      </c>
      <c r="DV82" s="20">
        <f t="shared" si="218"/>
        <v>0.69927228229761662</v>
      </c>
      <c r="DW82" s="20">
        <f t="shared" si="218"/>
        <v>0.69934087651249144</v>
      </c>
      <c r="DX82" s="20">
        <f t="shared" si="218"/>
        <v>0.69940942458509481</v>
      </c>
      <c r="DY82" s="20">
        <f t="shared" si="218"/>
        <v>0.69947792653829155</v>
      </c>
      <c r="DZ82" s="20">
        <f t="shared" si="218"/>
        <v>0.69954638239494704</v>
      </c>
      <c r="EA82" s="20">
        <f t="shared" si="218"/>
        <v>0.6996147921779281</v>
      </c>
      <c r="EB82" s="20">
        <f t="shared" si="218"/>
        <v>0.69968315591010266</v>
      </c>
      <c r="EC82" s="20">
        <f t="shared" si="218"/>
        <v>0.6997514736143392</v>
      </c>
      <c r="ED82" s="20">
        <f t="shared" si="218"/>
        <v>0.69981974531350788</v>
      </c>
      <c r="EE82" s="20">
        <f t="shared" si="218"/>
        <v>0.69988797103047928</v>
      </c>
      <c r="EF82" s="20">
        <f t="shared" si="218"/>
        <v>0.69995615078812534</v>
      </c>
      <c r="EG82" s="20">
        <f t="shared" si="218"/>
        <v>0.70002428460931909</v>
      </c>
      <c r="EH82" s="20">
        <f>IFERROR(EH80/EH66,0)</f>
        <v>0.7000923725169339</v>
      </c>
      <c r="EI82" s="20">
        <f>IFERROR(EI80/EI66,0)</f>
        <v>0.70016041453384459</v>
      </c>
      <c r="EJ82" s="20">
        <f>IFERROR(EJ80/EJ66,0)</f>
        <v>0.70022841068292652</v>
      </c>
      <c r="EK82" s="71"/>
      <c r="EL82" s="20"/>
      <c r="EM82" s="20">
        <f>IFERROR(EM80/EM66,0)</f>
        <v>0</v>
      </c>
      <c r="EN82" s="20">
        <f t="shared" ref="EN82:EW82" si="219">IFERROR(EN80/EN66,0)</f>
        <v>0.48372358168206792</v>
      </c>
      <c r="EO82" s="20">
        <f t="shared" si="219"/>
        <v>0.67945074543213901</v>
      </c>
      <c r="EP82" s="20">
        <f t="shared" si="219"/>
        <v>0.69396025206172196</v>
      </c>
      <c r="EQ82" s="20">
        <f t="shared" si="219"/>
        <v>0.69482281027951776</v>
      </c>
      <c r="ER82" s="20">
        <f t="shared" si="219"/>
        <v>0.69567851222748633</v>
      </c>
      <c r="ES82" s="20">
        <f t="shared" si="219"/>
        <v>0.69652739722931811</v>
      </c>
      <c r="ET82" s="20">
        <f t="shared" si="219"/>
        <v>0.69736950465810976</v>
      </c>
      <c r="EU82" s="20">
        <f t="shared" si="219"/>
        <v>0.69820487393030339</v>
      </c>
      <c r="EV82" s="20">
        <f t="shared" si="219"/>
        <v>0.69903354449972788</v>
      </c>
      <c r="EW82" s="20">
        <f t="shared" si="219"/>
        <v>0.69985555585173731</v>
      </c>
    </row>
    <row r="83" spans="2:153" s="9" customFormat="1" x14ac:dyDescent="0.4">
      <c r="B83" s="70" t="s">
        <v>227</v>
      </c>
      <c r="E83" s="20"/>
      <c r="F83" s="20"/>
      <c r="I83" s="159">
        <f t="shared" ref="I83:AN83" ca="1" si="220">I80*12/I175</f>
        <v>0</v>
      </c>
      <c r="J83" s="159">
        <f t="shared" ca="1" si="220"/>
        <v>0</v>
      </c>
      <c r="K83" s="159">
        <f t="shared" ca="1" si="220"/>
        <v>0</v>
      </c>
      <c r="L83" s="159">
        <f t="shared" ca="1" si="220"/>
        <v>0</v>
      </c>
      <c r="M83" s="159">
        <f t="shared" ca="1" si="220"/>
        <v>0</v>
      </c>
      <c r="N83" s="159">
        <f t="shared" ca="1" si="220"/>
        <v>0</v>
      </c>
      <c r="O83" s="159">
        <f t="shared" ca="1" si="220"/>
        <v>0</v>
      </c>
      <c r="P83" s="159">
        <f t="shared" ca="1" si="220"/>
        <v>0</v>
      </c>
      <c r="Q83" s="159">
        <f t="shared" ca="1" si="220"/>
        <v>0</v>
      </c>
      <c r="R83" s="159">
        <f t="shared" ca="1" si="220"/>
        <v>0</v>
      </c>
      <c r="S83" s="159">
        <f t="shared" ca="1" si="220"/>
        <v>0</v>
      </c>
      <c r="T83" s="159">
        <f t="shared" ca="1" si="220"/>
        <v>0</v>
      </c>
      <c r="U83" s="159">
        <f t="shared" ca="1" si="220"/>
        <v>0</v>
      </c>
      <c r="V83" s="159">
        <f t="shared" ca="1" si="220"/>
        <v>0</v>
      </c>
      <c r="W83" s="159">
        <f t="shared" ca="1" si="220"/>
        <v>0</v>
      </c>
      <c r="X83" s="159">
        <f t="shared" ca="1" si="220"/>
        <v>0</v>
      </c>
      <c r="Y83" s="159">
        <f t="shared" ca="1" si="220"/>
        <v>-7.7549576682812444E-3</v>
      </c>
      <c r="Z83" s="159">
        <f t="shared" ca="1" si="220"/>
        <v>1.5412694636908876E-3</v>
      </c>
      <c r="AA83" s="159">
        <f t="shared" ca="1" si="220"/>
        <v>9.6793820951726357E-3</v>
      </c>
      <c r="AB83" s="159">
        <f t="shared" ca="1" si="220"/>
        <v>1.6867697843645345E-2</v>
      </c>
      <c r="AC83" s="159">
        <f t="shared" ca="1" si="220"/>
        <v>2.3267412472453251E-2</v>
      </c>
      <c r="AD83" s="159">
        <f t="shared" ca="1" si="220"/>
        <v>2.9005210605043248E-2</v>
      </c>
      <c r="AE83" s="159">
        <f t="shared" ca="1" si="220"/>
        <v>3.600928837796296E-2</v>
      </c>
      <c r="AF83" s="159">
        <f t="shared" ca="1" si="220"/>
        <v>4.3035743449467811E-2</v>
      </c>
      <c r="AG83" s="159">
        <f t="shared" ca="1" si="220"/>
        <v>5.1612173762150416E-2</v>
      </c>
      <c r="AH83" s="159">
        <f t="shared" ca="1" si="220"/>
        <v>5.8906423198481966E-2</v>
      </c>
      <c r="AI83" s="159">
        <f t="shared" ca="1" si="220"/>
        <v>5.9051257147485686E-2</v>
      </c>
      <c r="AJ83" s="159">
        <f t="shared" ca="1" si="220"/>
        <v>5.9196446299781255E-2</v>
      </c>
      <c r="AK83" s="159">
        <f t="shared" ca="1" si="220"/>
        <v>5.9341991525250305E-2</v>
      </c>
      <c r="AL83" s="159">
        <f t="shared" ca="1" si="220"/>
        <v>5.9487893695903175E-2</v>
      </c>
      <c r="AM83" s="159">
        <f t="shared" ca="1" si="220"/>
        <v>5.9634153685884171E-2</v>
      </c>
      <c r="AN83" s="159">
        <f t="shared" ca="1" si="220"/>
        <v>6.6774280162954919E-2</v>
      </c>
      <c r="AO83" s="159">
        <f t="shared" ref="AO83:BT83" ca="1" si="221">AO80*12/AO175</f>
        <v>6.6938295134350345E-2</v>
      </c>
      <c r="AP83" s="159">
        <f t="shared" ca="1" si="221"/>
        <v>6.7102712091650168E-2</v>
      </c>
      <c r="AQ83" s="159">
        <f t="shared" ca="1" si="221"/>
        <v>6.7267532018895779E-2</v>
      </c>
      <c r="AR83" s="159">
        <f t="shared" ca="1" si="221"/>
        <v>6.7432755902535821E-2</v>
      </c>
      <c r="AS83" s="159">
        <f t="shared" ca="1" si="221"/>
        <v>6.7602694335751085E-2</v>
      </c>
      <c r="AT83" s="159">
        <f t="shared" ca="1" si="221"/>
        <v>6.7773059875955194E-2</v>
      </c>
      <c r="AU83" s="159">
        <f t="shared" ca="1" si="221"/>
        <v>6.7943853594683704E-2</v>
      </c>
      <c r="AV83" s="159">
        <f t="shared" ca="1" si="221"/>
        <v>6.8115076566157437E-2</v>
      </c>
      <c r="AW83" s="159">
        <f t="shared" ca="1" si="221"/>
        <v>6.8286729867289023E-2</v>
      </c>
      <c r="AX83" s="159">
        <f t="shared" ca="1" si="221"/>
        <v>6.8458814577689611E-2</v>
      </c>
      <c r="AY83" s="159">
        <f t="shared" ca="1" si="221"/>
        <v>6.8631331779675786E-2</v>
      </c>
      <c r="AZ83" s="159">
        <f t="shared" ca="1" si="221"/>
        <v>6.8804282558276142E-2</v>
      </c>
      <c r="BA83" s="159">
        <f t="shared" ca="1" si="221"/>
        <v>6.8977668001238224E-2</v>
      </c>
      <c r="BB83" s="159">
        <f t="shared" ca="1" si="221"/>
        <v>6.9151489199035368E-2</v>
      </c>
      <c r="BC83" s="159">
        <f t="shared" ca="1" si="221"/>
        <v>6.9325747244873295E-2</v>
      </c>
      <c r="BD83" s="159">
        <f t="shared" ca="1" si="221"/>
        <v>6.9500443234697229E-2</v>
      </c>
      <c r="BE83" s="159">
        <f t="shared" ca="1" si="221"/>
        <v>6.9675578267198585E-2</v>
      </c>
      <c r="BF83" s="159">
        <f t="shared" ca="1" si="221"/>
        <v>6.9851153443821853E-2</v>
      </c>
      <c r="BG83" s="159">
        <f t="shared" ca="1" si="221"/>
        <v>7.0027169868771638E-2</v>
      </c>
      <c r="BH83" s="159">
        <f t="shared" ca="1" si="221"/>
        <v>7.020362864901937E-2</v>
      </c>
      <c r="BI83" s="159">
        <f t="shared" ca="1" si="221"/>
        <v>7.0380530894310331E-2</v>
      </c>
      <c r="BJ83" s="159">
        <f t="shared" ca="1" si="221"/>
        <v>7.0557877717170633E-2</v>
      </c>
      <c r="BK83" s="159">
        <f t="shared" ca="1" si="221"/>
        <v>7.0735670232914105E-2</v>
      </c>
      <c r="BL83" s="159">
        <f t="shared" ca="1" si="221"/>
        <v>7.0913909559649393E-2</v>
      </c>
      <c r="BM83" s="159">
        <f t="shared" ca="1" si="221"/>
        <v>7.1092596818286738E-2</v>
      </c>
      <c r="BN83" s="159">
        <f t="shared" ca="1" si="221"/>
        <v>7.1271733132545284E-2</v>
      </c>
      <c r="BO83" s="159">
        <f t="shared" ca="1" si="221"/>
        <v>7.1451319628959814E-2</v>
      </c>
      <c r="BP83" s="159">
        <f t="shared" ca="1" si="221"/>
        <v>7.1631357436887991E-2</v>
      </c>
      <c r="BQ83" s="159">
        <f t="shared" ca="1" si="221"/>
        <v>7.1811847688517463E-2</v>
      </c>
      <c r="BR83" s="159">
        <f t="shared" ca="1" si="221"/>
        <v>7.1992791518872695E-2</v>
      </c>
      <c r="BS83" s="159">
        <f t="shared" ca="1" si="221"/>
        <v>7.2174190065822416E-2</v>
      </c>
      <c r="BT83" s="159">
        <f t="shared" ca="1" si="221"/>
        <v>7.2356044470086381E-2</v>
      </c>
      <c r="BU83" s="159">
        <f t="shared" ref="BU83:CZ83" ca="1" si="222">BU80*12/BU175</f>
        <v>7.2538355875242863E-2</v>
      </c>
      <c r="BV83" s="159">
        <f t="shared" ca="1" si="222"/>
        <v>7.2721125427735539E-2</v>
      </c>
      <c r="BW83" s="159">
        <f t="shared" ca="1" si="222"/>
        <v>7.2904354276880773E-2</v>
      </c>
      <c r="BX83" s="159">
        <f t="shared" ca="1" si="222"/>
        <v>7.3088043574874847E-2</v>
      </c>
      <c r="BY83" s="159">
        <f t="shared" ca="1" si="222"/>
        <v>7.327219447680107E-2</v>
      </c>
      <c r="BZ83" s="159">
        <f t="shared" ca="1" si="222"/>
        <v>7.3456808140637098E-2</v>
      </c>
      <c r="CA83" s="159">
        <f t="shared" ca="1" si="222"/>
        <v>7.3641885727262116E-2</v>
      </c>
      <c r="CB83" s="159">
        <f t="shared" ca="1" si="222"/>
        <v>7.3827428400464135E-2</v>
      </c>
      <c r="CC83" s="159">
        <f t="shared" ca="1" si="222"/>
        <v>7.4013437326947318E-2</v>
      </c>
      <c r="CD83" s="159">
        <f t="shared" ca="1" si="222"/>
        <v>7.4199913676339199E-2</v>
      </c>
      <c r="CE83" s="159">
        <f t="shared" ca="1" si="222"/>
        <v>7.4386858621197982E-2</v>
      </c>
      <c r="CF83" s="159">
        <f t="shared" ca="1" si="222"/>
        <v>7.4574273337020061E-2</v>
      </c>
      <c r="CG83" s="159">
        <f t="shared" ca="1" si="222"/>
        <v>7.47621590022471E-2</v>
      </c>
      <c r="CH83" s="159">
        <f t="shared" ca="1" si="222"/>
        <v>7.4950516798273706E-2</v>
      </c>
      <c r="CI83" s="159">
        <f t="shared" ca="1" si="222"/>
        <v>7.5139347909454562E-2</v>
      </c>
      <c r="CJ83" s="159">
        <f t="shared" ca="1" si="222"/>
        <v>7.5328653523112035E-2</v>
      </c>
      <c r="CK83" s="159">
        <f t="shared" ca="1" si="222"/>
        <v>7.5518434829543443E-2</v>
      </c>
      <c r="CL83" s="159">
        <f t="shared" ca="1" si="222"/>
        <v>7.570869302202865E-2</v>
      </c>
      <c r="CM83" s="159">
        <f t="shared" ca="1" si="222"/>
        <v>7.589942929683742E-2</v>
      </c>
      <c r="CN83" s="159">
        <f t="shared" ca="1" si="222"/>
        <v>7.609064485323698E-2</v>
      </c>
      <c r="CO83" s="159">
        <f t="shared" ca="1" si="222"/>
        <v>7.6282340893499431E-2</v>
      </c>
      <c r="CP83" s="159">
        <f t="shared" ca="1" si="222"/>
        <v>7.6474518622909438E-2</v>
      </c>
      <c r="CQ83" s="159">
        <f t="shared" ca="1" si="222"/>
        <v>7.6667179249771608E-2</v>
      </c>
      <c r="CR83" s="159">
        <f t="shared" ca="1" si="222"/>
        <v>7.6860323985418089E-2</v>
      </c>
      <c r="CS83" s="159">
        <f t="shared" ca="1" si="222"/>
        <v>7.7053954044216236E-2</v>
      </c>
      <c r="CT83" s="159">
        <f t="shared" ca="1" si="222"/>
        <v>7.7248070643576097E-2</v>
      </c>
      <c r="CU83" s="159">
        <f t="shared" ca="1" si="222"/>
        <v>7.7442675003958114E-2</v>
      </c>
      <c r="CV83" s="159">
        <f t="shared" ca="1" si="222"/>
        <v>7.7637768348880698E-2</v>
      </c>
      <c r="CW83" s="159">
        <f t="shared" ca="1" si="222"/>
        <v>7.7833351904927947E-2</v>
      </c>
      <c r="CX83" s="159">
        <f t="shared" ca="1" si="222"/>
        <v>7.8029426901757293E-2</v>
      </c>
      <c r="CY83" s="159">
        <f t="shared" ca="1" si="222"/>
        <v>7.8225994572107133E-2</v>
      </c>
      <c r="CZ83" s="159">
        <f t="shared" ca="1" si="222"/>
        <v>7.8423056151804671E-2</v>
      </c>
      <c r="DA83" s="159">
        <f t="shared" ref="DA83:EJ83" ca="1" si="223">DA80*12/DA175</f>
        <v>7.8620612879773566E-2</v>
      </c>
      <c r="DB83" s="159">
        <f t="shared" ca="1" si="223"/>
        <v>7.8818665998041673E-2</v>
      </c>
      <c r="DC83" s="159">
        <f t="shared" ca="1" si="223"/>
        <v>7.9017216751748942E-2</v>
      </c>
      <c r="DD83" s="159">
        <f t="shared" ca="1" si="223"/>
        <v>7.9216266389155007E-2</v>
      </c>
      <c r="DE83" s="159">
        <f t="shared" ca="1" si="223"/>
        <v>7.9415816161647085E-2</v>
      </c>
      <c r="DF83" s="159">
        <f t="shared" ca="1" si="223"/>
        <v>7.9615867323747952E-2</v>
      </c>
      <c r="DG83" s="159">
        <f t="shared" ca="1" si="223"/>
        <v>7.9816421133123566E-2</v>
      </c>
      <c r="DH83" s="159">
        <f t="shared" ca="1" si="223"/>
        <v>8.0017478850591087E-2</v>
      </c>
      <c r="DI83" s="159">
        <f t="shared" ca="1" si="223"/>
        <v>8.0219041740126631E-2</v>
      </c>
      <c r="DJ83" s="159">
        <f t="shared" ca="1" si="223"/>
        <v>8.0421111068873355E-2</v>
      </c>
      <c r="DK83" s="159">
        <f t="shared" ca="1" si="223"/>
        <v>8.0623688107149302E-2</v>
      </c>
      <c r="DL83" s="159">
        <f t="shared" ca="1" si="223"/>
        <v>8.0826774128455278E-2</v>
      </c>
      <c r="DM83" s="159">
        <f t="shared" ca="1" si="223"/>
        <v>8.1030370409482882E-2</v>
      </c>
      <c r="DN83" s="159">
        <f t="shared" ca="1" si="223"/>
        <v>8.1234478230122628E-2</v>
      </c>
      <c r="DO83" s="159">
        <f t="shared" ca="1" si="223"/>
        <v>8.1439098873471616E-2</v>
      </c>
      <c r="DP83" s="159">
        <f t="shared" ca="1" si="223"/>
        <v>8.164423362584193E-2</v>
      </c>
      <c r="DQ83" s="159">
        <f t="shared" ca="1" si="223"/>
        <v>8.1849883776768551E-2</v>
      </c>
      <c r="DR83" s="159">
        <f t="shared" ca="1" si="223"/>
        <v>8.205605061901719E-2</v>
      </c>
      <c r="DS83" s="159">
        <f t="shared" ca="1" si="223"/>
        <v>8.2262735448592764E-2</v>
      </c>
      <c r="DT83" s="159">
        <f t="shared" ca="1" si="223"/>
        <v>8.2469939564747394E-2</v>
      </c>
      <c r="DU83" s="159">
        <f t="shared" ca="1" si="223"/>
        <v>8.267766426998828E-2</v>
      </c>
      <c r="DV83" s="159">
        <f t="shared" ca="1" si="223"/>
        <v>8.2885910870086149E-2</v>
      </c>
      <c r="DW83" s="159">
        <f t="shared" ca="1" si="223"/>
        <v>8.3094680674083307E-2</v>
      </c>
      <c r="DX83" s="159">
        <f t="shared" ca="1" si="223"/>
        <v>8.3303974994301769E-2</v>
      </c>
      <c r="DY83" s="159">
        <f t="shared" ca="1" si="223"/>
        <v>8.3513795146351724E-2</v>
      </c>
      <c r="DZ83" s="159">
        <f t="shared" ca="1" si="223"/>
        <v>8.372414244913938E-2</v>
      </c>
      <c r="EA83" s="159">
        <f t="shared" ca="1" si="223"/>
        <v>8.3935018224875577E-2</v>
      </c>
      <c r="EB83" s="159">
        <f t="shared" ca="1" si="223"/>
        <v>8.4146423799083811E-2</v>
      </c>
      <c r="EC83" s="159">
        <f t="shared" ca="1" si="223"/>
        <v>8.4358360500608603E-2</v>
      </c>
      <c r="ED83" s="159">
        <f t="shared" ca="1" si="223"/>
        <v>8.4570829661623936E-2</v>
      </c>
      <c r="EE83" s="159">
        <f t="shared" ca="1" si="223"/>
        <v>8.47838326176414E-2</v>
      </c>
      <c r="EF83" s="159">
        <f t="shared" ca="1" si="223"/>
        <v>8.4997370707518685E-2</v>
      </c>
      <c r="EG83" s="159">
        <f t="shared" ca="1" si="223"/>
        <v>8.5211445273467898E-2</v>
      </c>
      <c r="EH83" s="159">
        <f t="shared" ca="1" si="223"/>
        <v>8.5426057661063981E-2</v>
      </c>
      <c r="EI83" s="159">
        <f t="shared" ca="1" si="223"/>
        <v>8.5641209219253028E-2</v>
      </c>
      <c r="EJ83" s="159">
        <f t="shared" ca="1" si="223"/>
        <v>8.585690130036093E-2</v>
      </c>
      <c r="EK83" s="71"/>
      <c r="EL83" s="20"/>
      <c r="EM83" s="159">
        <f t="shared" ref="EM83:EW83" ca="1" si="224">EM80/EM175</f>
        <v>0</v>
      </c>
      <c r="EN83" s="159">
        <f t="shared" ca="1" si="224"/>
        <v>1.2398333642606545E-2</v>
      </c>
      <c r="EO83" s="159">
        <f t="shared" ca="1" si="224"/>
        <v>6.1874764064309751E-2</v>
      </c>
      <c r="EP83" s="159">
        <f t="shared" ca="1" si="224"/>
        <v>6.8547599236276846E-2</v>
      </c>
      <c r="EQ83" s="159">
        <f t="shared" ca="1" si="224"/>
        <v>7.0649377137461347E-2</v>
      </c>
      <c r="ER83" s="159">
        <f t="shared" ca="1" si="224"/>
        <v>7.2815422470266455E-2</v>
      </c>
      <c r="ES83" s="159">
        <f t="shared" ca="1" si="224"/>
        <v>7.5047696849686513E-2</v>
      </c>
      <c r="ET83" s="159">
        <f t="shared" ca="1" si="224"/>
        <v>7.7348221693568878E-2</v>
      </c>
      <c r="EU83" s="159">
        <f t="shared" ca="1" si="224"/>
        <v>7.971908004436945E-2</v>
      </c>
      <c r="EV83" s="159">
        <f t="shared" ca="1" si="224"/>
        <v>8.2162418446375396E-2</v>
      </c>
      <c r="EW83" s="159">
        <f t="shared" ca="1" si="224"/>
        <v>8.4680448880082415E-2</v>
      </c>
    </row>
    <row r="85" spans="2:153" x14ac:dyDescent="0.4">
      <c r="B85" s="10" t="s">
        <v>60</v>
      </c>
    </row>
    <row r="86" spans="2:153" x14ac:dyDescent="0.4">
      <c r="B86" s="1" t="s">
        <v>53</v>
      </c>
      <c r="F86" s="12" cm="1">
        <f t="array" ref="F86">SUMPRODUCT(($H86:$EJ86)*($H$6:$EJ$6&lt;=$C$5))</f>
        <v>-75000</v>
      </c>
      <c r="I86" s="266">
        <f>-I41/12*$C$6*(Model!I$5&gt;'Inputs &amp; Drivers'!$F$41)*(I$6&lt;=Model!$C$5)</f>
        <v>0</v>
      </c>
      <c r="J86" s="266">
        <f>-J41/12*$C$6*(Model!J$5&gt;'Inputs &amp; Drivers'!$F$41)*(J$6&lt;=Model!$C$5)</f>
        <v>0</v>
      </c>
      <c r="K86" s="266">
        <f>-K41/12*$C$6*(Model!K$5&gt;'Inputs &amp; Drivers'!$F$41)*(K$6&lt;=Model!$C$5)</f>
        <v>0</v>
      </c>
      <c r="L86" s="266">
        <f>-L41/12*$C$6*(Model!L$5&gt;'Inputs &amp; Drivers'!$F$41)*(L$6&lt;=Model!$C$5)</f>
        <v>0</v>
      </c>
      <c r="M86" s="266">
        <f>-M41/12*$C$6*(Model!M$5&gt;'Inputs &amp; Drivers'!$F$41)*(M$6&lt;=Model!$C$5)</f>
        <v>0</v>
      </c>
      <c r="N86" s="266">
        <f>-N41/12*$C$6*(Model!N$5&gt;'Inputs &amp; Drivers'!$F$41)*(N$6&lt;=Model!$C$5)</f>
        <v>0</v>
      </c>
      <c r="O86" s="266">
        <f>-O41/12*$C$6*(Model!O$5&gt;'Inputs &amp; Drivers'!$F$41)*(O$6&lt;=Model!$C$5)</f>
        <v>0</v>
      </c>
      <c r="P86" s="266">
        <f>-P41/12*$C$6*(Model!P$5&gt;'Inputs &amp; Drivers'!$F$41)*(P$6&lt;=Model!$C$5)</f>
        <v>0</v>
      </c>
      <c r="Q86" s="266">
        <f>-Q41/12*$C$6*(Model!Q$5&gt;'Inputs &amp; Drivers'!$F$41)*(Q$6&lt;=Model!$C$5)</f>
        <v>0</v>
      </c>
      <c r="R86" s="266">
        <f>-R41/12*$C$6*(Model!R$5&gt;'Inputs &amp; Drivers'!$F$41)*(R$6&lt;=Model!$C$5)</f>
        <v>0</v>
      </c>
      <c r="S86" s="266">
        <f>-S41/12*$C$6*(Model!S$5&gt;'Inputs &amp; Drivers'!$F$41)*(S$6&lt;=Model!$C$5)</f>
        <v>0</v>
      </c>
      <c r="T86" s="266">
        <f>-T41/12*$C$6*(Model!T$5&gt;'Inputs &amp; Drivers'!$F$41)*(T$6&lt;=Model!$C$5)</f>
        <v>0</v>
      </c>
      <c r="U86" s="266">
        <f>-U41/12*$C$6*(Model!U$5&gt;'Inputs &amp; Drivers'!$F$41)*(U$6&lt;=Model!$C$5)</f>
        <v>0</v>
      </c>
      <c r="V86" s="266">
        <f>-V41/12*$C$6*(Model!V$5&gt;'Inputs &amp; Drivers'!$F$41)*(V$6&lt;=Model!$C$5)</f>
        <v>0</v>
      </c>
      <c r="W86" s="266">
        <f>-W41/12*$C$6*(Model!W$5&gt;'Inputs &amp; Drivers'!$F$41)*(W$6&lt;=Model!$C$5)</f>
        <v>0</v>
      </c>
      <c r="X86" s="266">
        <f>-X41/12*$C$6*(Model!X$5&gt;'Inputs &amp; Drivers'!$F$41)*(X$6&lt;=Model!$C$5)</f>
        <v>0</v>
      </c>
      <c r="Y86" s="266">
        <f>-Y41/12*$C$6*(Model!Y$5&gt;'Inputs &amp; Drivers'!$F$41)*(Y$6&lt;=Model!$C$5)</f>
        <v>-3750</v>
      </c>
      <c r="Z86" s="266">
        <f>-Z41/12*$C$6*(Model!Z$5&gt;'Inputs &amp; Drivers'!$F$41)*(Z$6&lt;=Model!$C$5)</f>
        <v>-3750</v>
      </c>
      <c r="AA86" s="266">
        <f>-AA41/12*$C$6*(Model!AA$5&gt;'Inputs &amp; Drivers'!$F$41)*(AA$6&lt;=Model!$C$5)</f>
        <v>-3750</v>
      </c>
      <c r="AB86" s="266">
        <f>-AB41/12*$C$6*(Model!AB$5&gt;'Inputs &amp; Drivers'!$F$41)*(AB$6&lt;=Model!$C$5)</f>
        <v>-3750</v>
      </c>
      <c r="AC86" s="266">
        <f>-AC41/12*$C$6*(Model!AC$5&gt;'Inputs &amp; Drivers'!$F$41)*(AC$6&lt;=Model!$C$5)</f>
        <v>-3750</v>
      </c>
      <c r="AD86" s="266">
        <f>-AD41/12*$C$6*(Model!AD$5&gt;'Inputs &amp; Drivers'!$F$41)*(AD$6&lt;=Model!$C$5)</f>
        <v>-3750</v>
      </c>
      <c r="AE86" s="266">
        <f>-AE41/12*$C$6*(Model!AE$5&gt;'Inputs &amp; Drivers'!$F$41)*(AE$6&lt;=Model!$C$5)</f>
        <v>-3750</v>
      </c>
      <c r="AF86" s="266">
        <f>-AF41/12*$C$6*(Model!AF$5&gt;'Inputs &amp; Drivers'!$F$41)*(AF$6&lt;=Model!$C$5)</f>
        <v>-3750</v>
      </c>
      <c r="AG86" s="266">
        <f>-AG41/12*$C$6*(Model!AG$5&gt;'Inputs &amp; Drivers'!$F$41)*(AG$6&lt;=Model!$C$5)</f>
        <v>-3750</v>
      </c>
      <c r="AH86" s="266">
        <f>-AH41/12*$C$6*(Model!AH$5&gt;'Inputs &amp; Drivers'!$F$41)*(AH$6&lt;=Model!$C$5)</f>
        <v>-3750</v>
      </c>
      <c r="AI86" s="266">
        <f>-AI41/12*$C$6*(Model!AI$5&gt;'Inputs &amp; Drivers'!$F$41)*(AI$6&lt;=Model!$C$5)</f>
        <v>-3750</v>
      </c>
      <c r="AJ86" s="266">
        <f>-AJ41/12*$C$6*(Model!AJ$5&gt;'Inputs &amp; Drivers'!$F$41)*(AJ$6&lt;=Model!$C$5)</f>
        <v>-3750</v>
      </c>
      <c r="AK86" s="266">
        <f>-AK41/12*$C$6*(Model!AK$5&gt;'Inputs &amp; Drivers'!$F$41)*(AK$6&lt;=Model!$C$5)</f>
        <v>-3750</v>
      </c>
      <c r="AL86" s="266">
        <f>-AL41/12*$C$6*(Model!AL$5&gt;'Inputs &amp; Drivers'!$F$41)*(AL$6&lt;=Model!$C$5)</f>
        <v>-3750</v>
      </c>
      <c r="AM86" s="266">
        <f>-AM41/12*$C$6*(Model!AM$5&gt;'Inputs &amp; Drivers'!$F$41)*(AM$6&lt;=Model!$C$5)</f>
        <v>-3750</v>
      </c>
      <c r="AN86" s="266">
        <f>-AN41/12*$C$6*(Model!AN$5&gt;'Inputs &amp; Drivers'!$F$41)*(AN$6&lt;=Model!$C$5)</f>
        <v>-3750</v>
      </c>
      <c r="AO86" s="266">
        <f>-AO41/12*$C$6*(Model!AO$5&gt;'Inputs &amp; Drivers'!$F$41)*(AO$6&lt;=Model!$C$5)</f>
        <v>-3750</v>
      </c>
      <c r="AP86" s="266">
        <f>-AP41/12*$C$6*(Model!AP$5&gt;'Inputs &amp; Drivers'!$F$41)*(AP$6&lt;=Model!$C$5)</f>
        <v>-3750</v>
      </c>
      <c r="AQ86" s="266">
        <f>-AQ41/12*$C$6*(Model!AQ$5&gt;'Inputs &amp; Drivers'!$F$41)*(AQ$6&lt;=Model!$C$5)</f>
        <v>-3750</v>
      </c>
      <c r="AR86" s="266">
        <f>-AR41/12*$C$6*(Model!AR$5&gt;'Inputs &amp; Drivers'!$F$41)*(AR$6&lt;=Model!$C$5)</f>
        <v>-3750</v>
      </c>
      <c r="AS86" s="266">
        <f>-AS41/12*$C$6*(Model!AS$5&gt;'Inputs &amp; Drivers'!$F$41)*(AS$6&lt;=Model!$C$5)</f>
        <v>0</v>
      </c>
      <c r="AT86" s="266">
        <f>-AT41/12*$C$6*(Model!AT$5&gt;'Inputs &amp; Drivers'!$F$41)*(AT$6&lt;=Model!$C$5)</f>
        <v>0</v>
      </c>
      <c r="AU86" s="266">
        <f>-AU41/12*$C$6*(Model!AU$5&gt;'Inputs &amp; Drivers'!$F$41)*(AU$6&lt;=Model!$C$5)</f>
        <v>0</v>
      </c>
      <c r="AV86" s="266">
        <f>-AV41/12*$C$6*(Model!AV$5&gt;'Inputs &amp; Drivers'!$F$41)*(AV$6&lt;=Model!$C$5)</f>
        <v>0</v>
      </c>
      <c r="AW86" s="266">
        <f>-AW41/12*$C$6*(Model!AW$5&gt;'Inputs &amp; Drivers'!$F$41)*(AW$6&lt;=Model!$C$5)</f>
        <v>0</v>
      </c>
      <c r="AX86" s="266">
        <f>-AX41/12*$C$6*(Model!AX$5&gt;'Inputs &amp; Drivers'!$F$41)*(AX$6&lt;=Model!$C$5)</f>
        <v>0</v>
      </c>
      <c r="AY86" s="266">
        <f>-AY41/12*$C$6*(Model!AY$5&gt;'Inputs &amp; Drivers'!$F$41)*(AY$6&lt;=Model!$C$5)</f>
        <v>0</v>
      </c>
      <c r="AZ86" s="266">
        <f>-AZ41/12*$C$6*(Model!AZ$5&gt;'Inputs &amp; Drivers'!$F$41)*(AZ$6&lt;=Model!$C$5)</f>
        <v>0</v>
      </c>
      <c r="BA86" s="266">
        <f>-BA41/12*$C$6*(Model!BA$5&gt;'Inputs &amp; Drivers'!$F$41)*(BA$6&lt;=Model!$C$5)</f>
        <v>0</v>
      </c>
      <c r="BB86" s="266">
        <f>-BB41/12*$C$6*(Model!BB$5&gt;'Inputs &amp; Drivers'!$F$41)*(BB$6&lt;=Model!$C$5)</f>
        <v>0</v>
      </c>
      <c r="BC86" s="266">
        <f>-BC41/12*$C$6*(Model!BC$5&gt;'Inputs &amp; Drivers'!$F$41)*(BC$6&lt;=Model!$C$5)</f>
        <v>0</v>
      </c>
      <c r="BD86" s="266">
        <f>-BD41/12*$C$6*(Model!BD$5&gt;'Inputs &amp; Drivers'!$F$41)*(BD$6&lt;=Model!$C$5)</f>
        <v>0</v>
      </c>
      <c r="BE86" s="266">
        <f>-BE41/12*$C$6*(Model!BE$5&gt;'Inputs &amp; Drivers'!$F$41)*(BE$6&lt;=Model!$C$5)</f>
        <v>0</v>
      </c>
      <c r="BF86" s="266">
        <f>-BF41/12*$C$6*(Model!BF$5&gt;'Inputs &amp; Drivers'!$F$41)*(BF$6&lt;=Model!$C$5)</f>
        <v>0</v>
      </c>
      <c r="BG86" s="266">
        <f>-BG41/12*$C$6*(Model!BG$5&gt;'Inputs &amp; Drivers'!$F$41)*(BG$6&lt;=Model!$C$5)</f>
        <v>0</v>
      </c>
      <c r="BH86" s="266">
        <f>-BH41/12*$C$6*(Model!BH$5&gt;'Inputs &amp; Drivers'!$F$41)*(BH$6&lt;=Model!$C$5)</f>
        <v>0</v>
      </c>
      <c r="BI86" s="266">
        <f>-BI41/12*$C$6*(Model!BI$5&gt;'Inputs &amp; Drivers'!$F$41)*(BI$6&lt;=Model!$C$5)</f>
        <v>0</v>
      </c>
      <c r="BJ86" s="266">
        <f>-BJ41/12*$C$6*(Model!BJ$5&gt;'Inputs &amp; Drivers'!$F$41)*(BJ$6&lt;=Model!$C$5)</f>
        <v>0</v>
      </c>
      <c r="BK86" s="266">
        <f>-BK41/12*$C$6*(Model!BK$5&gt;'Inputs &amp; Drivers'!$F$41)*(BK$6&lt;=Model!$C$5)</f>
        <v>0</v>
      </c>
      <c r="BL86" s="266">
        <f>-BL41/12*$C$6*(Model!BL$5&gt;'Inputs &amp; Drivers'!$F$41)*(BL$6&lt;=Model!$C$5)</f>
        <v>0</v>
      </c>
      <c r="BM86" s="266">
        <f>-BM41/12*$C$6*(Model!BM$5&gt;'Inputs &amp; Drivers'!$F$41)*(BM$6&lt;=Model!$C$5)</f>
        <v>0</v>
      </c>
      <c r="BN86" s="266">
        <f>-BN41/12*$C$6*(Model!BN$5&gt;'Inputs &amp; Drivers'!$F$41)*(BN$6&lt;=Model!$C$5)</f>
        <v>0</v>
      </c>
      <c r="BO86" s="266">
        <f>-BO41/12*$C$6*(Model!BO$5&gt;'Inputs &amp; Drivers'!$F$41)*(BO$6&lt;=Model!$C$5)</f>
        <v>0</v>
      </c>
      <c r="BP86" s="266">
        <f>-BP41/12*$C$6*(Model!BP$5&gt;'Inputs &amp; Drivers'!$F$41)*(BP$6&lt;=Model!$C$5)</f>
        <v>0</v>
      </c>
      <c r="BQ86" s="266">
        <f>-BQ41/12*$C$6*(Model!BQ$5&gt;'Inputs &amp; Drivers'!$F$41)*(BQ$6&lt;=Model!$C$5)</f>
        <v>0</v>
      </c>
      <c r="BR86" s="266">
        <f>-BR41/12*$C$6*(Model!BR$5&gt;'Inputs &amp; Drivers'!$F$41)*(BR$6&lt;=Model!$C$5)</f>
        <v>0</v>
      </c>
      <c r="BS86" s="266">
        <f>-BS41/12*$C$6*(Model!BS$5&gt;'Inputs &amp; Drivers'!$F$41)*(BS$6&lt;=Model!$C$5)</f>
        <v>0</v>
      </c>
      <c r="BT86" s="266">
        <f>-BT41/12*$C$6*(Model!BT$5&gt;'Inputs &amp; Drivers'!$F$41)*(BT$6&lt;=Model!$C$5)</f>
        <v>0</v>
      </c>
      <c r="BU86" s="266">
        <f>-BU41/12*$C$6*(Model!BU$5&gt;'Inputs &amp; Drivers'!$F$41)*(BU$6&lt;=Model!$C$5)</f>
        <v>0</v>
      </c>
      <c r="BV86" s="266">
        <f>-BV41/12*$C$6*(Model!BV$5&gt;'Inputs &amp; Drivers'!$F$41)*(BV$6&lt;=Model!$C$5)</f>
        <v>0</v>
      </c>
      <c r="BW86" s="266">
        <f>-BW41/12*$C$6*(Model!BW$5&gt;'Inputs &amp; Drivers'!$F$41)*(BW$6&lt;=Model!$C$5)</f>
        <v>0</v>
      </c>
      <c r="BX86" s="266">
        <f>-BX41/12*$C$6*(Model!BX$5&gt;'Inputs &amp; Drivers'!$F$41)*(BX$6&lt;=Model!$C$5)</f>
        <v>0</v>
      </c>
      <c r="BY86" s="266">
        <f>-BY41/12*$C$6*(Model!BY$5&gt;'Inputs &amp; Drivers'!$F$41)*(BY$6&lt;=Model!$C$5)</f>
        <v>0</v>
      </c>
      <c r="BZ86" s="266">
        <f>-BZ41/12*$C$6*(Model!BZ$5&gt;'Inputs &amp; Drivers'!$F$41)*(BZ$6&lt;=Model!$C$5)</f>
        <v>0</v>
      </c>
      <c r="CA86" s="266">
        <f>-CA41/12*$C$6*(Model!CA$5&gt;'Inputs &amp; Drivers'!$F$41)*(CA$6&lt;=Model!$C$5)</f>
        <v>0</v>
      </c>
      <c r="CB86" s="266">
        <f>-CB41/12*$C$6*(Model!CB$5&gt;'Inputs &amp; Drivers'!$F$41)*(CB$6&lt;=Model!$C$5)</f>
        <v>0</v>
      </c>
      <c r="CC86" s="266">
        <f>-CC41/12*$C$6*(Model!CC$5&gt;'Inputs &amp; Drivers'!$F$41)*(CC$6&lt;=Model!$C$5)</f>
        <v>0</v>
      </c>
      <c r="CD86" s="266">
        <f>-CD41/12*$C$6*(Model!CD$5&gt;'Inputs &amp; Drivers'!$F$41)*(CD$6&lt;=Model!$C$5)</f>
        <v>0</v>
      </c>
      <c r="CE86" s="266">
        <f>-CE41/12*$C$6*(Model!CE$5&gt;'Inputs &amp; Drivers'!$F$41)*(CE$6&lt;=Model!$C$5)</f>
        <v>0</v>
      </c>
      <c r="CF86" s="266">
        <f>-CF41/12*$C$6*(Model!CF$5&gt;'Inputs &amp; Drivers'!$F$41)*(CF$6&lt;=Model!$C$5)</f>
        <v>0</v>
      </c>
      <c r="CG86" s="266">
        <f>-CG41/12*$C$6*(Model!CG$5&gt;'Inputs &amp; Drivers'!$F$41)*(CG$6&lt;=Model!$C$5)</f>
        <v>0</v>
      </c>
      <c r="CH86" s="266">
        <f>-CH41/12*$C$6*(Model!CH$5&gt;'Inputs &amp; Drivers'!$F$41)*(CH$6&lt;=Model!$C$5)</f>
        <v>0</v>
      </c>
      <c r="CI86" s="266">
        <f>-CI41/12*$C$6*(Model!CI$5&gt;'Inputs &amp; Drivers'!$F$41)*(CI$6&lt;=Model!$C$5)</f>
        <v>0</v>
      </c>
      <c r="CJ86" s="266">
        <f>-CJ41/12*$C$6*(Model!CJ$5&gt;'Inputs &amp; Drivers'!$F$41)*(CJ$6&lt;=Model!$C$5)</f>
        <v>0</v>
      </c>
      <c r="CK86" s="266">
        <f>-CK41/12*$C$6*(Model!CK$5&gt;'Inputs &amp; Drivers'!$F$41)*(CK$6&lt;=Model!$C$5)</f>
        <v>0</v>
      </c>
      <c r="CL86" s="266">
        <f>-CL41/12*$C$6*(Model!CL$5&gt;'Inputs &amp; Drivers'!$F$41)*(CL$6&lt;=Model!$C$5)</f>
        <v>0</v>
      </c>
      <c r="CM86" s="266">
        <f>-CM41/12*$C$6*(Model!CM$5&gt;'Inputs &amp; Drivers'!$F$41)*(CM$6&lt;=Model!$C$5)</f>
        <v>0</v>
      </c>
      <c r="CN86" s="266">
        <f>-CN41/12*$C$6*(Model!CN$5&gt;'Inputs &amp; Drivers'!$F$41)*(CN$6&lt;=Model!$C$5)</f>
        <v>0</v>
      </c>
      <c r="CO86" s="266">
        <f>-CO41/12*$C$6*(Model!CO$5&gt;'Inputs &amp; Drivers'!$F$41)*(CO$6&lt;=Model!$C$5)</f>
        <v>0</v>
      </c>
      <c r="CP86" s="266">
        <f>-CP41/12*$C$6*(Model!CP$5&gt;'Inputs &amp; Drivers'!$F$41)*(CP$6&lt;=Model!$C$5)</f>
        <v>0</v>
      </c>
      <c r="CQ86" s="266">
        <f>-CQ41/12*$C$6*(Model!CQ$5&gt;'Inputs &amp; Drivers'!$F$41)*(CQ$6&lt;=Model!$C$5)</f>
        <v>0</v>
      </c>
      <c r="CR86" s="266">
        <f>-CR41/12*$C$6*(Model!CR$5&gt;'Inputs &amp; Drivers'!$F$41)*(CR$6&lt;=Model!$C$5)</f>
        <v>0</v>
      </c>
      <c r="CS86" s="266">
        <f>-CS41/12*$C$6*(Model!CS$5&gt;'Inputs &amp; Drivers'!$F$41)*(CS$6&lt;=Model!$C$5)</f>
        <v>0</v>
      </c>
      <c r="CT86" s="266">
        <f>-CT41/12*$C$6*(Model!CT$5&gt;'Inputs &amp; Drivers'!$F$41)*(CT$6&lt;=Model!$C$5)</f>
        <v>0</v>
      </c>
      <c r="CU86" s="266">
        <f>-CU41/12*$C$6*(Model!CU$5&gt;'Inputs &amp; Drivers'!$F$41)*(CU$6&lt;=Model!$C$5)</f>
        <v>0</v>
      </c>
      <c r="CV86" s="266">
        <f>-CV41/12*$C$6*(Model!CV$5&gt;'Inputs &amp; Drivers'!$F$41)*(CV$6&lt;=Model!$C$5)</f>
        <v>0</v>
      </c>
      <c r="CW86" s="266">
        <f>-CW41/12*$C$6*(Model!CW$5&gt;'Inputs &amp; Drivers'!$F$41)*(CW$6&lt;=Model!$C$5)</f>
        <v>0</v>
      </c>
      <c r="CX86" s="266">
        <f>-CX41/12*$C$6*(Model!CX$5&gt;'Inputs &amp; Drivers'!$F$41)*(CX$6&lt;=Model!$C$5)</f>
        <v>0</v>
      </c>
      <c r="CY86" s="266">
        <f>-CY41/12*$C$6*(Model!CY$5&gt;'Inputs &amp; Drivers'!$F$41)*(CY$6&lt;=Model!$C$5)</f>
        <v>0</v>
      </c>
      <c r="CZ86" s="266">
        <f>-CZ41/12*$C$6*(Model!CZ$5&gt;'Inputs &amp; Drivers'!$F$41)*(CZ$6&lt;=Model!$C$5)</f>
        <v>0</v>
      </c>
      <c r="DA86" s="266">
        <f>-DA41/12*$C$6*(Model!DA$5&gt;'Inputs &amp; Drivers'!$F$41)*(DA$6&lt;=Model!$C$5)</f>
        <v>0</v>
      </c>
      <c r="DB86" s="266">
        <f>-DB41/12*$C$6*(Model!DB$5&gt;'Inputs &amp; Drivers'!$F$41)*(DB$6&lt;=Model!$C$5)</f>
        <v>0</v>
      </c>
      <c r="DC86" s="266">
        <f>-DC41/12*$C$6*(Model!DC$5&gt;'Inputs &amp; Drivers'!$F$41)*(DC$6&lt;=Model!$C$5)</f>
        <v>0</v>
      </c>
      <c r="DD86" s="266">
        <f>-DD41/12*$C$6*(Model!DD$5&gt;'Inputs &amp; Drivers'!$F$41)*(DD$6&lt;=Model!$C$5)</f>
        <v>0</v>
      </c>
      <c r="DE86" s="266">
        <f>-DE41/12*$C$6*(Model!DE$5&gt;'Inputs &amp; Drivers'!$F$41)*(DE$6&lt;=Model!$C$5)</f>
        <v>0</v>
      </c>
      <c r="DF86" s="266">
        <f>-DF41/12*$C$6*(Model!DF$5&gt;'Inputs &amp; Drivers'!$F$41)*(DF$6&lt;=Model!$C$5)</f>
        <v>0</v>
      </c>
      <c r="DG86" s="266">
        <f>-DG41/12*$C$6*(Model!DG$5&gt;'Inputs &amp; Drivers'!$F$41)*(DG$6&lt;=Model!$C$5)</f>
        <v>0</v>
      </c>
      <c r="DH86" s="266">
        <f>-DH41/12*$C$6*(Model!DH$5&gt;'Inputs &amp; Drivers'!$F$41)*(DH$6&lt;=Model!$C$5)</f>
        <v>0</v>
      </c>
      <c r="DI86" s="266">
        <f>-DI41/12*$C$6*(Model!DI$5&gt;'Inputs &amp; Drivers'!$F$41)*(DI$6&lt;=Model!$C$5)</f>
        <v>0</v>
      </c>
      <c r="DJ86" s="266">
        <f>-DJ41/12*$C$6*(Model!DJ$5&gt;'Inputs &amp; Drivers'!$F$41)*(DJ$6&lt;=Model!$C$5)</f>
        <v>0</v>
      </c>
      <c r="DK86" s="266">
        <f>-DK41/12*$C$6*(Model!DK$5&gt;'Inputs &amp; Drivers'!$F$41)*(DK$6&lt;=Model!$C$5)</f>
        <v>0</v>
      </c>
      <c r="DL86" s="266">
        <f>-DL41/12*$C$6*(Model!DL$5&gt;'Inputs &amp; Drivers'!$F$41)*(DL$6&lt;=Model!$C$5)</f>
        <v>0</v>
      </c>
      <c r="DM86" s="266">
        <f>-DM41/12*$C$6*(Model!DM$5&gt;'Inputs &amp; Drivers'!$F$41)*(DM$6&lt;=Model!$C$5)</f>
        <v>0</v>
      </c>
      <c r="DN86" s="266">
        <f>-DN41/12*$C$6*(Model!DN$5&gt;'Inputs &amp; Drivers'!$F$41)*(DN$6&lt;=Model!$C$5)</f>
        <v>0</v>
      </c>
      <c r="DO86" s="266">
        <f>-DO41/12*$C$6*(Model!DO$5&gt;'Inputs &amp; Drivers'!$F$41)*(DO$6&lt;=Model!$C$5)</f>
        <v>0</v>
      </c>
      <c r="DP86" s="266">
        <f>-DP41/12*$C$6*(Model!DP$5&gt;'Inputs &amp; Drivers'!$F$41)*(DP$6&lt;=Model!$C$5)</f>
        <v>0</v>
      </c>
      <c r="DQ86" s="266">
        <f>-DQ41/12*$C$6*(Model!DQ$5&gt;'Inputs &amp; Drivers'!$F$41)*(DQ$6&lt;=Model!$C$5)</f>
        <v>0</v>
      </c>
      <c r="DR86" s="266">
        <f>-DR41/12*$C$6*(Model!DR$5&gt;'Inputs &amp; Drivers'!$F$41)*(DR$6&lt;=Model!$C$5)</f>
        <v>0</v>
      </c>
      <c r="DS86" s="266">
        <f>-DS41/12*$C$6*(Model!DS$5&gt;'Inputs &amp; Drivers'!$F$41)*(DS$6&lt;=Model!$C$5)</f>
        <v>0</v>
      </c>
      <c r="DT86" s="266">
        <f>-DT41/12*$C$6*(Model!DT$5&gt;'Inputs &amp; Drivers'!$F$41)*(DT$6&lt;=Model!$C$5)</f>
        <v>0</v>
      </c>
      <c r="DU86" s="266">
        <f>-DU41/12*$C$6*(Model!DU$5&gt;'Inputs &amp; Drivers'!$F$41)*(DU$6&lt;=Model!$C$5)</f>
        <v>0</v>
      </c>
      <c r="DV86" s="266">
        <f>-DV41/12*$C$6*(Model!DV$5&gt;'Inputs &amp; Drivers'!$F$41)*(DV$6&lt;=Model!$C$5)</f>
        <v>0</v>
      </c>
      <c r="DW86" s="266">
        <f>-DW41/12*$C$6*(Model!DW$5&gt;'Inputs &amp; Drivers'!$F$41)*(DW$6&lt;=Model!$C$5)</f>
        <v>0</v>
      </c>
      <c r="DX86" s="266">
        <f>-DX41/12*$C$6*(Model!DX$5&gt;'Inputs &amp; Drivers'!$F$41)*(DX$6&lt;=Model!$C$5)</f>
        <v>0</v>
      </c>
      <c r="DY86" s="266">
        <f>-DY41/12*$C$6*(Model!DY$5&gt;'Inputs &amp; Drivers'!$F$41)*(DY$6&lt;=Model!$C$5)</f>
        <v>0</v>
      </c>
      <c r="DZ86" s="266">
        <f>-DZ41/12*$C$6*(Model!DZ$5&gt;'Inputs &amp; Drivers'!$F$41)*(DZ$6&lt;=Model!$C$5)</f>
        <v>0</v>
      </c>
      <c r="EA86" s="266">
        <f>-EA41/12*$C$6*(Model!EA$5&gt;'Inputs &amp; Drivers'!$F$41)*(EA$6&lt;=Model!$C$5)</f>
        <v>0</v>
      </c>
      <c r="EB86" s="266">
        <f>-EB41/12*$C$6*(Model!EB$5&gt;'Inputs &amp; Drivers'!$F$41)*(EB$6&lt;=Model!$C$5)</f>
        <v>0</v>
      </c>
      <c r="EC86" s="266">
        <f>-EC41/12*$C$6*(Model!EC$5&gt;'Inputs &amp; Drivers'!$F$41)*(EC$6&lt;=Model!$C$5)</f>
        <v>0</v>
      </c>
      <c r="ED86" s="266">
        <f>-ED41/12*$C$6*(Model!ED$5&gt;'Inputs &amp; Drivers'!$F$41)*(ED$6&lt;=Model!$C$5)</f>
        <v>0</v>
      </c>
      <c r="EE86" s="266">
        <f>-EE41/12*$C$6*(Model!EE$5&gt;'Inputs &amp; Drivers'!$F$41)*(EE$6&lt;=Model!$C$5)</f>
        <v>0</v>
      </c>
      <c r="EF86" s="266">
        <f>-EF41/12*$C$6*(Model!EF$5&gt;'Inputs &amp; Drivers'!$F$41)*(EF$6&lt;=Model!$C$5)</f>
        <v>0</v>
      </c>
      <c r="EG86" s="266">
        <f>-EG41/12*$C$6*(Model!EG$5&gt;'Inputs &amp; Drivers'!$F$41)*(EG$6&lt;=Model!$C$5)</f>
        <v>0</v>
      </c>
      <c r="EH86" s="266">
        <f>-EH41/12*$C$6*(Model!EH$5&gt;'Inputs &amp; Drivers'!$F$41)*(EH$6&lt;=Model!$C$5)</f>
        <v>0</v>
      </c>
      <c r="EI86" s="266">
        <f>-EI41/12*$C$6*(Model!EI$5&gt;'Inputs &amp; Drivers'!$F$41)*(EI$6&lt;=Model!$C$5)</f>
        <v>0</v>
      </c>
      <c r="EJ86" s="266">
        <f>-EJ41/12*$C$6*(Model!EJ$5&gt;'Inputs &amp; Drivers'!$F$41)*(EJ$6&lt;=Model!$C$5)</f>
        <v>0</v>
      </c>
      <c r="EK86" s="67"/>
      <c r="EL86" s="12">
        <f t="shared" ref="EL86:EW86" si="225">SUMIF($H$4:$EJ$4,EL$5,$H86:$EJ86)</f>
        <v>0</v>
      </c>
      <c r="EM86" s="12">
        <f t="shared" si="225"/>
        <v>0</v>
      </c>
      <c r="EN86" s="12">
        <f t="shared" si="225"/>
        <v>-30000</v>
      </c>
      <c r="EO86" s="12">
        <f t="shared" si="225"/>
        <v>-45000</v>
      </c>
      <c r="EP86" s="12">
        <f t="shared" si="225"/>
        <v>0</v>
      </c>
      <c r="EQ86" s="12">
        <f t="shared" si="225"/>
        <v>0</v>
      </c>
      <c r="ER86" s="12">
        <f t="shared" si="225"/>
        <v>0</v>
      </c>
      <c r="ES86" s="12">
        <f t="shared" si="225"/>
        <v>0</v>
      </c>
      <c r="ET86" s="12">
        <f t="shared" si="225"/>
        <v>0</v>
      </c>
      <c r="EU86" s="12">
        <f t="shared" si="225"/>
        <v>0</v>
      </c>
      <c r="EV86" s="12">
        <f t="shared" si="225"/>
        <v>0</v>
      </c>
      <c r="EW86" s="12">
        <f t="shared" si="225"/>
        <v>0</v>
      </c>
    </row>
    <row r="87" spans="2:153" x14ac:dyDescent="0.4">
      <c r="B87" s="42" t="s">
        <v>61</v>
      </c>
      <c r="C87" s="43"/>
      <c r="D87" s="43"/>
      <c r="E87" s="44"/>
      <c r="F87" s="223">
        <f>SUM(F86:F86)</f>
        <v>-75000</v>
      </c>
      <c r="G87" s="222"/>
      <c r="H87" s="222"/>
      <c r="I87" s="221">
        <f t="shared" ref="I87:AN87" si="226">SUM(I86:I86)</f>
        <v>0</v>
      </c>
      <c r="J87" s="221">
        <f t="shared" si="226"/>
        <v>0</v>
      </c>
      <c r="K87" s="221">
        <f t="shared" si="226"/>
        <v>0</v>
      </c>
      <c r="L87" s="221">
        <f t="shared" si="226"/>
        <v>0</v>
      </c>
      <c r="M87" s="221">
        <f t="shared" si="226"/>
        <v>0</v>
      </c>
      <c r="N87" s="221">
        <f t="shared" si="226"/>
        <v>0</v>
      </c>
      <c r="O87" s="221">
        <f t="shared" si="226"/>
        <v>0</v>
      </c>
      <c r="P87" s="221">
        <f t="shared" si="226"/>
        <v>0</v>
      </c>
      <c r="Q87" s="221">
        <f t="shared" si="226"/>
        <v>0</v>
      </c>
      <c r="R87" s="221">
        <f t="shared" si="226"/>
        <v>0</v>
      </c>
      <c r="S87" s="221">
        <f t="shared" si="226"/>
        <v>0</v>
      </c>
      <c r="T87" s="221">
        <f t="shared" si="226"/>
        <v>0</v>
      </c>
      <c r="U87" s="221">
        <f t="shared" si="226"/>
        <v>0</v>
      </c>
      <c r="V87" s="221">
        <f t="shared" si="226"/>
        <v>0</v>
      </c>
      <c r="W87" s="221">
        <f t="shared" si="226"/>
        <v>0</v>
      </c>
      <c r="X87" s="221">
        <f t="shared" si="226"/>
        <v>0</v>
      </c>
      <c r="Y87" s="221">
        <f t="shared" si="226"/>
        <v>-3750</v>
      </c>
      <c r="Z87" s="221">
        <f t="shared" si="226"/>
        <v>-3750</v>
      </c>
      <c r="AA87" s="221">
        <f t="shared" si="226"/>
        <v>-3750</v>
      </c>
      <c r="AB87" s="221">
        <f t="shared" si="226"/>
        <v>-3750</v>
      </c>
      <c r="AC87" s="221">
        <f t="shared" si="226"/>
        <v>-3750</v>
      </c>
      <c r="AD87" s="221">
        <f t="shared" si="226"/>
        <v>-3750</v>
      </c>
      <c r="AE87" s="221">
        <f t="shared" si="226"/>
        <v>-3750</v>
      </c>
      <c r="AF87" s="221">
        <f t="shared" si="226"/>
        <v>-3750</v>
      </c>
      <c r="AG87" s="221">
        <f t="shared" si="226"/>
        <v>-3750</v>
      </c>
      <c r="AH87" s="221">
        <f t="shared" si="226"/>
        <v>-3750</v>
      </c>
      <c r="AI87" s="221">
        <f t="shared" si="226"/>
        <v>-3750</v>
      </c>
      <c r="AJ87" s="221">
        <f t="shared" si="226"/>
        <v>-3750</v>
      </c>
      <c r="AK87" s="221">
        <f t="shared" si="226"/>
        <v>-3750</v>
      </c>
      <c r="AL87" s="221">
        <f t="shared" si="226"/>
        <v>-3750</v>
      </c>
      <c r="AM87" s="221">
        <f t="shared" si="226"/>
        <v>-3750</v>
      </c>
      <c r="AN87" s="221">
        <f t="shared" si="226"/>
        <v>-3750</v>
      </c>
      <c r="AO87" s="221">
        <f t="shared" ref="AO87:BT87" si="227">SUM(AO86:AO86)</f>
        <v>-3750</v>
      </c>
      <c r="AP87" s="221">
        <f t="shared" si="227"/>
        <v>-3750</v>
      </c>
      <c r="AQ87" s="221">
        <f t="shared" si="227"/>
        <v>-3750</v>
      </c>
      <c r="AR87" s="221">
        <f t="shared" si="227"/>
        <v>-3750</v>
      </c>
      <c r="AS87" s="221">
        <f t="shared" si="227"/>
        <v>0</v>
      </c>
      <c r="AT87" s="221">
        <f t="shared" si="227"/>
        <v>0</v>
      </c>
      <c r="AU87" s="221">
        <f t="shared" si="227"/>
        <v>0</v>
      </c>
      <c r="AV87" s="221">
        <f t="shared" si="227"/>
        <v>0</v>
      </c>
      <c r="AW87" s="221">
        <f t="shared" si="227"/>
        <v>0</v>
      </c>
      <c r="AX87" s="221">
        <f t="shared" si="227"/>
        <v>0</v>
      </c>
      <c r="AY87" s="221">
        <f t="shared" si="227"/>
        <v>0</v>
      </c>
      <c r="AZ87" s="221">
        <f t="shared" si="227"/>
        <v>0</v>
      </c>
      <c r="BA87" s="221">
        <f t="shared" si="227"/>
        <v>0</v>
      </c>
      <c r="BB87" s="221">
        <f t="shared" si="227"/>
        <v>0</v>
      </c>
      <c r="BC87" s="221">
        <f t="shared" si="227"/>
        <v>0</v>
      </c>
      <c r="BD87" s="221">
        <f t="shared" si="227"/>
        <v>0</v>
      </c>
      <c r="BE87" s="221">
        <f t="shared" si="227"/>
        <v>0</v>
      </c>
      <c r="BF87" s="221">
        <f t="shared" si="227"/>
        <v>0</v>
      </c>
      <c r="BG87" s="221">
        <f t="shared" si="227"/>
        <v>0</v>
      </c>
      <c r="BH87" s="221">
        <f t="shared" si="227"/>
        <v>0</v>
      </c>
      <c r="BI87" s="221">
        <f t="shared" si="227"/>
        <v>0</v>
      </c>
      <c r="BJ87" s="221">
        <f t="shared" si="227"/>
        <v>0</v>
      </c>
      <c r="BK87" s="221">
        <f t="shared" si="227"/>
        <v>0</v>
      </c>
      <c r="BL87" s="221">
        <f t="shared" si="227"/>
        <v>0</v>
      </c>
      <c r="BM87" s="221">
        <f t="shared" si="227"/>
        <v>0</v>
      </c>
      <c r="BN87" s="221">
        <f t="shared" si="227"/>
        <v>0</v>
      </c>
      <c r="BO87" s="221">
        <f t="shared" si="227"/>
        <v>0</v>
      </c>
      <c r="BP87" s="221">
        <f t="shared" si="227"/>
        <v>0</v>
      </c>
      <c r="BQ87" s="221">
        <f t="shared" si="227"/>
        <v>0</v>
      </c>
      <c r="BR87" s="221">
        <f t="shared" si="227"/>
        <v>0</v>
      </c>
      <c r="BS87" s="221">
        <f t="shared" si="227"/>
        <v>0</v>
      </c>
      <c r="BT87" s="221">
        <f t="shared" si="227"/>
        <v>0</v>
      </c>
      <c r="BU87" s="221">
        <f t="shared" ref="BU87:CZ87" si="228">SUM(BU86:BU86)</f>
        <v>0</v>
      </c>
      <c r="BV87" s="221">
        <f t="shared" si="228"/>
        <v>0</v>
      </c>
      <c r="BW87" s="221">
        <f t="shared" si="228"/>
        <v>0</v>
      </c>
      <c r="BX87" s="221">
        <f t="shared" si="228"/>
        <v>0</v>
      </c>
      <c r="BY87" s="221">
        <f t="shared" si="228"/>
        <v>0</v>
      </c>
      <c r="BZ87" s="221">
        <f t="shared" si="228"/>
        <v>0</v>
      </c>
      <c r="CA87" s="221">
        <f t="shared" si="228"/>
        <v>0</v>
      </c>
      <c r="CB87" s="221">
        <f t="shared" si="228"/>
        <v>0</v>
      </c>
      <c r="CC87" s="221">
        <f t="shared" si="228"/>
        <v>0</v>
      </c>
      <c r="CD87" s="221">
        <f t="shared" si="228"/>
        <v>0</v>
      </c>
      <c r="CE87" s="221">
        <f t="shared" si="228"/>
        <v>0</v>
      </c>
      <c r="CF87" s="221">
        <f t="shared" si="228"/>
        <v>0</v>
      </c>
      <c r="CG87" s="221">
        <f t="shared" si="228"/>
        <v>0</v>
      </c>
      <c r="CH87" s="221">
        <f t="shared" si="228"/>
        <v>0</v>
      </c>
      <c r="CI87" s="221">
        <f t="shared" si="228"/>
        <v>0</v>
      </c>
      <c r="CJ87" s="221">
        <f t="shared" si="228"/>
        <v>0</v>
      </c>
      <c r="CK87" s="221">
        <f t="shared" si="228"/>
        <v>0</v>
      </c>
      <c r="CL87" s="221">
        <f t="shared" si="228"/>
        <v>0</v>
      </c>
      <c r="CM87" s="221">
        <f t="shared" si="228"/>
        <v>0</v>
      </c>
      <c r="CN87" s="221">
        <f t="shared" si="228"/>
        <v>0</v>
      </c>
      <c r="CO87" s="221">
        <f t="shared" si="228"/>
        <v>0</v>
      </c>
      <c r="CP87" s="221">
        <f t="shared" si="228"/>
        <v>0</v>
      </c>
      <c r="CQ87" s="221">
        <f t="shared" si="228"/>
        <v>0</v>
      </c>
      <c r="CR87" s="221">
        <f t="shared" si="228"/>
        <v>0</v>
      </c>
      <c r="CS87" s="221">
        <f t="shared" si="228"/>
        <v>0</v>
      </c>
      <c r="CT87" s="221">
        <f t="shared" si="228"/>
        <v>0</v>
      </c>
      <c r="CU87" s="221">
        <f t="shared" si="228"/>
        <v>0</v>
      </c>
      <c r="CV87" s="221">
        <f t="shared" si="228"/>
        <v>0</v>
      </c>
      <c r="CW87" s="221">
        <f t="shared" si="228"/>
        <v>0</v>
      </c>
      <c r="CX87" s="221">
        <f t="shared" si="228"/>
        <v>0</v>
      </c>
      <c r="CY87" s="221">
        <f t="shared" si="228"/>
        <v>0</v>
      </c>
      <c r="CZ87" s="221">
        <f t="shared" si="228"/>
        <v>0</v>
      </c>
      <c r="DA87" s="221">
        <f t="shared" ref="DA87:EF87" si="229">SUM(DA86:DA86)</f>
        <v>0</v>
      </c>
      <c r="DB87" s="221">
        <f t="shared" si="229"/>
        <v>0</v>
      </c>
      <c r="DC87" s="221">
        <f t="shared" si="229"/>
        <v>0</v>
      </c>
      <c r="DD87" s="221">
        <f t="shared" si="229"/>
        <v>0</v>
      </c>
      <c r="DE87" s="221">
        <f t="shared" si="229"/>
        <v>0</v>
      </c>
      <c r="DF87" s="221">
        <f t="shared" si="229"/>
        <v>0</v>
      </c>
      <c r="DG87" s="221">
        <f t="shared" si="229"/>
        <v>0</v>
      </c>
      <c r="DH87" s="221">
        <f t="shared" si="229"/>
        <v>0</v>
      </c>
      <c r="DI87" s="221">
        <f t="shared" si="229"/>
        <v>0</v>
      </c>
      <c r="DJ87" s="221">
        <f t="shared" si="229"/>
        <v>0</v>
      </c>
      <c r="DK87" s="221">
        <f t="shared" si="229"/>
        <v>0</v>
      </c>
      <c r="DL87" s="221">
        <f t="shared" si="229"/>
        <v>0</v>
      </c>
      <c r="DM87" s="221">
        <f t="shared" si="229"/>
        <v>0</v>
      </c>
      <c r="DN87" s="221">
        <f t="shared" si="229"/>
        <v>0</v>
      </c>
      <c r="DO87" s="221">
        <f t="shared" si="229"/>
        <v>0</v>
      </c>
      <c r="DP87" s="221">
        <f t="shared" si="229"/>
        <v>0</v>
      </c>
      <c r="DQ87" s="221">
        <f t="shared" si="229"/>
        <v>0</v>
      </c>
      <c r="DR87" s="221">
        <f t="shared" si="229"/>
        <v>0</v>
      </c>
      <c r="DS87" s="221">
        <f t="shared" si="229"/>
        <v>0</v>
      </c>
      <c r="DT87" s="221">
        <f t="shared" si="229"/>
        <v>0</v>
      </c>
      <c r="DU87" s="221">
        <f t="shared" si="229"/>
        <v>0</v>
      </c>
      <c r="DV87" s="221">
        <f t="shared" si="229"/>
        <v>0</v>
      </c>
      <c r="DW87" s="221">
        <f t="shared" si="229"/>
        <v>0</v>
      </c>
      <c r="DX87" s="221">
        <f t="shared" si="229"/>
        <v>0</v>
      </c>
      <c r="DY87" s="221">
        <f t="shared" si="229"/>
        <v>0</v>
      </c>
      <c r="DZ87" s="221">
        <f t="shared" si="229"/>
        <v>0</v>
      </c>
      <c r="EA87" s="221">
        <f t="shared" si="229"/>
        <v>0</v>
      </c>
      <c r="EB87" s="221">
        <f t="shared" si="229"/>
        <v>0</v>
      </c>
      <c r="EC87" s="221">
        <f t="shared" si="229"/>
        <v>0</v>
      </c>
      <c r="ED87" s="221">
        <f t="shared" si="229"/>
        <v>0</v>
      </c>
      <c r="EE87" s="221">
        <f t="shared" si="229"/>
        <v>0</v>
      </c>
      <c r="EF87" s="221">
        <f t="shared" si="229"/>
        <v>0</v>
      </c>
      <c r="EG87" s="221">
        <f>SUM(EG86:EG86)</f>
        <v>0</v>
      </c>
      <c r="EH87" s="221">
        <f>SUM(EH86:EH86)</f>
        <v>0</v>
      </c>
      <c r="EI87" s="221">
        <f>SUM(EI86:EI86)</f>
        <v>0</v>
      </c>
      <c r="EJ87" s="221">
        <f>SUM(EJ86:EJ86)</f>
        <v>0</v>
      </c>
      <c r="EK87" s="118"/>
      <c r="EL87" s="221">
        <f t="shared" ref="EL87:EW87" si="230">SUM(EL86:EL86)</f>
        <v>0</v>
      </c>
      <c r="EM87" s="221">
        <f t="shared" si="230"/>
        <v>0</v>
      </c>
      <c r="EN87" s="221">
        <f t="shared" si="230"/>
        <v>-30000</v>
      </c>
      <c r="EO87" s="221">
        <f t="shared" si="230"/>
        <v>-45000</v>
      </c>
      <c r="EP87" s="221">
        <f t="shared" si="230"/>
        <v>0</v>
      </c>
      <c r="EQ87" s="221">
        <f t="shared" si="230"/>
        <v>0</v>
      </c>
      <c r="ER87" s="221">
        <f t="shared" si="230"/>
        <v>0</v>
      </c>
      <c r="ES87" s="221">
        <f t="shared" si="230"/>
        <v>0</v>
      </c>
      <c r="ET87" s="221">
        <f t="shared" si="230"/>
        <v>0</v>
      </c>
      <c r="EU87" s="221">
        <f t="shared" si="230"/>
        <v>0</v>
      </c>
      <c r="EV87" s="221">
        <f t="shared" si="230"/>
        <v>0</v>
      </c>
      <c r="EW87" s="221">
        <f t="shared" si="230"/>
        <v>0</v>
      </c>
    </row>
    <row r="89" spans="2:153" x14ac:dyDescent="0.4">
      <c r="B89" s="10" t="s">
        <v>282</v>
      </c>
    </row>
    <row r="90" spans="2:153" x14ac:dyDescent="0.4">
      <c r="B90" s="1" t="s">
        <v>263</v>
      </c>
      <c r="F90" s="12" cm="1">
        <f t="array" ref="F90">SUMPRODUCT(($H90:$EJ90)*($H$6:$EJ$6&lt;=$C$5))</f>
        <v>-5700000</v>
      </c>
      <c r="H90" s="243">
        <f>-'Development Budget'!$E$9*H14</f>
        <v>-5700000</v>
      </c>
      <c r="I90" s="243">
        <f>-'Development Budget'!$E$9*I14</f>
        <v>0</v>
      </c>
      <c r="J90" s="243">
        <f>-'Development Budget'!$E$9*J14</f>
        <v>0</v>
      </c>
      <c r="K90" s="243">
        <f>-'Development Budget'!$E$9*K14</f>
        <v>0</v>
      </c>
      <c r="L90" s="243">
        <f>-'Development Budget'!$E$9*L14</f>
        <v>0</v>
      </c>
      <c r="M90" s="243">
        <f>-'Development Budget'!$E$9*M14</f>
        <v>0</v>
      </c>
      <c r="N90" s="243">
        <f>-'Development Budget'!$E$9*N14</f>
        <v>0</v>
      </c>
      <c r="O90" s="243">
        <f>-'Development Budget'!$E$9*O14</f>
        <v>0</v>
      </c>
      <c r="P90" s="243">
        <f>-'Development Budget'!$E$9*P14</f>
        <v>0</v>
      </c>
      <c r="Q90" s="243">
        <f>-'Development Budget'!$E$9*Q14</f>
        <v>0</v>
      </c>
      <c r="R90" s="243">
        <f>-'Development Budget'!$E$9*R14</f>
        <v>0</v>
      </c>
      <c r="S90" s="243">
        <f>-'Development Budget'!$E$9*S14</f>
        <v>0</v>
      </c>
      <c r="T90" s="243">
        <f>-'Development Budget'!$E$9*T14</f>
        <v>0</v>
      </c>
      <c r="U90" s="243">
        <f>-'Development Budget'!$E$9*U14</f>
        <v>0</v>
      </c>
      <c r="V90" s="243">
        <f>-'Development Budget'!$E$9*V14</f>
        <v>0</v>
      </c>
      <c r="W90" s="243">
        <f>-'Development Budget'!$E$9*W14</f>
        <v>0</v>
      </c>
      <c r="X90" s="243">
        <f>-'Development Budget'!$E$9*X14</f>
        <v>0</v>
      </c>
      <c r="Y90" s="243">
        <f>-'Development Budget'!$E$9*Y14</f>
        <v>0</v>
      </c>
      <c r="Z90" s="243">
        <f>-'Development Budget'!$E$9*Z14</f>
        <v>0</v>
      </c>
      <c r="AA90" s="243">
        <f>-'Development Budget'!$E$9*AA14</f>
        <v>0</v>
      </c>
      <c r="AB90" s="243">
        <f>-'Development Budget'!$E$9*AB14</f>
        <v>0</v>
      </c>
      <c r="AC90" s="243">
        <f>-'Development Budget'!$E$9*AC14</f>
        <v>0</v>
      </c>
      <c r="AD90" s="243">
        <f>-'Development Budget'!$E$9*AD14</f>
        <v>0</v>
      </c>
      <c r="AE90" s="243">
        <f>-'Development Budget'!$E$9*AE14</f>
        <v>0</v>
      </c>
      <c r="AF90" s="243">
        <f>-'Development Budget'!$E$9*AF14</f>
        <v>0</v>
      </c>
      <c r="AG90" s="243">
        <f>-'Development Budget'!$E$9*AG14</f>
        <v>0</v>
      </c>
      <c r="AH90" s="243">
        <f>-'Development Budget'!$E$9*AH14</f>
        <v>0</v>
      </c>
      <c r="AI90" s="243">
        <f>-'Development Budget'!$E$9*AI14</f>
        <v>0</v>
      </c>
      <c r="AJ90" s="243">
        <f>-'Development Budget'!$E$9*AJ14</f>
        <v>0</v>
      </c>
      <c r="AK90" s="243">
        <f>-'Development Budget'!$E$9*AK14</f>
        <v>0</v>
      </c>
      <c r="AL90" s="243">
        <f>-'Development Budget'!$E$9*AL14</f>
        <v>0</v>
      </c>
      <c r="AM90" s="243">
        <f>-'Development Budget'!$E$9*AM14</f>
        <v>0</v>
      </c>
      <c r="AN90" s="243">
        <f>-'Development Budget'!$E$9*AN14</f>
        <v>0</v>
      </c>
      <c r="AO90" s="243">
        <f>-'Development Budget'!$E$9*AO14</f>
        <v>0</v>
      </c>
      <c r="AP90" s="243">
        <f>-'Development Budget'!$E$9*AP14</f>
        <v>0</v>
      </c>
      <c r="AQ90" s="243">
        <f>-'Development Budget'!$E$9*AQ14</f>
        <v>0</v>
      </c>
      <c r="AR90" s="243">
        <f>-'Development Budget'!$E$9*AR14</f>
        <v>0</v>
      </c>
      <c r="AS90" s="243">
        <f>-'Development Budget'!$E$9*AS14</f>
        <v>0</v>
      </c>
      <c r="AT90" s="243">
        <f>-'Development Budget'!$E$9*AT14</f>
        <v>0</v>
      </c>
      <c r="AU90" s="243">
        <f>-'Development Budget'!$E$9*AU14</f>
        <v>0</v>
      </c>
      <c r="AV90" s="243">
        <f>-'Development Budget'!$E$9*AV14</f>
        <v>0</v>
      </c>
      <c r="AW90" s="243">
        <f>-'Development Budget'!$E$9*AW14</f>
        <v>0</v>
      </c>
      <c r="AX90" s="243">
        <f>-'Development Budget'!$E$9*AX14</f>
        <v>0</v>
      </c>
      <c r="AY90" s="243">
        <f>-'Development Budget'!$E$9*AY14</f>
        <v>0</v>
      </c>
      <c r="AZ90" s="243">
        <f>-'Development Budget'!$E$9*AZ14</f>
        <v>0</v>
      </c>
      <c r="BA90" s="243">
        <f>-'Development Budget'!$E$9*BA14</f>
        <v>0</v>
      </c>
      <c r="BB90" s="243">
        <f>-'Development Budget'!$E$9*BB14</f>
        <v>0</v>
      </c>
      <c r="BC90" s="243">
        <f>-'Development Budget'!$E$9*BC14</f>
        <v>0</v>
      </c>
      <c r="BD90" s="243">
        <f>-'Development Budget'!$E$9*BD14</f>
        <v>0</v>
      </c>
      <c r="BE90" s="243">
        <f>-'Development Budget'!$E$9*BE14</f>
        <v>0</v>
      </c>
      <c r="BF90" s="243">
        <f>-'Development Budget'!$E$9*BF14</f>
        <v>0</v>
      </c>
      <c r="BG90" s="243">
        <f>-'Development Budget'!$E$9*BG14</f>
        <v>0</v>
      </c>
      <c r="BH90" s="243">
        <f>-'Development Budget'!$E$9*BH14</f>
        <v>0</v>
      </c>
      <c r="BI90" s="243">
        <f>-'Development Budget'!$E$9*BI14</f>
        <v>0</v>
      </c>
      <c r="BJ90" s="243">
        <f>-'Development Budget'!$E$9*BJ14</f>
        <v>0</v>
      </c>
      <c r="BK90" s="243">
        <f>-'Development Budget'!$E$9*BK14</f>
        <v>0</v>
      </c>
      <c r="BL90" s="243">
        <f>-'Development Budget'!$E$9*BL14</f>
        <v>0</v>
      </c>
      <c r="BM90" s="243">
        <f>-'Development Budget'!$E$9*BM14</f>
        <v>0</v>
      </c>
      <c r="BN90" s="243">
        <f>-'Development Budget'!$E$9*BN14</f>
        <v>0</v>
      </c>
      <c r="BO90" s="243">
        <f>-'Development Budget'!$E$9*BO14</f>
        <v>0</v>
      </c>
      <c r="BP90" s="243">
        <f>-'Development Budget'!$E$9*BP14</f>
        <v>0</v>
      </c>
      <c r="BQ90" s="243">
        <f>-'Development Budget'!$E$9*BQ14</f>
        <v>0</v>
      </c>
      <c r="BR90" s="243">
        <f>-'Development Budget'!$E$9*BR14</f>
        <v>0</v>
      </c>
      <c r="BS90" s="243">
        <f>-'Development Budget'!$E$9*BS14</f>
        <v>0</v>
      </c>
      <c r="BT90" s="243">
        <f>-'Development Budget'!$E$9*BT14</f>
        <v>0</v>
      </c>
      <c r="BU90" s="243">
        <f>-'Development Budget'!$E$9*BU14</f>
        <v>0</v>
      </c>
      <c r="BV90" s="243">
        <f>-'Development Budget'!$E$9*BV14</f>
        <v>0</v>
      </c>
      <c r="BW90" s="243">
        <f>-'Development Budget'!$E$9*BW14</f>
        <v>0</v>
      </c>
      <c r="BX90" s="243">
        <f>-'Development Budget'!$E$9*BX14</f>
        <v>0</v>
      </c>
      <c r="BY90" s="243">
        <f>-'Development Budget'!$E$9*BY14</f>
        <v>0</v>
      </c>
      <c r="BZ90" s="243">
        <f>-'Development Budget'!$E$9*BZ14</f>
        <v>0</v>
      </c>
      <c r="CA90" s="243">
        <f>-'Development Budget'!$E$9*CA14</f>
        <v>0</v>
      </c>
      <c r="CB90" s="243">
        <f>-'Development Budget'!$E$9*CB14</f>
        <v>0</v>
      </c>
      <c r="CC90" s="243">
        <f>-'Development Budget'!$E$9*CC14</f>
        <v>0</v>
      </c>
      <c r="CD90" s="243">
        <f>-'Development Budget'!$E$9*CD14</f>
        <v>0</v>
      </c>
      <c r="CE90" s="243">
        <f>-'Development Budget'!$E$9*CE14</f>
        <v>0</v>
      </c>
      <c r="CF90" s="243">
        <f>-'Development Budget'!$E$9*CF14</f>
        <v>0</v>
      </c>
      <c r="CG90" s="243">
        <f>-'Development Budget'!$E$9*CG14</f>
        <v>0</v>
      </c>
      <c r="CH90" s="243">
        <f>-'Development Budget'!$E$9*CH14</f>
        <v>0</v>
      </c>
      <c r="CI90" s="243">
        <f>-'Development Budget'!$E$9*CI14</f>
        <v>0</v>
      </c>
      <c r="CJ90" s="243">
        <f>-'Development Budget'!$E$9*CJ14</f>
        <v>0</v>
      </c>
      <c r="CK90" s="243">
        <f>-'Development Budget'!$E$9*CK14</f>
        <v>0</v>
      </c>
      <c r="CL90" s="243">
        <f>-'Development Budget'!$E$9*CL14</f>
        <v>0</v>
      </c>
      <c r="CM90" s="243">
        <f>-'Development Budget'!$E$9*CM14</f>
        <v>0</v>
      </c>
      <c r="CN90" s="243">
        <f>-'Development Budget'!$E$9*CN14</f>
        <v>0</v>
      </c>
      <c r="CO90" s="243">
        <f>-'Development Budget'!$E$9*CO14</f>
        <v>0</v>
      </c>
      <c r="CP90" s="243">
        <f>-'Development Budget'!$E$9*CP14</f>
        <v>0</v>
      </c>
      <c r="CQ90" s="243">
        <f>-'Development Budget'!$E$9*CQ14</f>
        <v>0</v>
      </c>
      <c r="CR90" s="243">
        <f>-'Development Budget'!$E$9*CR14</f>
        <v>0</v>
      </c>
      <c r="CS90" s="243">
        <f>-'Development Budget'!$E$9*CS14</f>
        <v>0</v>
      </c>
      <c r="CT90" s="243">
        <f>-'Development Budget'!$E$9*CT14</f>
        <v>0</v>
      </c>
      <c r="CU90" s="243">
        <f>-'Development Budget'!$E$9*CU14</f>
        <v>0</v>
      </c>
      <c r="CV90" s="243">
        <f>-'Development Budget'!$E$9*CV14</f>
        <v>0</v>
      </c>
      <c r="CW90" s="243">
        <f>-'Development Budget'!$E$9*CW14</f>
        <v>0</v>
      </c>
      <c r="CX90" s="243">
        <f>-'Development Budget'!$E$9*CX14</f>
        <v>0</v>
      </c>
      <c r="CY90" s="243">
        <f>-'Development Budget'!$E$9*CY14</f>
        <v>0</v>
      </c>
      <c r="CZ90" s="243">
        <f>-'Development Budget'!$E$9*CZ14</f>
        <v>0</v>
      </c>
      <c r="DA90" s="243">
        <f>-'Development Budget'!$E$9*DA14</f>
        <v>0</v>
      </c>
      <c r="DB90" s="243">
        <f>-'Development Budget'!$E$9*DB14</f>
        <v>0</v>
      </c>
      <c r="DC90" s="243">
        <f>-'Development Budget'!$E$9*DC14</f>
        <v>0</v>
      </c>
      <c r="DD90" s="243">
        <f>-'Development Budget'!$E$9*DD14</f>
        <v>0</v>
      </c>
      <c r="DE90" s="243">
        <f>-'Development Budget'!$E$9*DE14</f>
        <v>0</v>
      </c>
      <c r="DF90" s="243">
        <f>-'Development Budget'!$E$9*DF14</f>
        <v>0</v>
      </c>
      <c r="DG90" s="243">
        <f>-'Development Budget'!$E$9*DG14</f>
        <v>0</v>
      </c>
      <c r="DH90" s="243">
        <f>-'Development Budget'!$E$9*DH14</f>
        <v>0</v>
      </c>
      <c r="DI90" s="243">
        <f>-'Development Budget'!$E$9*DI14</f>
        <v>0</v>
      </c>
      <c r="DJ90" s="243">
        <f>-'Development Budget'!$E$9*DJ14</f>
        <v>0</v>
      </c>
      <c r="DK90" s="243">
        <f>-'Development Budget'!$E$9*DK14</f>
        <v>0</v>
      </c>
      <c r="DL90" s="243">
        <f>-'Development Budget'!$E$9*DL14</f>
        <v>0</v>
      </c>
      <c r="DM90" s="243">
        <f>-'Development Budget'!$E$9*DM14</f>
        <v>0</v>
      </c>
      <c r="DN90" s="243">
        <f>-'Development Budget'!$E$9*DN14</f>
        <v>0</v>
      </c>
      <c r="DO90" s="243">
        <f>-'Development Budget'!$E$9*DO14</f>
        <v>0</v>
      </c>
      <c r="DP90" s="243">
        <f>-'Development Budget'!$E$9*DP14</f>
        <v>0</v>
      </c>
      <c r="DQ90" s="243">
        <f>-'Development Budget'!$E$9*DQ14</f>
        <v>0</v>
      </c>
      <c r="DR90" s="243">
        <f>-'Development Budget'!$E$9*DR14</f>
        <v>0</v>
      </c>
      <c r="DS90" s="243">
        <f>-'Development Budget'!$E$9*DS14</f>
        <v>0</v>
      </c>
      <c r="DT90" s="243">
        <f>-'Development Budget'!$E$9*DT14</f>
        <v>0</v>
      </c>
      <c r="DU90" s="243">
        <f>-'Development Budget'!$E$9*DU14</f>
        <v>0</v>
      </c>
      <c r="DV90" s="243">
        <f>-'Development Budget'!$E$9*DV14</f>
        <v>0</v>
      </c>
      <c r="DW90" s="243">
        <f>-'Development Budget'!$E$9*DW14</f>
        <v>0</v>
      </c>
      <c r="DX90" s="243">
        <f>-'Development Budget'!$E$9*DX14</f>
        <v>0</v>
      </c>
      <c r="DY90" s="243">
        <f>-'Development Budget'!$E$9*DY14</f>
        <v>0</v>
      </c>
      <c r="DZ90" s="243">
        <f>-'Development Budget'!$E$9*DZ14</f>
        <v>0</v>
      </c>
      <c r="EA90" s="243">
        <f>-'Development Budget'!$E$9*EA14</f>
        <v>0</v>
      </c>
      <c r="EB90" s="243">
        <f>-'Development Budget'!$E$9*EB14</f>
        <v>0</v>
      </c>
      <c r="EC90" s="243">
        <f>-'Development Budget'!$E$9*EC14</f>
        <v>0</v>
      </c>
      <c r="ED90" s="243">
        <f>-'Development Budget'!$E$9*ED14</f>
        <v>0</v>
      </c>
      <c r="EE90" s="243">
        <f>-'Development Budget'!$E$9*EE14</f>
        <v>0</v>
      </c>
      <c r="EF90" s="243">
        <f>-'Development Budget'!$E$9*EF14</f>
        <v>0</v>
      </c>
      <c r="EG90" s="243">
        <f>-'Development Budget'!$E$9*EG14</f>
        <v>0</v>
      </c>
      <c r="EH90" s="243">
        <f>-'Development Budget'!$E$9*EH14</f>
        <v>0</v>
      </c>
      <c r="EI90" s="243">
        <f>-'Development Budget'!$E$9*EI14</f>
        <v>0</v>
      </c>
      <c r="EJ90" s="243">
        <f>-'Development Budget'!$E$9*EJ14</f>
        <v>0</v>
      </c>
      <c r="EL90" s="12">
        <f t="shared" ref="EL90:EW95" si="231">SUMIF($H$4:$EJ$4,EL$5,$H90:$EJ90)</f>
        <v>-5700000</v>
      </c>
      <c r="EM90" s="12">
        <f t="shared" si="231"/>
        <v>0</v>
      </c>
      <c r="EN90" s="12">
        <f t="shared" si="231"/>
        <v>0</v>
      </c>
      <c r="EO90" s="12">
        <f t="shared" si="231"/>
        <v>0</v>
      </c>
      <c r="EP90" s="12">
        <f t="shared" si="231"/>
        <v>0</v>
      </c>
      <c r="EQ90" s="12">
        <f t="shared" si="231"/>
        <v>0</v>
      </c>
      <c r="ER90" s="12">
        <f t="shared" si="231"/>
        <v>0</v>
      </c>
      <c r="ES90" s="12">
        <f t="shared" si="231"/>
        <v>0</v>
      </c>
      <c r="ET90" s="12">
        <f t="shared" si="231"/>
        <v>0</v>
      </c>
      <c r="EU90" s="12">
        <f t="shared" si="231"/>
        <v>0</v>
      </c>
      <c r="EV90" s="12">
        <f t="shared" si="231"/>
        <v>0</v>
      </c>
      <c r="EW90" s="12">
        <f t="shared" si="231"/>
        <v>0</v>
      </c>
    </row>
    <row r="91" spans="2:153" x14ac:dyDescent="0.4">
      <c r="B91" s="1" t="s">
        <v>236</v>
      </c>
      <c r="F91" s="12" cm="1">
        <f t="array" ref="F91">SUMPRODUCT(($H91:$EJ91)*($H$6:$EJ$6&lt;=$C$5))</f>
        <v>-5460000</v>
      </c>
      <c r="H91" s="243">
        <f>-'Development Budget'!$E$15*H15</f>
        <v>0</v>
      </c>
      <c r="I91" s="243">
        <f>-'Development Budget'!$E$15*I15</f>
        <v>0</v>
      </c>
      <c r="J91" s="243">
        <f>-'Development Budget'!$E$15*J15</f>
        <v>0</v>
      </c>
      <c r="K91" s="243">
        <f>-'Development Budget'!$E$15*K15</f>
        <v>-273000</v>
      </c>
      <c r="L91" s="243">
        <f>-'Development Budget'!$E$15*L15</f>
        <v>-273000</v>
      </c>
      <c r="M91" s="243">
        <f>-'Development Budget'!$E$15*M15</f>
        <v>-273000</v>
      </c>
      <c r="N91" s="243">
        <f>-'Development Budget'!$E$15*N15</f>
        <v>-273000</v>
      </c>
      <c r="O91" s="243">
        <f>-'Development Budget'!$E$15*O15</f>
        <v>-273000</v>
      </c>
      <c r="P91" s="243">
        <f>-'Development Budget'!$E$15*P15</f>
        <v>-273000</v>
      </c>
      <c r="Q91" s="243">
        <f>-'Development Budget'!$E$15*Q15</f>
        <v>-273000</v>
      </c>
      <c r="R91" s="243">
        <f>-'Development Budget'!$E$15*R15</f>
        <v>-273000</v>
      </c>
      <c r="S91" s="243">
        <f>-'Development Budget'!$E$15*S15</f>
        <v>-273000</v>
      </c>
      <c r="T91" s="243">
        <f>-'Development Budget'!$E$15*T15</f>
        <v>-273000</v>
      </c>
      <c r="U91" s="243">
        <f>-'Development Budget'!$E$15*U15</f>
        <v>-273000</v>
      </c>
      <c r="V91" s="243">
        <f>-'Development Budget'!$E$15*V15</f>
        <v>-273000</v>
      </c>
      <c r="W91" s="243">
        <f>-'Development Budget'!$E$15*W15</f>
        <v>-273000</v>
      </c>
      <c r="X91" s="243">
        <f>-'Development Budget'!$E$15*X15</f>
        <v>-273000</v>
      </c>
      <c r="Y91" s="243">
        <f>-'Development Budget'!$E$15*Y15</f>
        <v>-273000</v>
      </c>
      <c r="Z91" s="243">
        <f>-'Development Budget'!$E$15*Z15</f>
        <v>-273000</v>
      </c>
      <c r="AA91" s="243">
        <f>-'Development Budget'!$E$15*AA15</f>
        <v>-273000</v>
      </c>
      <c r="AB91" s="243">
        <f>-'Development Budget'!$E$15*AB15</f>
        <v>-273000</v>
      </c>
      <c r="AC91" s="243">
        <f>-'Development Budget'!$E$15*AC15</f>
        <v>-273000</v>
      </c>
      <c r="AD91" s="243">
        <f>-'Development Budget'!$E$15*AD15</f>
        <v>-273000</v>
      </c>
      <c r="AE91" s="243">
        <f>-'Development Budget'!$E$15*AE15</f>
        <v>0</v>
      </c>
      <c r="AF91" s="243">
        <f>-'Development Budget'!$E$15*AF15</f>
        <v>0</v>
      </c>
      <c r="AG91" s="243">
        <f>-'Development Budget'!$E$15*AG15</f>
        <v>0</v>
      </c>
      <c r="AH91" s="243">
        <f>-'Development Budget'!$E$15*AH15</f>
        <v>0</v>
      </c>
      <c r="AI91" s="243">
        <f>-'Development Budget'!$E$15*AI15</f>
        <v>0</v>
      </c>
      <c r="AJ91" s="243">
        <f>-'Development Budget'!$E$15*AJ15</f>
        <v>0</v>
      </c>
      <c r="AK91" s="243">
        <f>-'Development Budget'!$E$15*AK15</f>
        <v>0</v>
      </c>
      <c r="AL91" s="243">
        <f>-'Development Budget'!$E$15*AL15</f>
        <v>0</v>
      </c>
      <c r="AM91" s="243">
        <f>-'Development Budget'!$E$15*AM15</f>
        <v>0</v>
      </c>
      <c r="AN91" s="243">
        <f>-'Development Budget'!$E$15*AN15</f>
        <v>0</v>
      </c>
      <c r="AO91" s="243">
        <f>-'Development Budget'!$E$15*AO15</f>
        <v>0</v>
      </c>
      <c r="AP91" s="243">
        <f>-'Development Budget'!$E$15*AP15</f>
        <v>0</v>
      </c>
      <c r="AQ91" s="243">
        <f>-'Development Budget'!$E$15*AQ15</f>
        <v>0</v>
      </c>
      <c r="AR91" s="243">
        <f>-'Development Budget'!$E$15*AR15</f>
        <v>0</v>
      </c>
      <c r="AS91" s="243">
        <f>-'Development Budget'!$E$15*AS15</f>
        <v>0</v>
      </c>
      <c r="AT91" s="243">
        <f>-'Development Budget'!$E$15*AT15</f>
        <v>0</v>
      </c>
      <c r="AU91" s="243">
        <f>-'Development Budget'!$E$15*AU15</f>
        <v>0</v>
      </c>
      <c r="AV91" s="243">
        <f>-'Development Budget'!$E$15*AV15</f>
        <v>0</v>
      </c>
      <c r="AW91" s="243">
        <f>-'Development Budget'!$E$15*AW15</f>
        <v>0</v>
      </c>
      <c r="AX91" s="243">
        <f>-'Development Budget'!$E$15*AX15</f>
        <v>0</v>
      </c>
      <c r="AY91" s="243">
        <f>-'Development Budget'!$E$15*AY15</f>
        <v>0</v>
      </c>
      <c r="AZ91" s="243">
        <f>-'Development Budget'!$E$15*AZ15</f>
        <v>0</v>
      </c>
      <c r="BA91" s="243">
        <f>-'Development Budget'!$E$15*BA15</f>
        <v>0</v>
      </c>
      <c r="BB91" s="243">
        <f>-'Development Budget'!$E$15*BB15</f>
        <v>0</v>
      </c>
      <c r="BC91" s="243">
        <f>-'Development Budget'!$E$15*BC15</f>
        <v>0</v>
      </c>
      <c r="BD91" s="243">
        <f>-'Development Budget'!$E$15*BD15</f>
        <v>0</v>
      </c>
      <c r="BE91" s="243">
        <f>-'Development Budget'!$E$15*BE15</f>
        <v>0</v>
      </c>
      <c r="BF91" s="243">
        <f>-'Development Budget'!$E$15*BF15</f>
        <v>0</v>
      </c>
      <c r="BG91" s="243">
        <f>-'Development Budget'!$E$15*BG15</f>
        <v>0</v>
      </c>
      <c r="BH91" s="243">
        <f>-'Development Budget'!$E$15*BH15</f>
        <v>0</v>
      </c>
      <c r="BI91" s="243">
        <f>-'Development Budget'!$E$15*BI15</f>
        <v>0</v>
      </c>
      <c r="BJ91" s="243">
        <f>-'Development Budget'!$E$15*BJ15</f>
        <v>0</v>
      </c>
      <c r="BK91" s="243">
        <f>-'Development Budget'!$E$15*BK15</f>
        <v>0</v>
      </c>
      <c r="BL91" s="243">
        <f>-'Development Budget'!$E$15*BL15</f>
        <v>0</v>
      </c>
      <c r="BM91" s="243">
        <f>-'Development Budget'!$E$15*BM15</f>
        <v>0</v>
      </c>
      <c r="BN91" s="243">
        <f>-'Development Budget'!$E$15*BN15</f>
        <v>0</v>
      </c>
      <c r="BO91" s="243">
        <f>-'Development Budget'!$E$15*BO15</f>
        <v>0</v>
      </c>
      <c r="BP91" s="243">
        <f>-'Development Budget'!$E$15*BP15</f>
        <v>0</v>
      </c>
      <c r="BQ91" s="243">
        <f>-'Development Budget'!$E$15*BQ15</f>
        <v>0</v>
      </c>
      <c r="BR91" s="243">
        <f>-'Development Budget'!$E$15*BR15</f>
        <v>0</v>
      </c>
      <c r="BS91" s="243">
        <f>-'Development Budget'!$E$15*BS15</f>
        <v>0</v>
      </c>
      <c r="BT91" s="243">
        <f>-'Development Budget'!$E$15*BT15</f>
        <v>0</v>
      </c>
      <c r="BU91" s="243">
        <f>-'Development Budget'!$E$15*BU15</f>
        <v>0</v>
      </c>
      <c r="BV91" s="243">
        <f>-'Development Budget'!$E$15*BV15</f>
        <v>0</v>
      </c>
      <c r="BW91" s="243">
        <f>-'Development Budget'!$E$15*BW15</f>
        <v>0</v>
      </c>
      <c r="BX91" s="243">
        <f>-'Development Budget'!$E$15*BX15</f>
        <v>0</v>
      </c>
      <c r="BY91" s="243">
        <f>-'Development Budget'!$E$15*BY15</f>
        <v>0</v>
      </c>
      <c r="BZ91" s="243">
        <f>-'Development Budget'!$E$15*BZ15</f>
        <v>0</v>
      </c>
      <c r="CA91" s="243">
        <f>-'Development Budget'!$E$15*CA15</f>
        <v>0</v>
      </c>
      <c r="CB91" s="243">
        <f>-'Development Budget'!$E$15*CB15</f>
        <v>0</v>
      </c>
      <c r="CC91" s="243">
        <f>-'Development Budget'!$E$15*CC15</f>
        <v>0</v>
      </c>
      <c r="CD91" s="243">
        <f>-'Development Budget'!$E$15*CD15</f>
        <v>0</v>
      </c>
      <c r="CE91" s="243">
        <f>-'Development Budget'!$E$15*CE15</f>
        <v>0</v>
      </c>
      <c r="CF91" s="243">
        <f>-'Development Budget'!$E$15*CF15</f>
        <v>0</v>
      </c>
      <c r="CG91" s="243">
        <f>-'Development Budget'!$E$15*CG15</f>
        <v>0</v>
      </c>
      <c r="CH91" s="243">
        <f>-'Development Budget'!$E$15*CH15</f>
        <v>0</v>
      </c>
      <c r="CI91" s="243">
        <f>-'Development Budget'!$E$15*CI15</f>
        <v>0</v>
      </c>
      <c r="CJ91" s="243">
        <f>-'Development Budget'!$E$15*CJ15</f>
        <v>0</v>
      </c>
      <c r="CK91" s="243">
        <f>-'Development Budget'!$E$15*CK15</f>
        <v>0</v>
      </c>
      <c r="CL91" s="243">
        <f>-'Development Budget'!$E$15*CL15</f>
        <v>0</v>
      </c>
      <c r="CM91" s="243">
        <f>-'Development Budget'!$E$15*CM15</f>
        <v>0</v>
      </c>
      <c r="CN91" s="243">
        <f>-'Development Budget'!$E$15*CN15</f>
        <v>0</v>
      </c>
      <c r="CO91" s="243">
        <f>-'Development Budget'!$E$15*CO15</f>
        <v>0</v>
      </c>
      <c r="CP91" s="243">
        <f>-'Development Budget'!$E$15*CP15</f>
        <v>0</v>
      </c>
      <c r="CQ91" s="243">
        <f>-'Development Budget'!$E$15*CQ15</f>
        <v>0</v>
      </c>
      <c r="CR91" s="243">
        <f>-'Development Budget'!$E$15*CR15</f>
        <v>0</v>
      </c>
      <c r="CS91" s="243">
        <f>-'Development Budget'!$E$15*CS15</f>
        <v>0</v>
      </c>
      <c r="CT91" s="243">
        <f>-'Development Budget'!$E$15*CT15</f>
        <v>0</v>
      </c>
      <c r="CU91" s="243">
        <f>-'Development Budget'!$E$15*CU15</f>
        <v>0</v>
      </c>
      <c r="CV91" s="243">
        <f>-'Development Budget'!$E$15*CV15</f>
        <v>0</v>
      </c>
      <c r="CW91" s="243">
        <f>-'Development Budget'!$E$15*CW15</f>
        <v>0</v>
      </c>
      <c r="CX91" s="243">
        <f>-'Development Budget'!$E$15*CX15</f>
        <v>0</v>
      </c>
      <c r="CY91" s="243">
        <f>-'Development Budget'!$E$15*CY15</f>
        <v>0</v>
      </c>
      <c r="CZ91" s="243">
        <f>-'Development Budget'!$E$15*CZ15</f>
        <v>0</v>
      </c>
      <c r="DA91" s="243">
        <f>-'Development Budget'!$E$15*DA15</f>
        <v>0</v>
      </c>
      <c r="DB91" s="243">
        <f>-'Development Budget'!$E$15*DB15</f>
        <v>0</v>
      </c>
      <c r="DC91" s="243">
        <f>-'Development Budget'!$E$15*DC15</f>
        <v>0</v>
      </c>
      <c r="DD91" s="243">
        <f>-'Development Budget'!$E$15*DD15</f>
        <v>0</v>
      </c>
      <c r="DE91" s="243">
        <f>-'Development Budget'!$E$15*DE15</f>
        <v>0</v>
      </c>
      <c r="DF91" s="243">
        <f>-'Development Budget'!$E$15*DF15</f>
        <v>0</v>
      </c>
      <c r="DG91" s="243">
        <f>-'Development Budget'!$E$15*DG15</f>
        <v>0</v>
      </c>
      <c r="DH91" s="243">
        <f>-'Development Budget'!$E$15*DH15</f>
        <v>0</v>
      </c>
      <c r="DI91" s="243">
        <f>-'Development Budget'!$E$15*DI15</f>
        <v>0</v>
      </c>
      <c r="DJ91" s="243">
        <f>-'Development Budget'!$E$15*DJ15</f>
        <v>0</v>
      </c>
      <c r="DK91" s="243">
        <f>-'Development Budget'!$E$15*DK15</f>
        <v>0</v>
      </c>
      <c r="DL91" s="243">
        <f>-'Development Budget'!$E$15*DL15</f>
        <v>0</v>
      </c>
      <c r="DM91" s="243">
        <f>-'Development Budget'!$E$15*DM15</f>
        <v>0</v>
      </c>
      <c r="DN91" s="243">
        <f>-'Development Budget'!$E$15*DN15</f>
        <v>0</v>
      </c>
      <c r="DO91" s="243">
        <f>-'Development Budget'!$E$15*DO15</f>
        <v>0</v>
      </c>
      <c r="DP91" s="243">
        <f>-'Development Budget'!$E$15*DP15</f>
        <v>0</v>
      </c>
      <c r="DQ91" s="243">
        <f>-'Development Budget'!$E$15*DQ15</f>
        <v>0</v>
      </c>
      <c r="DR91" s="243">
        <f>-'Development Budget'!$E$15*DR15</f>
        <v>0</v>
      </c>
      <c r="DS91" s="243">
        <f>-'Development Budget'!$E$15*DS15</f>
        <v>0</v>
      </c>
      <c r="DT91" s="243">
        <f>-'Development Budget'!$E$15*DT15</f>
        <v>0</v>
      </c>
      <c r="DU91" s="243">
        <f>-'Development Budget'!$E$15*DU15</f>
        <v>0</v>
      </c>
      <c r="DV91" s="243">
        <f>-'Development Budget'!$E$15*DV15</f>
        <v>0</v>
      </c>
      <c r="DW91" s="243">
        <f>-'Development Budget'!$E$15*DW15</f>
        <v>0</v>
      </c>
      <c r="DX91" s="243">
        <f>-'Development Budget'!$E$15*DX15</f>
        <v>0</v>
      </c>
      <c r="DY91" s="243">
        <f>-'Development Budget'!$E$15*DY15</f>
        <v>0</v>
      </c>
      <c r="DZ91" s="243">
        <f>-'Development Budget'!$E$15*DZ15</f>
        <v>0</v>
      </c>
      <c r="EA91" s="243">
        <f>-'Development Budget'!$E$15*EA15</f>
        <v>0</v>
      </c>
      <c r="EB91" s="243">
        <f>-'Development Budget'!$E$15*EB15</f>
        <v>0</v>
      </c>
      <c r="EC91" s="243">
        <f>-'Development Budget'!$E$15*EC15</f>
        <v>0</v>
      </c>
      <c r="ED91" s="243">
        <f>-'Development Budget'!$E$15*ED15</f>
        <v>0</v>
      </c>
      <c r="EE91" s="243">
        <f>-'Development Budget'!$E$15*EE15</f>
        <v>0</v>
      </c>
      <c r="EF91" s="243">
        <f>-'Development Budget'!$E$15*EF15</f>
        <v>0</v>
      </c>
      <c r="EG91" s="243">
        <f>-'Development Budget'!$E$15*EG15</f>
        <v>0</v>
      </c>
      <c r="EH91" s="243">
        <f>-'Development Budget'!$E$15*EH15</f>
        <v>0</v>
      </c>
      <c r="EI91" s="243">
        <f>-'Development Budget'!$E$15*EI15</f>
        <v>0</v>
      </c>
      <c r="EJ91" s="243">
        <f>-'Development Budget'!$E$15*EJ15</f>
        <v>0</v>
      </c>
      <c r="EL91" s="12">
        <f t="shared" si="231"/>
        <v>0</v>
      </c>
      <c r="EM91" s="12">
        <f t="shared" si="231"/>
        <v>-2730000</v>
      </c>
      <c r="EN91" s="12">
        <f t="shared" si="231"/>
        <v>-2730000</v>
      </c>
      <c r="EO91" s="12">
        <f t="shared" si="231"/>
        <v>0</v>
      </c>
      <c r="EP91" s="12">
        <f t="shared" si="231"/>
        <v>0</v>
      </c>
      <c r="EQ91" s="12">
        <f t="shared" si="231"/>
        <v>0</v>
      </c>
      <c r="ER91" s="12">
        <f t="shared" si="231"/>
        <v>0</v>
      </c>
      <c r="ES91" s="12">
        <f t="shared" si="231"/>
        <v>0</v>
      </c>
      <c r="ET91" s="12">
        <f t="shared" si="231"/>
        <v>0</v>
      </c>
      <c r="EU91" s="12">
        <f t="shared" si="231"/>
        <v>0</v>
      </c>
      <c r="EV91" s="12">
        <f t="shared" si="231"/>
        <v>0</v>
      </c>
      <c r="EW91" s="12">
        <f t="shared" si="231"/>
        <v>0</v>
      </c>
    </row>
    <row r="92" spans="2:153" x14ac:dyDescent="0.4">
      <c r="B92" s="1" t="s">
        <v>235</v>
      </c>
      <c r="F92" s="12" cm="1">
        <f t="array" ref="F92">SUMPRODUCT(($H92:$EJ92)*($H$6:$EJ$6&lt;=$C$5))</f>
        <v>-44500000</v>
      </c>
      <c r="H92" s="243">
        <f>-'Development Budget'!$E$21*H16</f>
        <v>0</v>
      </c>
      <c r="I92" s="243">
        <f>-'Development Budget'!$E$21*I16</f>
        <v>0</v>
      </c>
      <c r="J92" s="243">
        <f>-'Development Budget'!$E$21*J16</f>
        <v>0</v>
      </c>
      <c r="K92" s="243">
        <f>-'Development Budget'!$E$21*K16</f>
        <v>0</v>
      </c>
      <c r="L92" s="243">
        <f>-'Development Budget'!$E$21*L16</f>
        <v>0</v>
      </c>
      <c r="M92" s="243">
        <f>-'Development Budget'!$E$21*M16</f>
        <v>0</v>
      </c>
      <c r="N92" s="243">
        <f>-'Development Budget'!$E$21*N16</f>
        <v>0</v>
      </c>
      <c r="O92" s="243">
        <f>-'Development Budget'!$E$21*O16</f>
        <v>-2781250</v>
      </c>
      <c r="P92" s="243">
        <f>-'Development Budget'!$E$21*P16</f>
        <v>-2781250</v>
      </c>
      <c r="Q92" s="243">
        <f>-'Development Budget'!$E$21*Q16</f>
        <v>-2781250</v>
      </c>
      <c r="R92" s="243">
        <f>-'Development Budget'!$E$21*R16</f>
        <v>-2781250</v>
      </c>
      <c r="S92" s="243">
        <f>-'Development Budget'!$E$21*S16</f>
        <v>-2781250</v>
      </c>
      <c r="T92" s="243">
        <f>-'Development Budget'!$E$21*T16</f>
        <v>-2781250</v>
      </c>
      <c r="U92" s="243">
        <f>-'Development Budget'!$E$21*U16</f>
        <v>-2781250</v>
      </c>
      <c r="V92" s="243">
        <f>-'Development Budget'!$E$21*V16</f>
        <v>-2781250</v>
      </c>
      <c r="W92" s="243">
        <f>-'Development Budget'!$E$21*W16</f>
        <v>-2781250</v>
      </c>
      <c r="X92" s="243">
        <f>-'Development Budget'!$E$21*X16</f>
        <v>-2781250</v>
      </c>
      <c r="Y92" s="243">
        <f>-'Development Budget'!$E$21*Y16</f>
        <v>-2781250</v>
      </c>
      <c r="Z92" s="243">
        <f>-'Development Budget'!$E$21*Z16</f>
        <v>-2781250</v>
      </c>
      <c r="AA92" s="243">
        <f>-'Development Budget'!$E$21*AA16</f>
        <v>-2781250</v>
      </c>
      <c r="AB92" s="243">
        <f>-'Development Budget'!$E$21*AB16</f>
        <v>-2781250</v>
      </c>
      <c r="AC92" s="243">
        <f>-'Development Budget'!$E$21*AC16</f>
        <v>-2781250</v>
      </c>
      <c r="AD92" s="243">
        <f>-'Development Budget'!$E$21*AD16</f>
        <v>-2781250</v>
      </c>
      <c r="AE92" s="243">
        <f>-'Development Budget'!$E$21*AE16</f>
        <v>0</v>
      </c>
      <c r="AF92" s="243">
        <f>-'Development Budget'!$E$21*AF16</f>
        <v>0</v>
      </c>
      <c r="AG92" s="243">
        <f>-'Development Budget'!$E$21*AG16</f>
        <v>0</v>
      </c>
      <c r="AH92" s="243">
        <f>-'Development Budget'!$E$21*AH16</f>
        <v>0</v>
      </c>
      <c r="AI92" s="243">
        <f>-'Development Budget'!$E$21*AI16</f>
        <v>0</v>
      </c>
      <c r="AJ92" s="243">
        <f>-'Development Budget'!$E$21*AJ16</f>
        <v>0</v>
      </c>
      <c r="AK92" s="243">
        <f>-'Development Budget'!$E$21*AK16</f>
        <v>0</v>
      </c>
      <c r="AL92" s="243">
        <f>-'Development Budget'!$E$21*AL16</f>
        <v>0</v>
      </c>
      <c r="AM92" s="243">
        <f>-'Development Budget'!$E$21*AM16</f>
        <v>0</v>
      </c>
      <c r="AN92" s="243">
        <f>-'Development Budget'!$E$21*AN16</f>
        <v>0</v>
      </c>
      <c r="AO92" s="243">
        <f>-'Development Budget'!$E$21*AO16</f>
        <v>0</v>
      </c>
      <c r="AP92" s="243">
        <f>-'Development Budget'!$E$21*AP16</f>
        <v>0</v>
      </c>
      <c r="AQ92" s="243">
        <f>-'Development Budget'!$E$21*AQ16</f>
        <v>0</v>
      </c>
      <c r="AR92" s="243">
        <f>-'Development Budget'!$E$21*AR16</f>
        <v>0</v>
      </c>
      <c r="AS92" s="243">
        <f>-'Development Budget'!$E$21*AS16</f>
        <v>0</v>
      </c>
      <c r="AT92" s="243">
        <f>-'Development Budget'!$E$21*AT16</f>
        <v>0</v>
      </c>
      <c r="AU92" s="243">
        <f>-'Development Budget'!$E$21*AU16</f>
        <v>0</v>
      </c>
      <c r="AV92" s="243">
        <f>-'Development Budget'!$E$21*AV16</f>
        <v>0</v>
      </c>
      <c r="AW92" s="243">
        <f>-'Development Budget'!$E$21*AW16</f>
        <v>0</v>
      </c>
      <c r="AX92" s="243">
        <f>-'Development Budget'!$E$21*AX16</f>
        <v>0</v>
      </c>
      <c r="AY92" s="243">
        <f>-'Development Budget'!$E$21*AY16</f>
        <v>0</v>
      </c>
      <c r="AZ92" s="243">
        <f>-'Development Budget'!$E$21*AZ16</f>
        <v>0</v>
      </c>
      <c r="BA92" s="243">
        <f>-'Development Budget'!$E$21*BA16</f>
        <v>0</v>
      </c>
      <c r="BB92" s="243">
        <f>-'Development Budget'!$E$21*BB16</f>
        <v>0</v>
      </c>
      <c r="BC92" s="243">
        <f>-'Development Budget'!$E$21*BC16</f>
        <v>0</v>
      </c>
      <c r="BD92" s="243">
        <f>-'Development Budget'!$E$21*BD16</f>
        <v>0</v>
      </c>
      <c r="BE92" s="243">
        <f>-'Development Budget'!$E$21*BE16</f>
        <v>0</v>
      </c>
      <c r="BF92" s="243">
        <f>-'Development Budget'!$E$21*BF16</f>
        <v>0</v>
      </c>
      <c r="BG92" s="243">
        <f>-'Development Budget'!$E$21*BG16</f>
        <v>0</v>
      </c>
      <c r="BH92" s="243">
        <f>-'Development Budget'!$E$21*BH16</f>
        <v>0</v>
      </c>
      <c r="BI92" s="243">
        <f>-'Development Budget'!$E$21*BI16</f>
        <v>0</v>
      </c>
      <c r="BJ92" s="243">
        <f>-'Development Budget'!$E$21*BJ16</f>
        <v>0</v>
      </c>
      <c r="BK92" s="243">
        <f>-'Development Budget'!$E$21*BK16</f>
        <v>0</v>
      </c>
      <c r="BL92" s="243">
        <f>-'Development Budget'!$E$21*BL16</f>
        <v>0</v>
      </c>
      <c r="BM92" s="243">
        <f>-'Development Budget'!$E$21*BM16</f>
        <v>0</v>
      </c>
      <c r="BN92" s="243">
        <f>-'Development Budget'!$E$21*BN16</f>
        <v>0</v>
      </c>
      <c r="BO92" s="243">
        <f>-'Development Budget'!$E$21*BO16</f>
        <v>0</v>
      </c>
      <c r="BP92" s="243">
        <f>-'Development Budget'!$E$21*BP16</f>
        <v>0</v>
      </c>
      <c r="BQ92" s="243">
        <f>-'Development Budget'!$E$21*BQ16</f>
        <v>0</v>
      </c>
      <c r="BR92" s="243">
        <f>-'Development Budget'!$E$21*BR16</f>
        <v>0</v>
      </c>
      <c r="BS92" s="243">
        <f>-'Development Budget'!$E$21*BS16</f>
        <v>0</v>
      </c>
      <c r="BT92" s="243">
        <f>-'Development Budget'!$E$21*BT16</f>
        <v>0</v>
      </c>
      <c r="BU92" s="243">
        <f>-'Development Budget'!$E$21*BU16</f>
        <v>0</v>
      </c>
      <c r="BV92" s="243">
        <f>-'Development Budget'!$E$21*BV16</f>
        <v>0</v>
      </c>
      <c r="BW92" s="243">
        <f>-'Development Budget'!$E$21*BW16</f>
        <v>0</v>
      </c>
      <c r="BX92" s="243">
        <f>-'Development Budget'!$E$21*BX16</f>
        <v>0</v>
      </c>
      <c r="BY92" s="243">
        <f>-'Development Budget'!$E$21*BY16</f>
        <v>0</v>
      </c>
      <c r="BZ92" s="243">
        <f>-'Development Budget'!$E$21*BZ16</f>
        <v>0</v>
      </c>
      <c r="CA92" s="243">
        <f>-'Development Budget'!$E$21*CA16</f>
        <v>0</v>
      </c>
      <c r="CB92" s="243">
        <f>-'Development Budget'!$E$21*CB16</f>
        <v>0</v>
      </c>
      <c r="CC92" s="243">
        <f>-'Development Budget'!$E$21*CC16</f>
        <v>0</v>
      </c>
      <c r="CD92" s="243">
        <f>-'Development Budget'!$E$21*CD16</f>
        <v>0</v>
      </c>
      <c r="CE92" s="243">
        <f>-'Development Budget'!$E$21*CE16</f>
        <v>0</v>
      </c>
      <c r="CF92" s="243">
        <f>-'Development Budget'!$E$21*CF16</f>
        <v>0</v>
      </c>
      <c r="CG92" s="243">
        <f>-'Development Budget'!$E$21*CG16</f>
        <v>0</v>
      </c>
      <c r="CH92" s="243">
        <f>-'Development Budget'!$E$21*CH16</f>
        <v>0</v>
      </c>
      <c r="CI92" s="243">
        <f>-'Development Budget'!$E$21*CI16</f>
        <v>0</v>
      </c>
      <c r="CJ92" s="243">
        <f>-'Development Budget'!$E$21*CJ16</f>
        <v>0</v>
      </c>
      <c r="CK92" s="243">
        <f>-'Development Budget'!$E$21*CK16</f>
        <v>0</v>
      </c>
      <c r="CL92" s="243">
        <f>-'Development Budget'!$E$21*CL16</f>
        <v>0</v>
      </c>
      <c r="CM92" s="243">
        <f>-'Development Budget'!$E$21*CM16</f>
        <v>0</v>
      </c>
      <c r="CN92" s="243">
        <f>-'Development Budget'!$E$21*CN16</f>
        <v>0</v>
      </c>
      <c r="CO92" s="243">
        <f>-'Development Budget'!$E$21*CO16</f>
        <v>0</v>
      </c>
      <c r="CP92" s="243">
        <f>-'Development Budget'!$E$21*CP16</f>
        <v>0</v>
      </c>
      <c r="CQ92" s="243">
        <f>-'Development Budget'!$E$21*CQ16</f>
        <v>0</v>
      </c>
      <c r="CR92" s="243">
        <f>-'Development Budget'!$E$21*CR16</f>
        <v>0</v>
      </c>
      <c r="CS92" s="243">
        <f>-'Development Budget'!$E$21*CS16</f>
        <v>0</v>
      </c>
      <c r="CT92" s="243">
        <f>-'Development Budget'!$E$21*CT16</f>
        <v>0</v>
      </c>
      <c r="CU92" s="243">
        <f>-'Development Budget'!$E$21*CU16</f>
        <v>0</v>
      </c>
      <c r="CV92" s="243">
        <f>-'Development Budget'!$E$21*CV16</f>
        <v>0</v>
      </c>
      <c r="CW92" s="243">
        <f>-'Development Budget'!$E$21*CW16</f>
        <v>0</v>
      </c>
      <c r="CX92" s="243">
        <f>-'Development Budget'!$E$21*CX16</f>
        <v>0</v>
      </c>
      <c r="CY92" s="243">
        <f>-'Development Budget'!$E$21*CY16</f>
        <v>0</v>
      </c>
      <c r="CZ92" s="243">
        <f>-'Development Budget'!$E$21*CZ16</f>
        <v>0</v>
      </c>
      <c r="DA92" s="243">
        <f>-'Development Budget'!$E$21*DA16</f>
        <v>0</v>
      </c>
      <c r="DB92" s="243">
        <f>-'Development Budget'!$E$21*DB16</f>
        <v>0</v>
      </c>
      <c r="DC92" s="243">
        <f>-'Development Budget'!$E$21*DC16</f>
        <v>0</v>
      </c>
      <c r="DD92" s="243">
        <f>-'Development Budget'!$E$21*DD16</f>
        <v>0</v>
      </c>
      <c r="DE92" s="243">
        <f>-'Development Budget'!$E$21*DE16</f>
        <v>0</v>
      </c>
      <c r="DF92" s="243">
        <f>-'Development Budget'!$E$21*DF16</f>
        <v>0</v>
      </c>
      <c r="DG92" s="243">
        <f>-'Development Budget'!$E$21*DG16</f>
        <v>0</v>
      </c>
      <c r="DH92" s="243">
        <f>-'Development Budget'!$E$21*DH16</f>
        <v>0</v>
      </c>
      <c r="DI92" s="243">
        <f>-'Development Budget'!$E$21*DI16</f>
        <v>0</v>
      </c>
      <c r="DJ92" s="243">
        <f>-'Development Budget'!$E$21*DJ16</f>
        <v>0</v>
      </c>
      <c r="DK92" s="243">
        <f>-'Development Budget'!$E$21*DK16</f>
        <v>0</v>
      </c>
      <c r="DL92" s="243">
        <f>-'Development Budget'!$E$21*DL16</f>
        <v>0</v>
      </c>
      <c r="DM92" s="243">
        <f>-'Development Budget'!$E$21*DM16</f>
        <v>0</v>
      </c>
      <c r="DN92" s="243">
        <f>-'Development Budget'!$E$21*DN16</f>
        <v>0</v>
      </c>
      <c r="DO92" s="243">
        <f>-'Development Budget'!$E$21*DO16</f>
        <v>0</v>
      </c>
      <c r="DP92" s="243">
        <f>-'Development Budget'!$E$21*DP16</f>
        <v>0</v>
      </c>
      <c r="DQ92" s="243">
        <f>-'Development Budget'!$E$21*DQ16</f>
        <v>0</v>
      </c>
      <c r="DR92" s="243">
        <f>-'Development Budget'!$E$21*DR16</f>
        <v>0</v>
      </c>
      <c r="DS92" s="243">
        <f>-'Development Budget'!$E$21*DS16</f>
        <v>0</v>
      </c>
      <c r="DT92" s="243">
        <f>-'Development Budget'!$E$21*DT16</f>
        <v>0</v>
      </c>
      <c r="DU92" s="243">
        <f>-'Development Budget'!$E$21*DU16</f>
        <v>0</v>
      </c>
      <c r="DV92" s="243">
        <f>-'Development Budget'!$E$21*DV16</f>
        <v>0</v>
      </c>
      <c r="DW92" s="243">
        <f>-'Development Budget'!$E$21*DW16</f>
        <v>0</v>
      </c>
      <c r="DX92" s="243">
        <f>-'Development Budget'!$E$21*DX16</f>
        <v>0</v>
      </c>
      <c r="DY92" s="243">
        <f>-'Development Budget'!$E$21*DY16</f>
        <v>0</v>
      </c>
      <c r="DZ92" s="243">
        <f>-'Development Budget'!$E$21*DZ16</f>
        <v>0</v>
      </c>
      <c r="EA92" s="243">
        <f>-'Development Budget'!$E$21*EA16</f>
        <v>0</v>
      </c>
      <c r="EB92" s="243">
        <f>-'Development Budget'!$E$21*EB16</f>
        <v>0</v>
      </c>
      <c r="EC92" s="243">
        <f>-'Development Budget'!$E$21*EC16</f>
        <v>0</v>
      </c>
      <c r="ED92" s="243">
        <f>-'Development Budget'!$E$21*ED16</f>
        <v>0</v>
      </c>
      <c r="EE92" s="243">
        <f>-'Development Budget'!$E$21*EE16</f>
        <v>0</v>
      </c>
      <c r="EF92" s="243">
        <f>-'Development Budget'!$E$21*EF16</f>
        <v>0</v>
      </c>
      <c r="EG92" s="243">
        <f>-'Development Budget'!$E$21*EG16</f>
        <v>0</v>
      </c>
      <c r="EH92" s="243">
        <f>-'Development Budget'!$E$21*EH16</f>
        <v>0</v>
      </c>
      <c r="EI92" s="243">
        <f>-'Development Budget'!$E$21*EI16</f>
        <v>0</v>
      </c>
      <c r="EJ92" s="243">
        <f>-'Development Budget'!$E$21*EJ16</f>
        <v>0</v>
      </c>
      <c r="EL92" s="12">
        <f t="shared" si="231"/>
        <v>0</v>
      </c>
      <c r="EM92" s="12">
        <f t="shared" si="231"/>
        <v>-16687500</v>
      </c>
      <c r="EN92" s="12">
        <f t="shared" si="231"/>
        <v>-27812500</v>
      </c>
      <c r="EO92" s="12">
        <f t="shared" si="231"/>
        <v>0</v>
      </c>
      <c r="EP92" s="12">
        <f t="shared" si="231"/>
        <v>0</v>
      </c>
      <c r="EQ92" s="12">
        <f t="shared" si="231"/>
        <v>0</v>
      </c>
      <c r="ER92" s="12">
        <f t="shared" si="231"/>
        <v>0</v>
      </c>
      <c r="ES92" s="12">
        <f t="shared" si="231"/>
        <v>0</v>
      </c>
      <c r="ET92" s="12">
        <f t="shared" si="231"/>
        <v>0</v>
      </c>
      <c r="EU92" s="12">
        <f t="shared" si="231"/>
        <v>0</v>
      </c>
      <c r="EV92" s="12">
        <f t="shared" si="231"/>
        <v>0</v>
      </c>
      <c r="EW92" s="12">
        <f t="shared" si="231"/>
        <v>0</v>
      </c>
    </row>
    <row r="93" spans="2:153" x14ac:dyDescent="0.4">
      <c r="B93" s="1" t="s">
        <v>264</v>
      </c>
      <c r="F93" s="12" cm="1">
        <f t="array" ref="F93">SUMPRODUCT(($H93:$EJ93)*($H$6:$EJ$6&lt;=$C$5))</f>
        <v>-1750000</v>
      </c>
      <c r="H93" s="243">
        <f>-'Development Budget'!$E$25*H17</f>
        <v>0</v>
      </c>
      <c r="I93" s="243">
        <f>-'Development Budget'!$E$25*I17</f>
        <v>0</v>
      </c>
      <c r="J93" s="243">
        <f>-'Development Budget'!$E$25*J17</f>
        <v>0</v>
      </c>
      <c r="K93" s="243">
        <f>-'Development Budget'!$E$25*K17</f>
        <v>-87500</v>
      </c>
      <c r="L93" s="243">
        <f>-'Development Budget'!$E$25*L17</f>
        <v>-87500</v>
      </c>
      <c r="M93" s="243">
        <f>-'Development Budget'!$E$25*M17</f>
        <v>-87500</v>
      </c>
      <c r="N93" s="243">
        <f>-'Development Budget'!$E$25*N17</f>
        <v>-87500</v>
      </c>
      <c r="O93" s="243">
        <f>-'Development Budget'!$E$25*O17</f>
        <v>-87500</v>
      </c>
      <c r="P93" s="243">
        <f>-'Development Budget'!$E$25*P17</f>
        <v>-87500</v>
      </c>
      <c r="Q93" s="243">
        <f>-'Development Budget'!$E$25*Q17</f>
        <v>-87500</v>
      </c>
      <c r="R93" s="243">
        <f>-'Development Budget'!$E$25*R17</f>
        <v>-87500</v>
      </c>
      <c r="S93" s="243">
        <f>-'Development Budget'!$E$25*S17</f>
        <v>-87500</v>
      </c>
      <c r="T93" s="243">
        <f>-'Development Budget'!$E$25*T17</f>
        <v>-87500</v>
      </c>
      <c r="U93" s="243">
        <f>-'Development Budget'!$E$25*U17</f>
        <v>-87500</v>
      </c>
      <c r="V93" s="243">
        <f>-'Development Budget'!$E$25*V17</f>
        <v>-87500</v>
      </c>
      <c r="W93" s="243">
        <f>-'Development Budget'!$E$25*W17</f>
        <v>-87500</v>
      </c>
      <c r="X93" s="243">
        <f>-'Development Budget'!$E$25*X17</f>
        <v>-87500</v>
      </c>
      <c r="Y93" s="243">
        <f>-'Development Budget'!$E$25*Y17</f>
        <v>-87500</v>
      </c>
      <c r="Z93" s="243">
        <f>-'Development Budget'!$E$25*Z17</f>
        <v>-87500</v>
      </c>
      <c r="AA93" s="243">
        <f>-'Development Budget'!$E$25*AA17</f>
        <v>-87500</v>
      </c>
      <c r="AB93" s="243">
        <f>-'Development Budget'!$E$25*AB17</f>
        <v>-87500</v>
      </c>
      <c r="AC93" s="243">
        <f>-'Development Budget'!$E$25*AC17</f>
        <v>-87500</v>
      </c>
      <c r="AD93" s="243">
        <f>-'Development Budget'!$E$25*AD17</f>
        <v>-87500</v>
      </c>
      <c r="AE93" s="243">
        <f>-'Development Budget'!$E$25*AE17</f>
        <v>0</v>
      </c>
      <c r="AF93" s="243">
        <f>-'Development Budget'!$E$25*AF17</f>
        <v>0</v>
      </c>
      <c r="AG93" s="243">
        <f>-'Development Budget'!$E$25*AG17</f>
        <v>0</v>
      </c>
      <c r="AH93" s="243">
        <f>-'Development Budget'!$E$25*AH17</f>
        <v>0</v>
      </c>
      <c r="AI93" s="243">
        <f>-'Development Budget'!$E$25*AI17</f>
        <v>0</v>
      </c>
      <c r="AJ93" s="243">
        <f>-'Development Budget'!$E$25*AJ17</f>
        <v>0</v>
      </c>
      <c r="AK93" s="243">
        <f>-'Development Budget'!$E$25*AK17</f>
        <v>0</v>
      </c>
      <c r="AL93" s="243">
        <f>-'Development Budget'!$E$25*AL17</f>
        <v>0</v>
      </c>
      <c r="AM93" s="243">
        <f>-'Development Budget'!$E$25*AM17</f>
        <v>0</v>
      </c>
      <c r="AN93" s="243">
        <f>-'Development Budget'!$E$25*AN17</f>
        <v>0</v>
      </c>
      <c r="AO93" s="243">
        <f>-'Development Budget'!$E$25*AO17</f>
        <v>0</v>
      </c>
      <c r="AP93" s="243">
        <f>-'Development Budget'!$E$25*AP17</f>
        <v>0</v>
      </c>
      <c r="AQ93" s="243">
        <f>-'Development Budget'!$E$25*AQ17</f>
        <v>0</v>
      </c>
      <c r="AR93" s="243">
        <f>-'Development Budget'!$E$25*AR17</f>
        <v>0</v>
      </c>
      <c r="AS93" s="243">
        <f>-'Development Budget'!$E$25*AS17</f>
        <v>0</v>
      </c>
      <c r="AT93" s="243">
        <f>-'Development Budget'!$E$25*AT17</f>
        <v>0</v>
      </c>
      <c r="AU93" s="243">
        <f>-'Development Budget'!$E$25*AU17</f>
        <v>0</v>
      </c>
      <c r="AV93" s="243">
        <f>-'Development Budget'!$E$25*AV17</f>
        <v>0</v>
      </c>
      <c r="AW93" s="243">
        <f>-'Development Budget'!$E$25*AW17</f>
        <v>0</v>
      </c>
      <c r="AX93" s="243">
        <f>-'Development Budget'!$E$25*AX17</f>
        <v>0</v>
      </c>
      <c r="AY93" s="243">
        <f>-'Development Budget'!$E$25*AY17</f>
        <v>0</v>
      </c>
      <c r="AZ93" s="243">
        <f>-'Development Budget'!$E$25*AZ17</f>
        <v>0</v>
      </c>
      <c r="BA93" s="243">
        <f>-'Development Budget'!$E$25*BA17</f>
        <v>0</v>
      </c>
      <c r="BB93" s="243">
        <f>-'Development Budget'!$E$25*BB17</f>
        <v>0</v>
      </c>
      <c r="BC93" s="243">
        <f>-'Development Budget'!$E$25*BC17</f>
        <v>0</v>
      </c>
      <c r="BD93" s="243">
        <f>-'Development Budget'!$E$25*BD17</f>
        <v>0</v>
      </c>
      <c r="BE93" s="243">
        <f>-'Development Budget'!$E$25*BE17</f>
        <v>0</v>
      </c>
      <c r="BF93" s="243">
        <f>-'Development Budget'!$E$25*BF17</f>
        <v>0</v>
      </c>
      <c r="BG93" s="243">
        <f>-'Development Budget'!$E$25*BG17</f>
        <v>0</v>
      </c>
      <c r="BH93" s="243">
        <f>-'Development Budget'!$E$25*BH17</f>
        <v>0</v>
      </c>
      <c r="BI93" s="243">
        <f>-'Development Budget'!$E$25*BI17</f>
        <v>0</v>
      </c>
      <c r="BJ93" s="243">
        <f>-'Development Budget'!$E$25*BJ17</f>
        <v>0</v>
      </c>
      <c r="BK93" s="243">
        <f>-'Development Budget'!$E$25*BK17</f>
        <v>0</v>
      </c>
      <c r="BL93" s="243">
        <f>-'Development Budget'!$E$25*BL17</f>
        <v>0</v>
      </c>
      <c r="BM93" s="243">
        <f>-'Development Budget'!$E$25*BM17</f>
        <v>0</v>
      </c>
      <c r="BN93" s="243">
        <f>-'Development Budget'!$E$25*BN17</f>
        <v>0</v>
      </c>
      <c r="BO93" s="243">
        <f>-'Development Budget'!$E$25*BO17</f>
        <v>0</v>
      </c>
      <c r="BP93" s="243">
        <f>-'Development Budget'!$E$25*BP17</f>
        <v>0</v>
      </c>
      <c r="BQ93" s="243">
        <f>-'Development Budget'!$E$25*BQ17</f>
        <v>0</v>
      </c>
      <c r="BR93" s="243">
        <f>-'Development Budget'!$E$25*BR17</f>
        <v>0</v>
      </c>
      <c r="BS93" s="243">
        <f>-'Development Budget'!$E$25*BS17</f>
        <v>0</v>
      </c>
      <c r="BT93" s="243">
        <f>-'Development Budget'!$E$25*BT17</f>
        <v>0</v>
      </c>
      <c r="BU93" s="243">
        <f>-'Development Budget'!$E$25*BU17</f>
        <v>0</v>
      </c>
      <c r="BV93" s="243">
        <f>-'Development Budget'!$E$25*BV17</f>
        <v>0</v>
      </c>
      <c r="BW93" s="243">
        <f>-'Development Budget'!$E$25*BW17</f>
        <v>0</v>
      </c>
      <c r="BX93" s="243">
        <f>-'Development Budget'!$E$25*BX17</f>
        <v>0</v>
      </c>
      <c r="BY93" s="243">
        <f>-'Development Budget'!$E$25*BY17</f>
        <v>0</v>
      </c>
      <c r="BZ93" s="243">
        <f>-'Development Budget'!$E$25*BZ17</f>
        <v>0</v>
      </c>
      <c r="CA93" s="243">
        <f>-'Development Budget'!$E$25*CA17</f>
        <v>0</v>
      </c>
      <c r="CB93" s="243">
        <f>-'Development Budget'!$E$25*CB17</f>
        <v>0</v>
      </c>
      <c r="CC93" s="243">
        <f>-'Development Budget'!$E$25*CC17</f>
        <v>0</v>
      </c>
      <c r="CD93" s="243">
        <f>-'Development Budget'!$E$25*CD17</f>
        <v>0</v>
      </c>
      <c r="CE93" s="243">
        <f>-'Development Budget'!$E$25*CE17</f>
        <v>0</v>
      </c>
      <c r="CF93" s="243">
        <f>-'Development Budget'!$E$25*CF17</f>
        <v>0</v>
      </c>
      <c r="CG93" s="243">
        <f>-'Development Budget'!$E$25*CG17</f>
        <v>0</v>
      </c>
      <c r="CH93" s="243">
        <f>-'Development Budget'!$E$25*CH17</f>
        <v>0</v>
      </c>
      <c r="CI93" s="243">
        <f>-'Development Budget'!$E$25*CI17</f>
        <v>0</v>
      </c>
      <c r="CJ93" s="243">
        <f>-'Development Budget'!$E$25*CJ17</f>
        <v>0</v>
      </c>
      <c r="CK93" s="243">
        <f>-'Development Budget'!$E$25*CK17</f>
        <v>0</v>
      </c>
      <c r="CL93" s="243">
        <f>-'Development Budget'!$E$25*CL17</f>
        <v>0</v>
      </c>
      <c r="CM93" s="243">
        <f>-'Development Budget'!$E$25*CM17</f>
        <v>0</v>
      </c>
      <c r="CN93" s="243">
        <f>-'Development Budget'!$E$25*CN17</f>
        <v>0</v>
      </c>
      <c r="CO93" s="243">
        <f>-'Development Budget'!$E$25*CO17</f>
        <v>0</v>
      </c>
      <c r="CP93" s="243">
        <f>-'Development Budget'!$E$25*CP17</f>
        <v>0</v>
      </c>
      <c r="CQ93" s="243">
        <f>-'Development Budget'!$E$25*CQ17</f>
        <v>0</v>
      </c>
      <c r="CR93" s="243">
        <f>-'Development Budget'!$E$25*CR17</f>
        <v>0</v>
      </c>
      <c r="CS93" s="243">
        <f>-'Development Budget'!$E$25*CS17</f>
        <v>0</v>
      </c>
      <c r="CT93" s="243">
        <f>-'Development Budget'!$E$25*CT17</f>
        <v>0</v>
      </c>
      <c r="CU93" s="243">
        <f>-'Development Budget'!$E$25*CU17</f>
        <v>0</v>
      </c>
      <c r="CV93" s="243">
        <f>-'Development Budget'!$E$25*CV17</f>
        <v>0</v>
      </c>
      <c r="CW93" s="243">
        <f>-'Development Budget'!$E$25*CW17</f>
        <v>0</v>
      </c>
      <c r="CX93" s="243">
        <f>-'Development Budget'!$E$25*CX17</f>
        <v>0</v>
      </c>
      <c r="CY93" s="243">
        <f>-'Development Budget'!$E$25*CY17</f>
        <v>0</v>
      </c>
      <c r="CZ93" s="243">
        <f>-'Development Budget'!$E$25*CZ17</f>
        <v>0</v>
      </c>
      <c r="DA93" s="243">
        <f>-'Development Budget'!$E$25*DA17</f>
        <v>0</v>
      </c>
      <c r="DB93" s="243">
        <f>-'Development Budget'!$E$25*DB17</f>
        <v>0</v>
      </c>
      <c r="DC93" s="243">
        <f>-'Development Budget'!$E$25*DC17</f>
        <v>0</v>
      </c>
      <c r="DD93" s="243">
        <f>-'Development Budget'!$E$25*DD17</f>
        <v>0</v>
      </c>
      <c r="DE93" s="243">
        <f>-'Development Budget'!$E$25*DE17</f>
        <v>0</v>
      </c>
      <c r="DF93" s="243">
        <f>-'Development Budget'!$E$25*DF17</f>
        <v>0</v>
      </c>
      <c r="DG93" s="243">
        <f>-'Development Budget'!$E$25*DG17</f>
        <v>0</v>
      </c>
      <c r="DH93" s="243">
        <f>-'Development Budget'!$E$25*DH17</f>
        <v>0</v>
      </c>
      <c r="DI93" s="243">
        <f>-'Development Budget'!$E$25*DI17</f>
        <v>0</v>
      </c>
      <c r="DJ93" s="243">
        <f>-'Development Budget'!$E$25*DJ17</f>
        <v>0</v>
      </c>
      <c r="DK93" s="243">
        <f>-'Development Budget'!$E$25*DK17</f>
        <v>0</v>
      </c>
      <c r="DL93" s="243">
        <f>-'Development Budget'!$E$25*DL17</f>
        <v>0</v>
      </c>
      <c r="DM93" s="243">
        <f>-'Development Budget'!$E$25*DM17</f>
        <v>0</v>
      </c>
      <c r="DN93" s="243">
        <f>-'Development Budget'!$E$25*DN17</f>
        <v>0</v>
      </c>
      <c r="DO93" s="243">
        <f>-'Development Budget'!$E$25*DO17</f>
        <v>0</v>
      </c>
      <c r="DP93" s="243">
        <f>-'Development Budget'!$E$25*DP17</f>
        <v>0</v>
      </c>
      <c r="DQ93" s="243">
        <f>-'Development Budget'!$E$25*DQ17</f>
        <v>0</v>
      </c>
      <c r="DR93" s="243">
        <f>-'Development Budget'!$E$25*DR17</f>
        <v>0</v>
      </c>
      <c r="DS93" s="243">
        <f>-'Development Budget'!$E$25*DS17</f>
        <v>0</v>
      </c>
      <c r="DT93" s="243">
        <f>-'Development Budget'!$E$25*DT17</f>
        <v>0</v>
      </c>
      <c r="DU93" s="243">
        <f>-'Development Budget'!$E$25*DU17</f>
        <v>0</v>
      </c>
      <c r="DV93" s="243">
        <f>-'Development Budget'!$E$25*DV17</f>
        <v>0</v>
      </c>
      <c r="DW93" s="243">
        <f>-'Development Budget'!$E$25*DW17</f>
        <v>0</v>
      </c>
      <c r="DX93" s="243">
        <f>-'Development Budget'!$E$25*DX17</f>
        <v>0</v>
      </c>
      <c r="DY93" s="243">
        <f>-'Development Budget'!$E$25*DY17</f>
        <v>0</v>
      </c>
      <c r="DZ93" s="243">
        <f>-'Development Budget'!$E$25*DZ17</f>
        <v>0</v>
      </c>
      <c r="EA93" s="243">
        <f>-'Development Budget'!$E$25*EA17</f>
        <v>0</v>
      </c>
      <c r="EB93" s="243">
        <f>-'Development Budget'!$E$25*EB17</f>
        <v>0</v>
      </c>
      <c r="EC93" s="243">
        <f>-'Development Budget'!$E$25*EC17</f>
        <v>0</v>
      </c>
      <c r="ED93" s="243">
        <f>-'Development Budget'!$E$25*ED17</f>
        <v>0</v>
      </c>
      <c r="EE93" s="243">
        <f>-'Development Budget'!$E$25*EE17</f>
        <v>0</v>
      </c>
      <c r="EF93" s="243">
        <f>-'Development Budget'!$E$25*EF17</f>
        <v>0</v>
      </c>
      <c r="EG93" s="243">
        <f>-'Development Budget'!$E$25*EG17</f>
        <v>0</v>
      </c>
      <c r="EH93" s="243">
        <f>-'Development Budget'!$E$25*EH17</f>
        <v>0</v>
      </c>
      <c r="EI93" s="243">
        <f>-'Development Budget'!$E$25*EI17</f>
        <v>0</v>
      </c>
      <c r="EJ93" s="243">
        <f>-'Development Budget'!$E$25*EJ17</f>
        <v>0</v>
      </c>
      <c r="EL93" s="12">
        <f t="shared" si="231"/>
        <v>0</v>
      </c>
      <c r="EM93" s="12">
        <f t="shared" si="231"/>
        <v>-875000</v>
      </c>
      <c r="EN93" s="12">
        <f t="shared" si="231"/>
        <v>-875000</v>
      </c>
      <c r="EO93" s="12">
        <f t="shared" si="231"/>
        <v>0</v>
      </c>
      <c r="EP93" s="12">
        <f t="shared" si="231"/>
        <v>0</v>
      </c>
      <c r="EQ93" s="12">
        <f t="shared" si="231"/>
        <v>0</v>
      </c>
      <c r="ER93" s="12">
        <f t="shared" si="231"/>
        <v>0</v>
      </c>
      <c r="ES93" s="12">
        <f t="shared" si="231"/>
        <v>0</v>
      </c>
      <c r="ET93" s="12">
        <f t="shared" si="231"/>
        <v>0</v>
      </c>
      <c r="EU93" s="12">
        <f t="shared" si="231"/>
        <v>0</v>
      </c>
      <c r="EV93" s="12">
        <f t="shared" si="231"/>
        <v>0</v>
      </c>
      <c r="EW93" s="12">
        <f t="shared" si="231"/>
        <v>0</v>
      </c>
    </row>
    <row r="94" spans="2:153" x14ac:dyDescent="0.4">
      <c r="B94" s="1" t="s">
        <v>66</v>
      </c>
      <c r="F94" s="12" cm="1">
        <f t="array" ref="F94">SUMPRODUCT(($H94:$EJ94)*($H$6:$EJ$6&lt;=$C$5))</f>
        <v>73309414.006509915</v>
      </c>
      <c r="H94" s="97">
        <f>H$81/'Inputs &amp; Drivers'!$E$16*(H$6=$C$5)</f>
        <v>0</v>
      </c>
      <c r="I94" s="12">
        <f>I$81/'Inputs &amp; Drivers'!$E$16*(I$6=$C$5)</f>
        <v>0</v>
      </c>
      <c r="J94" s="12">
        <f>J$81/'Inputs &amp; Drivers'!$E$16*(J$6=$C$5)</f>
        <v>0</v>
      </c>
      <c r="K94" s="12">
        <f>K$81/'Inputs &amp; Drivers'!$E$16*(K$6=$C$5)</f>
        <v>0</v>
      </c>
      <c r="L94" s="12">
        <f>L$81/'Inputs &amp; Drivers'!$E$16*(L$6=$C$5)</f>
        <v>0</v>
      </c>
      <c r="M94" s="12">
        <f>M$81/'Inputs &amp; Drivers'!$E$16*(M$6=$C$5)</f>
        <v>0</v>
      </c>
      <c r="N94" s="12">
        <f>N$81/'Inputs &amp; Drivers'!$E$16*(N$6=$C$5)</f>
        <v>0</v>
      </c>
      <c r="O94" s="12">
        <f>O$81/'Inputs &amp; Drivers'!$E$16*(O$6=$C$5)</f>
        <v>0</v>
      </c>
      <c r="P94" s="12">
        <f>P$81/'Inputs &amp; Drivers'!$E$16*(P$6=$C$5)</f>
        <v>0</v>
      </c>
      <c r="Q94" s="12">
        <f>Q$81/'Inputs &amp; Drivers'!$E$16*(Q$6=$C$5)</f>
        <v>0</v>
      </c>
      <c r="R94" s="12">
        <f>R$81/'Inputs &amp; Drivers'!$E$16*(R$6=$C$5)</f>
        <v>0</v>
      </c>
      <c r="S94" s="12">
        <f>S$81/'Inputs &amp; Drivers'!$E$16*(S$6=$C$5)</f>
        <v>0</v>
      </c>
      <c r="T94" s="12">
        <f>T$81/'Inputs &amp; Drivers'!$E$16*(T$6=$C$5)</f>
        <v>0</v>
      </c>
      <c r="U94" s="12">
        <f>U$81/'Inputs &amp; Drivers'!$E$16*(U$6=$C$5)</f>
        <v>0</v>
      </c>
      <c r="V94" s="12">
        <f>V$81/'Inputs &amp; Drivers'!$E$16*(V$6=$C$5)</f>
        <v>0</v>
      </c>
      <c r="W94" s="12">
        <f>W$81/'Inputs &amp; Drivers'!$E$16*(W$6=$C$5)</f>
        <v>0</v>
      </c>
      <c r="X94" s="12">
        <f>X$81/'Inputs &amp; Drivers'!$E$16*(X$6=$C$5)</f>
        <v>0</v>
      </c>
      <c r="Y94" s="12">
        <f>Y$81/'Inputs &amp; Drivers'!$E$16*(Y$6=$C$5)</f>
        <v>0</v>
      </c>
      <c r="Z94" s="12">
        <f>Z$81/'Inputs &amp; Drivers'!$E$16*(Z$6=$C$5)</f>
        <v>0</v>
      </c>
      <c r="AA94" s="12">
        <f>AA$81/'Inputs &amp; Drivers'!$E$16*(AA$6=$C$5)</f>
        <v>0</v>
      </c>
      <c r="AB94" s="12">
        <f>AB$81/'Inputs &amp; Drivers'!$E$16*(AB$6=$C$5)</f>
        <v>0</v>
      </c>
      <c r="AC94" s="12">
        <f>AC$81/'Inputs &amp; Drivers'!$E$16*(AC$6=$C$5)</f>
        <v>0</v>
      </c>
      <c r="AD94" s="12">
        <f>AD$81/'Inputs &amp; Drivers'!$E$16*(AD$6=$C$5)</f>
        <v>0</v>
      </c>
      <c r="AE94" s="12">
        <f>AE$81/'Inputs &amp; Drivers'!$E$16*(AE$6=$C$5)</f>
        <v>0</v>
      </c>
      <c r="AF94" s="12">
        <f>AF$81/'Inputs &amp; Drivers'!$E$16*(AF$6=$C$5)</f>
        <v>0</v>
      </c>
      <c r="AG94" s="12">
        <f>AG$81/'Inputs &amp; Drivers'!$E$16*(AG$6=$C$5)</f>
        <v>0</v>
      </c>
      <c r="AH94" s="12">
        <f>AH$81/'Inputs &amp; Drivers'!$E$16*(AH$6=$C$5)</f>
        <v>0</v>
      </c>
      <c r="AI94" s="12">
        <f>AI$81/'Inputs &amp; Drivers'!$E$16*(AI$6=$C$5)</f>
        <v>0</v>
      </c>
      <c r="AJ94" s="12">
        <f>AJ$81/'Inputs &amp; Drivers'!$E$16*(AJ$6=$C$5)</f>
        <v>0</v>
      </c>
      <c r="AK94" s="12">
        <f>AK$81/'Inputs &amp; Drivers'!$E$16*(AK$6=$C$5)</f>
        <v>0</v>
      </c>
      <c r="AL94" s="12">
        <f>AL$81/'Inputs &amp; Drivers'!$E$16*(AL$6=$C$5)</f>
        <v>0</v>
      </c>
      <c r="AM94" s="12">
        <f>AM$81/'Inputs &amp; Drivers'!$E$16*(AM$6=$C$5)</f>
        <v>0</v>
      </c>
      <c r="AN94" s="12">
        <f>AN$81/'Inputs &amp; Drivers'!$E$16*(AN$6=$C$5)</f>
        <v>0</v>
      </c>
      <c r="AO94" s="12">
        <f>AO$81/'Inputs &amp; Drivers'!$E$16*(AO$6=$C$5)</f>
        <v>0</v>
      </c>
      <c r="AP94" s="12">
        <f>AP$81/'Inputs &amp; Drivers'!$E$16*(AP$6=$C$5)</f>
        <v>0</v>
      </c>
      <c r="AQ94" s="12">
        <f>AQ$81/'Inputs &amp; Drivers'!$E$16*(AQ$6=$C$5)</f>
        <v>0</v>
      </c>
      <c r="AR94" s="12">
        <f>AR$81/'Inputs &amp; Drivers'!$E$16*(AR$6=$C$5)</f>
        <v>73309414.006509915</v>
      </c>
      <c r="AS94" s="12">
        <f>AS$81/'Inputs &amp; Drivers'!$E$16*(AS$6=$C$5)</f>
        <v>0</v>
      </c>
      <c r="AT94" s="12">
        <f>AT$81/'Inputs &amp; Drivers'!$E$16*(AT$6=$C$5)</f>
        <v>0</v>
      </c>
      <c r="AU94" s="12">
        <f>AU$81/'Inputs &amp; Drivers'!$E$16*(AU$6=$C$5)</f>
        <v>0</v>
      </c>
      <c r="AV94" s="12">
        <f>AV$81/'Inputs &amp; Drivers'!$E$16*(AV$6=$C$5)</f>
        <v>0</v>
      </c>
      <c r="AW94" s="12">
        <f>AW$81/'Inputs &amp; Drivers'!$E$16*(AW$6=$C$5)</f>
        <v>0</v>
      </c>
      <c r="AX94" s="12">
        <f>AX$81/'Inputs &amp; Drivers'!$E$16*(AX$6=$C$5)</f>
        <v>0</v>
      </c>
      <c r="AY94" s="12">
        <f>AY$81/'Inputs &amp; Drivers'!$E$16*(AY$6=$C$5)</f>
        <v>0</v>
      </c>
      <c r="AZ94" s="12">
        <f>AZ$81/'Inputs &amp; Drivers'!$E$16*(AZ$6=$C$5)</f>
        <v>0</v>
      </c>
      <c r="BA94" s="12">
        <f>BA$81/'Inputs &amp; Drivers'!$E$16*(BA$6=$C$5)</f>
        <v>0</v>
      </c>
      <c r="BB94" s="12">
        <f>BB$81/'Inputs &amp; Drivers'!$E$16*(BB$6=$C$5)</f>
        <v>0</v>
      </c>
      <c r="BC94" s="12">
        <f>BC$81/'Inputs &amp; Drivers'!$E$16*(BC$6=$C$5)</f>
        <v>0</v>
      </c>
      <c r="BD94" s="12">
        <f>BD$81/'Inputs &amp; Drivers'!$E$16*(BD$6=$C$5)</f>
        <v>0</v>
      </c>
      <c r="BE94" s="12">
        <f>BE$81/'Inputs &amp; Drivers'!$E$16*(BE$6=$C$5)</f>
        <v>0</v>
      </c>
      <c r="BF94" s="12">
        <f>BF$81/'Inputs &amp; Drivers'!$E$16*(BF$6=$C$5)</f>
        <v>0</v>
      </c>
      <c r="BG94" s="12">
        <f>BG$81/'Inputs &amp; Drivers'!$E$16*(BG$6=$C$5)</f>
        <v>0</v>
      </c>
      <c r="BH94" s="12">
        <f>BH$81/'Inputs &amp; Drivers'!$E$16*(BH$6=$C$5)</f>
        <v>0</v>
      </c>
      <c r="BI94" s="12">
        <f>BI$81/'Inputs &amp; Drivers'!$E$16*(BI$6=$C$5)</f>
        <v>0</v>
      </c>
      <c r="BJ94" s="12">
        <f>BJ$81/'Inputs &amp; Drivers'!$E$16*(BJ$6=$C$5)</f>
        <v>0</v>
      </c>
      <c r="BK94" s="12">
        <f>BK$81/'Inputs &amp; Drivers'!$E$16*(BK$6=$C$5)</f>
        <v>0</v>
      </c>
      <c r="BL94" s="12">
        <f>BL$81/'Inputs &amp; Drivers'!$E$16*(BL$6=$C$5)</f>
        <v>0</v>
      </c>
      <c r="BM94" s="12">
        <f>BM$81/'Inputs &amp; Drivers'!$E$16*(BM$6=$C$5)</f>
        <v>0</v>
      </c>
      <c r="BN94" s="12">
        <f>BN$81/'Inputs &amp; Drivers'!$E$16*(BN$6=$C$5)</f>
        <v>0</v>
      </c>
      <c r="BO94" s="12">
        <f>BO$81/'Inputs &amp; Drivers'!$E$16*(BO$6=$C$5)</f>
        <v>0</v>
      </c>
      <c r="BP94" s="12">
        <f>BP$81/'Inputs &amp; Drivers'!$E$16*(BP$6=$C$5)</f>
        <v>0</v>
      </c>
      <c r="BQ94" s="12">
        <f>BQ$81/'Inputs &amp; Drivers'!$E$16*(BQ$6=$C$5)</f>
        <v>0</v>
      </c>
      <c r="BR94" s="12">
        <f>BR$81/'Inputs &amp; Drivers'!$E$16*(BR$6=$C$5)</f>
        <v>0</v>
      </c>
      <c r="BS94" s="12">
        <f>BS$81/'Inputs &amp; Drivers'!$E$16*(BS$6=$C$5)</f>
        <v>0</v>
      </c>
      <c r="BT94" s="12">
        <f>BT$81/'Inputs &amp; Drivers'!$E$16*(BT$6=$C$5)</f>
        <v>0</v>
      </c>
      <c r="BU94" s="12">
        <f>BU$81/'Inputs &amp; Drivers'!$E$16*(BU$6=$C$5)</f>
        <v>0</v>
      </c>
      <c r="BV94" s="12">
        <f>BV$81/'Inputs &amp; Drivers'!$E$16*(BV$6=$C$5)</f>
        <v>0</v>
      </c>
      <c r="BW94" s="12">
        <f>BW$81/'Inputs &amp; Drivers'!$E$16*(BW$6=$C$5)</f>
        <v>0</v>
      </c>
      <c r="BX94" s="12">
        <f>BX$81/'Inputs &amp; Drivers'!$E$16*(BX$6=$C$5)</f>
        <v>0</v>
      </c>
      <c r="BY94" s="12">
        <f>BY$81/'Inputs &amp; Drivers'!$E$16*(BY$6=$C$5)</f>
        <v>0</v>
      </c>
      <c r="BZ94" s="12">
        <f>BZ$81/'Inputs &amp; Drivers'!$E$16*(BZ$6=$C$5)</f>
        <v>0</v>
      </c>
      <c r="CA94" s="12">
        <f>CA$81/'Inputs &amp; Drivers'!$E$16*(CA$6=$C$5)</f>
        <v>0</v>
      </c>
      <c r="CB94" s="12">
        <f>CB$81/'Inputs &amp; Drivers'!$E$16*(CB$6=$C$5)</f>
        <v>0</v>
      </c>
      <c r="CC94" s="12">
        <f>CC$81/'Inputs &amp; Drivers'!$E$16*(CC$6=$C$5)</f>
        <v>0</v>
      </c>
      <c r="CD94" s="12">
        <f>CD$81/'Inputs &amp; Drivers'!$E$16*(CD$6=$C$5)</f>
        <v>0</v>
      </c>
      <c r="CE94" s="12">
        <f>CE$81/'Inputs &amp; Drivers'!$E$16*(CE$6=$C$5)</f>
        <v>0</v>
      </c>
      <c r="CF94" s="12">
        <f>CF$81/'Inputs &amp; Drivers'!$E$16*(CF$6=$C$5)</f>
        <v>0</v>
      </c>
      <c r="CG94" s="12">
        <f>CG$81/'Inputs &amp; Drivers'!$E$16*(CG$6=$C$5)</f>
        <v>0</v>
      </c>
      <c r="CH94" s="12">
        <f>CH$81/'Inputs &amp; Drivers'!$E$16*(CH$6=$C$5)</f>
        <v>0</v>
      </c>
      <c r="CI94" s="12">
        <f>CI$81/'Inputs &amp; Drivers'!$E$16*(CI$6=$C$5)</f>
        <v>0</v>
      </c>
      <c r="CJ94" s="12">
        <f>CJ$81/'Inputs &amp; Drivers'!$E$16*(CJ$6=$C$5)</f>
        <v>0</v>
      </c>
      <c r="CK94" s="12">
        <f>CK$81/'Inputs &amp; Drivers'!$E$16*(CK$6=$C$5)</f>
        <v>0</v>
      </c>
      <c r="CL94" s="12">
        <f>CL$81/'Inputs &amp; Drivers'!$E$16*(CL$6=$C$5)</f>
        <v>0</v>
      </c>
      <c r="CM94" s="12">
        <f>CM$81/'Inputs &amp; Drivers'!$E$16*(CM$6=$C$5)</f>
        <v>0</v>
      </c>
      <c r="CN94" s="12">
        <f>CN$81/'Inputs &amp; Drivers'!$E$16*(CN$6=$C$5)</f>
        <v>0</v>
      </c>
      <c r="CO94" s="12">
        <f>CO$81/'Inputs &amp; Drivers'!$E$16*(CO$6=$C$5)</f>
        <v>0</v>
      </c>
      <c r="CP94" s="12">
        <f>CP$81/'Inputs &amp; Drivers'!$E$16*(CP$6=$C$5)</f>
        <v>0</v>
      </c>
      <c r="CQ94" s="12">
        <f>CQ$81/'Inputs &amp; Drivers'!$E$16*(CQ$6=$C$5)</f>
        <v>0</v>
      </c>
      <c r="CR94" s="12">
        <f>CR$81/'Inputs &amp; Drivers'!$E$16*(CR$6=$C$5)</f>
        <v>0</v>
      </c>
      <c r="CS94" s="12">
        <f>CS$81/'Inputs &amp; Drivers'!$E$16*(CS$6=$C$5)</f>
        <v>0</v>
      </c>
      <c r="CT94" s="12">
        <f>CT$81/'Inputs &amp; Drivers'!$E$16*(CT$6=$C$5)</f>
        <v>0</v>
      </c>
      <c r="CU94" s="12">
        <f>CU$81/'Inputs &amp; Drivers'!$E$16*(CU$6=$C$5)</f>
        <v>0</v>
      </c>
      <c r="CV94" s="12">
        <f>CV$81/'Inputs &amp; Drivers'!$E$16*(CV$6=$C$5)</f>
        <v>0</v>
      </c>
      <c r="CW94" s="12">
        <f>CW$81/'Inputs &amp; Drivers'!$E$16*(CW$6=$C$5)</f>
        <v>0</v>
      </c>
      <c r="CX94" s="12">
        <f>CX$81/'Inputs &amp; Drivers'!$E$16*(CX$6=$C$5)</f>
        <v>0</v>
      </c>
      <c r="CY94" s="12">
        <f>CY$81/'Inputs &amp; Drivers'!$E$16*(CY$6=$C$5)</f>
        <v>0</v>
      </c>
      <c r="CZ94" s="12">
        <f>CZ$81/'Inputs &amp; Drivers'!$E$16*(CZ$6=$C$5)</f>
        <v>0</v>
      </c>
      <c r="DA94" s="12">
        <f>DA$81/'Inputs &amp; Drivers'!$E$16*(DA$6=$C$5)</f>
        <v>0</v>
      </c>
      <c r="DB94" s="12">
        <f>DB$81/'Inputs &amp; Drivers'!$E$16*(DB$6=$C$5)</f>
        <v>0</v>
      </c>
      <c r="DC94" s="12">
        <f>DC$81/'Inputs &amp; Drivers'!$E$16*(DC$6=$C$5)</f>
        <v>0</v>
      </c>
      <c r="DD94" s="12">
        <f>DD$81/'Inputs &amp; Drivers'!$E$16*(DD$6=$C$5)</f>
        <v>0</v>
      </c>
      <c r="DE94" s="12">
        <f>DE$81/'Inputs &amp; Drivers'!$E$16*(DE$6=$C$5)</f>
        <v>0</v>
      </c>
      <c r="DF94" s="12">
        <f>DF$81/'Inputs &amp; Drivers'!$E$16*(DF$6=$C$5)</f>
        <v>0</v>
      </c>
      <c r="DG94" s="12">
        <f>DG$81/'Inputs &amp; Drivers'!$E$16*(DG$6=$C$5)</f>
        <v>0</v>
      </c>
      <c r="DH94" s="12">
        <f>DH$81/'Inputs &amp; Drivers'!$E$16*(DH$6=$C$5)</f>
        <v>0</v>
      </c>
      <c r="DI94" s="12">
        <f>DI$81/'Inputs &amp; Drivers'!$E$16*(DI$6=$C$5)</f>
        <v>0</v>
      </c>
      <c r="DJ94" s="12">
        <f>DJ$81/'Inputs &amp; Drivers'!$E$16*(DJ$6=$C$5)</f>
        <v>0</v>
      </c>
      <c r="DK94" s="12">
        <f>DK$81/'Inputs &amp; Drivers'!$E$16*(DK$6=$C$5)</f>
        <v>0</v>
      </c>
      <c r="DL94" s="12">
        <f>DL$81/'Inputs &amp; Drivers'!$E$16*(DL$6=$C$5)</f>
        <v>0</v>
      </c>
      <c r="DM94" s="12">
        <f>DM$81/'Inputs &amp; Drivers'!$E$16*(DM$6=$C$5)</f>
        <v>0</v>
      </c>
      <c r="DN94" s="12">
        <f>DN$81/'Inputs &amp; Drivers'!$E$16*(DN$6=$C$5)</f>
        <v>0</v>
      </c>
      <c r="DO94" s="12">
        <f>DO$81/'Inputs &amp; Drivers'!$E$16*(DO$6=$C$5)</f>
        <v>0</v>
      </c>
      <c r="DP94" s="12">
        <f>DP$81/'Inputs &amp; Drivers'!$E$16*(DP$6=$C$5)</f>
        <v>0</v>
      </c>
      <c r="DQ94" s="12">
        <f>DQ$81/'Inputs &amp; Drivers'!$E$16*(DQ$6=$C$5)</f>
        <v>0</v>
      </c>
      <c r="DR94" s="12">
        <f>DR$81/'Inputs &amp; Drivers'!$E$16*(DR$6=$C$5)</f>
        <v>0</v>
      </c>
      <c r="DS94" s="12">
        <f>DS$81/'Inputs &amp; Drivers'!$E$16*(DS$6=$C$5)</f>
        <v>0</v>
      </c>
      <c r="DT94" s="12">
        <f>DT$81/'Inputs &amp; Drivers'!$E$16*(DT$6=$C$5)</f>
        <v>0</v>
      </c>
      <c r="DU94" s="12">
        <f>DU$81/'Inputs &amp; Drivers'!$E$16*(DU$6=$C$5)</f>
        <v>0</v>
      </c>
      <c r="DV94" s="12">
        <f>DV$81/'Inputs &amp; Drivers'!$E$16*(DV$6=$C$5)</f>
        <v>0</v>
      </c>
      <c r="DW94" s="12">
        <f>DW$81/'Inputs &amp; Drivers'!$E$16*(DW$6=$C$5)</f>
        <v>0</v>
      </c>
      <c r="DX94" s="12">
        <f>DX$81/'Inputs &amp; Drivers'!$E$16*(DX$6=$C$5)</f>
        <v>0</v>
      </c>
      <c r="DY94" s="12">
        <f>DY$81/'Inputs &amp; Drivers'!$E$16*(DY$6=$C$5)</f>
        <v>0</v>
      </c>
      <c r="DZ94" s="12">
        <f>DZ$81/'Inputs &amp; Drivers'!$E$16*(DZ$6=$C$5)</f>
        <v>0</v>
      </c>
      <c r="EA94" s="12">
        <f>EA$81/'Inputs &amp; Drivers'!$E$16*(EA$6=$C$5)</f>
        <v>0</v>
      </c>
      <c r="EB94" s="12">
        <f>EB$81/'Inputs &amp; Drivers'!$E$16*(EB$6=$C$5)</f>
        <v>0</v>
      </c>
      <c r="EC94" s="12">
        <f>EC$81/'Inputs &amp; Drivers'!$E$16*(EC$6=$C$5)</f>
        <v>0</v>
      </c>
      <c r="ED94" s="12">
        <f>ED$81/'Inputs &amp; Drivers'!$E$16*(ED$6=$C$5)</f>
        <v>0</v>
      </c>
      <c r="EE94" s="12">
        <f>EE$81/'Inputs &amp; Drivers'!$E$16*(EE$6=$C$5)</f>
        <v>0</v>
      </c>
      <c r="EF94" s="12">
        <f>EF$81/'Inputs &amp; Drivers'!$E$16*(EF$6=$C$5)</f>
        <v>0</v>
      </c>
      <c r="EG94" s="12">
        <f>EG$81/'Inputs &amp; Drivers'!$E$16*(EG$6=$C$5)</f>
        <v>0</v>
      </c>
      <c r="EH94" s="12">
        <f>EH$81/'Inputs &amp; Drivers'!$E$16*(EH$6=$C$5)</f>
        <v>0</v>
      </c>
      <c r="EI94" s="12">
        <f>EI$81/'Inputs &amp; Drivers'!$E$16*(EI$6=$C$5)</f>
        <v>0</v>
      </c>
      <c r="EJ94" s="12">
        <f>EJ$81/'Inputs &amp; Drivers'!$E$16*(EJ$6=$C$5)</f>
        <v>0</v>
      </c>
      <c r="EL94" s="12">
        <f t="shared" si="231"/>
        <v>0</v>
      </c>
      <c r="EM94" s="12">
        <f t="shared" si="231"/>
        <v>0</v>
      </c>
      <c r="EN94" s="12">
        <f t="shared" si="231"/>
        <v>0</v>
      </c>
      <c r="EO94" s="12">
        <f t="shared" si="231"/>
        <v>73309414.006509915</v>
      </c>
      <c r="EP94" s="12">
        <f t="shared" si="231"/>
        <v>0</v>
      </c>
      <c r="EQ94" s="12">
        <f t="shared" si="231"/>
        <v>0</v>
      </c>
      <c r="ER94" s="12">
        <f t="shared" si="231"/>
        <v>0</v>
      </c>
      <c r="ES94" s="12">
        <f t="shared" si="231"/>
        <v>0</v>
      </c>
      <c r="ET94" s="12">
        <f t="shared" si="231"/>
        <v>0</v>
      </c>
      <c r="EU94" s="12">
        <f t="shared" si="231"/>
        <v>0</v>
      </c>
      <c r="EV94" s="12">
        <f t="shared" si="231"/>
        <v>0</v>
      </c>
      <c r="EW94" s="12">
        <f t="shared" si="231"/>
        <v>0</v>
      </c>
    </row>
    <row r="95" spans="2:153" x14ac:dyDescent="0.4">
      <c r="B95" s="1" t="s">
        <v>65</v>
      </c>
      <c r="F95" s="12" cm="1">
        <f t="array" ref="F95">SUMPRODUCT(($H95:$EJ95)*($H$6:$EJ$6&lt;=$C$5))</f>
        <v>-733094.14006509911</v>
      </c>
      <c r="H95" s="12">
        <f>-'Inputs &amp; Drivers'!$E$15*Model!H94</f>
        <v>0</v>
      </c>
      <c r="I95" s="12">
        <f>-'Inputs &amp; Drivers'!$E$15*Model!I94</f>
        <v>0</v>
      </c>
      <c r="J95" s="12">
        <f>-'Inputs &amp; Drivers'!$E$15*Model!J94</f>
        <v>0</v>
      </c>
      <c r="K95" s="12">
        <f>-'Inputs &amp; Drivers'!$E$15*Model!K94</f>
        <v>0</v>
      </c>
      <c r="L95" s="12">
        <f>-'Inputs &amp; Drivers'!$E$15*Model!L94</f>
        <v>0</v>
      </c>
      <c r="M95" s="12">
        <f>-'Inputs &amp; Drivers'!$E$15*Model!M94</f>
        <v>0</v>
      </c>
      <c r="N95" s="12">
        <f>-'Inputs &amp; Drivers'!$E$15*Model!N94</f>
        <v>0</v>
      </c>
      <c r="O95" s="12">
        <f>-'Inputs &amp; Drivers'!$E$15*Model!O94</f>
        <v>0</v>
      </c>
      <c r="P95" s="12">
        <f>-'Inputs &amp; Drivers'!$E$15*Model!P94</f>
        <v>0</v>
      </c>
      <c r="Q95" s="12">
        <f>-'Inputs &amp; Drivers'!$E$15*Model!Q94</f>
        <v>0</v>
      </c>
      <c r="R95" s="12">
        <f>-'Inputs &amp; Drivers'!$E$15*Model!R94</f>
        <v>0</v>
      </c>
      <c r="S95" s="12">
        <f>-'Inputs &amp; Drivers'!$E$15*Model!S94</f>
        <v>0</v>
      </c>
      <c r="T95" s="12">
        <f>-'Inputs &amp; Drivers'!$E$15*Model!T94</f>
        <v>0</v>
      </c>
      <c r="U95" s="12">
        <f>-'Inputs &amp; Drivers'!$E$15*Model!U94</f>
        <v>0</v>
      </c>
      <c r="V95" s="12">
        <f>-'Inputs &amp; Drivers'!$E$15*Model!V94</f>
        <v>0</v>
      </c>
      <c r="W95" s="12">
        <f>-'Inputs &amp; Drivers'!$E$15*Model!W94</f>
        <v>0</v>
      </c>
      <c r="X95" s="12">
        <f>-'Inputs &amp; Drivers'!$E$15*Model!X94</f>
        <v>0</v>
      </c>
      <c r="Y95" s="12">
        <f>-'Inputs &amp; Drivers'!$E$15*Model!Y94</f>
        <v>0</v>
      </c>
      <c r="Z95" s="12">
        <f>-'Inputs &amp; Drivers'!$E$15*Model!Z94</f>
        <v>0</v>
      </c>
      <c r="AA95" s="12">
        <f>-'Inputs &amp; Drivers'!$E$15*Model!AA94</f>
        <v>0</v>
      </c>
      <c r="AB95" s="12">
        <f>-'Inputs &amp; Drivers'!$E$15*Model!AB94</f>
        <v>0</v>
      </c>
      <c r="AC95" s="12">
        <f>-'Inputs &amp; Drivers'!$E$15*Model!AC94</f>
        <v>0</v>
      </c>
      <c r="AD95" s="12">
        <f>-'Inputs &amp; Drivers'!$E$15*Model!AD94</f>
        <v>0</v>
      </c>
      <c r="AE95" s="12">
        <f>-'Inputs &amp; Drivers'!$E$15*Model!AE94</f>
        <v>0</v>
      </c>
      <c r="AF95" s="12">
        <f>-'Inputs &amp; Drivers'!$E$15*Model!AF94</f>
        <v>0</v>
      </c>
      <c r="AG95" s="12">
        <f>-'Inputs &amp; Drivers'!$E$15*Model!AG94</f>
        <v>0</v>
      </c>
      <c r="AH95" s="12">
        <f>-'Inputs &amp; Drivers'!$E$15*Model!AH94</f>
        <v>0</v>
      </c>
      <c r="AI95" s="12">
        <f>-'Inputs &amp; Drivers'!$E$15*Model!AI94</f>
        <v>0</v>
      </c>
      <c r="AJ95" s="12">
        <f>-'Inputs &amp; Drivers'!$E$15*Model!AJ94</f>
        <v>0</v>
      </c>
      <c r="AK95" s="12">
        <f>-'Inputs &amp; Drivers'!$E$15*Model!AK94</f>
        <v>0</v>
      </c>
      <c r="AL95" s="12">
        <f>-'Inputs &amp; Drivers'!$E$15*Model!AL94</f>
        <v>0</v>
      </c>
      <c r="AM95" s="12">
        <f>-'Inputs &amp; Drivers'!$E$15*Model!AM94</f>
        <v>0</v>
      </c>
      <c r="AN95" s="12">
        <f>-'Inputs &amp; Drivers'!$E$15*Model!AN94</f>
        <v>0</v>
      </c>
      <c r="AO95" s="12">
        <f>-'Inputs &amp; Drivers'!$E$15*Model!AO94</f>
        <v>0</v>
      </c>
      <c r="AP95" s="12">
        <f>-'Inputs &amp; Drivers'!$E$15*Model!AP94</f>
        <v>0</v>
      </c>
      <c r="AQ95" s="12">
        <f>-'Inputs &amp; Drivers'!$E$15*Model!AQ94</f>
        <v>0</v>
      </c>
      <c r="AR95" s="12">
        <f>-'Inputs &amp; Drivers'!$E$15*Model!AR94</f>
        <v>-733094.14006509911</v>
      </c>
      <c r="AS95" s="12">
        <f>-'Inputs &amp; Drivers'!$E$15*Model!AS94</f>
        <v>0</v>
      </c>
      <c r="AT95" s="12">
        <f>-'Inputs &amp; Drivers'!$E$15*Model!AT94</f>
        <v>0</v>
      </c>
      <c r="AU95" s="12">
        <f>-'Inputs &amp; Drivers'!$E$15*Model!AU94</f>
        <v>0</v>
      </c>
      <c r="AV95" s="12">
        <f>-'Inputs &amp; Drivers'!$E$15*Model!AV94</f>
        <v>0</v>
      </c>
      <c r="AW95" s="12">
        <f>-'Inputs &amp; Drivers'!$E$15*Model!AW94</f>
        <v>0</v>
      </c>
      <c r="AX95" s="12">
        <f>-'Inputs &amp; Drivers'!$E$15*Model!AX94</f>
        <v>0</v>
      </c>
      <c r="AY95" s="12">
        <f>-'Inputs &amp; Drivers'!$E$15*Model!AY94</f>
        <v>0</v>
      </c>
      <c r="AZ95" s="12">
        <f>-'Inputs &amp; Drivers'!$E$15*Model!AZ94</f>
        <v>0</v>
      </c>
      <c r="BA95" s="12">
        <f>-'Inputs &amp; Drivers'!$E$15*Model!BA94</f>
        <v>0</v>
      </c>
      <c r="BB95" s="12">
        <f>-'Inputs &amp; Drivers'!$E$15*Model!BB94</f>
        <v>0</v>
      </c>
      <c r="BC95" s="12">
        <f>-'Inputs &amp; Drivers'!$E$15*Model!BC94</f>
        <v>0</v>
      </c>
      <c r="BD95" s="12">
        <f>-'Inputs &amp; Drivers'!$E$15*Model!BD94</f>
        <v>0</v>
      </c>
      <c r="BE95" s="12">
        <f>-'Inputs &amp; Drivers'!$E$15*Model!BE94</f>
        <v>0</v>
      </c>
      <c r="BF95" s="12">
        <f>-'Inputs &amp; Drivers'!$E$15*Model!BF94</f>
        <v>0</v>
      </c>
      <c r="BG95" s="12">
        <f>-'Inputs &amp; Drivers'!$E$15*Model!BG94</f>
        <v>0</v>
      </c>
      <c r="BH95" s="12">
        <f>-'Inputs &amp; Drivers'!$E$15*Model!BH94</f>
        <v>0</v>
      </c>
      <c r="BI95" s="12">
        <f>-'Inputs &amp; Drivers'!$E$15*Model!BI94</f>
        <v>0</v>
      </c>
      <c r="BJ95" s="12">
        <f>-'Inputs &amp; Drivers'!$E$15*Model!BJ94</f>
        <v>0</v>
      </c>
      <c r="BK95" s="12">
        <f>-'Inputs &amp; Drivers'!$E$15*Model!BK94</f>
        <v>0</v>
      </c>
      <c r="BL95" s="12">
        <f>-'Inputs &amp; Drivers'!$E$15*Model!BL94</f>
        <v>0</v>
      </c>
      <c r="BM95" s="12">
        <f>-'Inputs &amp; Drivers'!$E$15*Model!BM94</f>
        <v>0</v>
      </c>
      <c r="BN95" s="12">
        <f>-'Inputs &amp; Drivers'!$E$15*Model!BN94</f>
        <v>0</v>
      </c>
      <c r="BO95" s="12">
        <f>-'Inputs &amp; Drivers'!$E$15*Model!BO94</f>
        <v>0</v>
      </c>
      <c r="BP95" s="12">
        <f>-'Inputs &amp; Drivers'!$E$15*Model!BP94</f>
        <v>0</v>
      </c>
      <c r="BQ95" s="12">
        <f>-'Inputs &amp; Drivers'!$E$15*Model!BQ94</f>
        <v>0</v>
      </c>
      <c r="BR95" s="12">
        <f>-'Inputs &amp; Drivers'!$E$15*Model!BR94</f>
        <v>0</v>
      </c>
      <c r="BS95" s="12">
        <f>-'Inputs &amp; Drivers'!$E$15*Model!BS94</f>
        <v>0</v>
      </c>
      <c r="BT95" s="12">
        <f>-'Inputs &amp; Drivers'!$E$15*Model!BT94</f>
        <v>0</v>
      </c>
      <c r="BU95" s="12">
        <f>-'Inputs &amp; Drivers'!$E$15*Model!BU94</f>
        <v>0</v>
      </c>
      <c r="BV95" s="12">
        <f>-'Inputs &amp; Drivers'!$E$15*Model!BV94</f>
        <v>0</v>
      </c>
      <c r="BW95" s="12">
        <f>-'Inputs &amp; Drivers'!$E$15*Model!BW94</f>
        <v>0</v>
      </c>
      <c r="BX95" s="12">
        <f>-'Inputs &amp; Drivers'!$E$15*Model!BX94</f>
        <v>0</v>
      </c>
      <c r="BY95" s="12">
        <f>-'Inputs &amp; Drivers'!$E$15*Model!BY94</f>
        <v>0</v>
      </c>
      <c r="BZ95" s="12">
        <f>-'Inputs &amp; Drivers'!$E$15*Model!BZ94</f>
        <v>0</v>
      </c>
      <c r="CA95" s="12">
        <f>-'Inputs &amp; Drivers'!$E$15*Model!CA94</f>
        <v>0</v>
      </c>
      <c r="CB95" s="12">
        <f>-'Inputs &amp; Drivers'!$E$15*Model!CB94</f>
        <v>0</v>
      </c>
      <c r="CC95" s="12">
        <f>-'Inputs &amp; Drivers'!$E$15*Model!CC94</f>
        <v>0</v>
      </c>
      <c r="CD95" s="12">
        <f>-'Inputs &amp; Drivers'!$E$15*Model!CD94</f>
        <v>0</v>
      </c>
      <c r="CE95" s="12">
        <f>-'Inputs &amp; Drivers'!$E$15*Model!CE94</f>
        <v>0</v>
      </c>
      <c r="CF95" s="12">
        <f>-'Inputs &amp; Drivers'!$E$15*Model!CF94</f>
        <v>0</v>
      </c>
      <c r="CG95" s="12">
        <f>-'Inputs &amp; Drivers'!$E$15*Model!CG94</f>
        <v>0</v>
      </c>
      <c r="CH95" s="12">
        <f>-'Inputs &amp; Drivers'!$E$15*Model!CH94</f>
        <v>0</v>
      </c>
      <c r="CI95" s="12">
        <f>-'Inputs &amp; Drivers'!$E$15*Model!CI94</f>
        <v>0</v>
      </c>
      <c r="CJ95" s="12">
        <f>-'Inputs &amp; Drivers'!$E$15*Model!CJ94</f>
        <v>0</v>
      </c>
      <c r="CK95" s="12">
        <f>-'Inputs &amp; Drivers'!$E$15*Model!CK94</f>
        <v>0</v>
      </c>
      <c r="CL95" s="12">
        <f>-'Inputs &amp; Drivers'!$E$15*Model!CL94</f>
        <v>0</v>
      </c>
      <c r="CM95" s="12">
        <f>-'Inputs &amp; Drivers'!$E$15*Model!CM94</f>
        <v>0</v>
      </c>
      <c r="CN95" s="12">
        <f>-'Inputs &amp; Drivers'!$E$15*Model!CN94</f>
        <v>0</v>
      </c>
      <c r="CO95" s="12">
        <f>-'Inputs &amp; Drivers'!$E$15*Model!CO94</f>
        <v>0</v>
      </c>
      <c r="CP95" s="12">
        <f>-'Inputs &amp; Drivers'!$E$15*Model!CP94</f>
        <v>0</v>
      </c>
      <c r="CQ95" s="12">
        <f>-'Inputs &amp; Drivers'!$E$15*Model!CQ94</f>
        <v>0</v>
      </c>
      <c r="CR95" s="12">
        <f>-'Inputs &amp; Drivers'!$E$15*Model!CR94</f>
        <v>0</v>
      </c>
      <c r="CS95" s="12">
        <f>-'Inputs &amp; Drivers'!$E$15*Model!CS94</f>
        <v>0</v>
      </c>
      <c r="CT95" s="12">
        <f>-'Inputs &amp; Drivers'!$E$15*Model!CT94</f>
        <v>0</v>
      </c>
      <c r="CU95" s="12">
        <f>-'Inputs &amp; Drivers'!$E$15*Model!CU94</f>
        <v>0</v>
      </c>
      <c r="CV95" s="12">
        <f>-'Inputs &amp; Drivers'!$E$15*Model!CV94</f>
        <v>0</v>
      </c>
      <c r="CW95" s="12">
        <f>-'Inputs &amp; Drivers'!$E$15*Model!CW94</f>
        <v>0</v>
      </c>
      <c r="CX95" s="12">
        <f>-'Inputs &amp; Drivers'!$E$15*Model!CX94</f>
        <v>0</v>
      </c>
      <c r="CY95" s="12">
        <f>-'Inputs &amp; Drivers'!$E$15*Model!CY94</f>
        <v>0</v>
      </c>
      <c r="CZ95" s="12">
        <f>-'Inputs &amp; Drivers'!$E$15*Model!CZ94</f>
        <v>0</v>
      </c>
      <c r="DA95" s="12">
        <f>-'Inputs &amp; Drivers'!$E$15*Model!DA94</f>
        <v>0</v>
      </c>
      <c r="DB95" s="12">
        <f>-'Inputs &amp; Drivers'!$E$15*Model!DB94</f>
        <v>0</v>
      </c>
      <c r="DC95" s="12">
        <f>-'Inputs &amp; Drivers'!$E$15*Model!DC94</f>
        <v>0</v>
      </c>
      <c r="DD95" s="12">
        <f>-'Inputs &amp; Drivers'!$E$15*Model!DD94</f>
        <v>0</v>
      </c>
      <c r="DE95" s="12">
        <f>-'Inputs &amp; Drivers'!$E$15*Model!DE94</f>
        <v>0</v>
      </c>
      <c r="DF95" s="12">
        <f>-'Inputs &amp; Drivers'!$E$15*Model!DF94</f>
        <v>0</v>
      </c>
      <c r="DG95" s="12">
        <f>-'Inputs &amp; Drivers'!$E$15*Model!DG94</f>
        <v>0</v>
      </c>
      <c r="DH95" s="12">
        <f>-'Inputs &amp; Drivers'!$E$15*Model!DH94</f>
        <v>0</v>
      </c>
      <c r="DI95" s="12">
        <f>-'Inputs &amp; Drivers'!$E$15*Model!DI94</f>
        <v>0</v>
      </c>
      <c r="DJ95" s="12">
        <f>-'Inputs &amp; Drivers'!$E$15*Model!DJ94</f>
        <v>0</v>
      </c>
      <c r="DK95" s="12">
        <f>-'Inputs &amp; Drivers'!$E$15*Model!DK94</f>
        <v>0</v>
      </c>
      <c r="DL95" s="12">
        <f>-'Inputs &amp; Drivers'!$E$15*Model!DL94</f>
        <v>0</v>
      </c>
      <c r="DM95" s="12">
        <f>-'Inputs &amp; Drivers'!$E$15*Model!DM94</f>
        <v>0</v>
      </c>
      <c r="DN95" s="12">
        <f>-'Inputs &amp; Drivers'!$E$15*Model!DN94</f>
        <v>0</v>
      </c>
      <c r="DO95" s="12">
        <f>-'Inputs &amp; Drivers'!$E$15*Model!DO94</f>
        <v>0</v>
      </c>
      <c r="DP95" s="12">
        <f>-'Inputs &amp; Drivers'!$E$15*Model!DP94</f>
        <v>0</v>
      </c>
      <c r="DQ95" s="12">
        <f>-'Inputs &amp; Drivers'!$E$15*Model!DQ94</f>
        <v>0</v>
      </c>
      <c r="DR95" s="12">
        <f>-'Inputs &amp; Drivers'!$E$15*Model!DR94</f>
        <v>0</v>
      </c>
      <c r="DS95" s="12">
        <f>-'Inputs &amp; Drivers'!$E$15*Model!DS94</f>
        <v>0</v>
      </c>
      <c r="DT95" s="12">
        <f>-'Inputs &amp; Drivers'!$E$15*Model!DT94</f>
        <v>0</v>
      </c>
      <c r="DU95" s="12">
        <f>-'Inputs &amp; Drivers'!$E$15*Model!DU94</f>
        <v>0</v>
      </c>
      <c r="DV95" s="12">
        <f>-'Inputs &amp; Drivers'!$E$15*Model!DV94</f>
        <v>0</v>
      </c>
      <c r="DW95" s="12">
        <f>-'Inputs &amp; Drivers'!$E$15*Model!DW94</f>
        <v>0</v>
      </c>
      <c r="DX95" s="12">
        <f>-'Inputs &amp; Drivers'!$E$15*Model!DX94</f>
        <v>0</v>
      </c>
      <c r="DY95" s="12">
        <f>-'Inputs &amp; Drivers'!$E$15*Model!DY94</f>
        <v>0</v>
      </c>
      <c r="DZ95" s="12">
        <f>-'Inputs &amp; Drivers'!$E$15*Model!DZ94</f>
        <v>0</v>
      </c>
      <c r="EA95" s="12">
        <f>-'Inputs &amp; Drivers'!$E$15*Model!EA94</f>
        <v>0</v>
      </c>
      <c r="EB95" s="12">
        <f>-'Inputs &amp; Drivers'!$E$15*Model!EB94</f>
        <v>0</v>
      </c>
      <c r="EC95" s="12">
        <f>-'Inputs &amp; Drivers'!$E$15*Model!EC94</f>
        <v>0</v>
      </c>
      <c r="ED95" s="12">
        <f>-'Inputs &amp; Drivers'!$E$15*Model!ED94</f>
        <v>0</v>
      </c>
      <c r="EE95" s="12">
        <f>-'Inputs &amp; Drivers'!$E$15*Model!EE94</f>
        <v>0</v>
      </c>
      <c r="EF95" s="12">
        <f>-'Inputs &amp; Drivers'!$E$15*Model!EF94</f>
        <v>0</v>
      </c>
      <c r="EG95" s="12">
        <f>-'Inputs &amp; Drivers'!$E$15*Model!EG94</f>
        <v>0</v>
      </c>
      <c r="EH95" s="12">
        <f>-'Inputs &amp; Drivers'!$E$15*Model!EH94</f>
        <v>0</v>
      </c>
      <c r="EI95" s="12">
        <f>-'Inputs &amp; Drivers'!$E$15*Model!EI94</f>
        <v>0</v>
      </c>
      <c r="EJ95" s="12">
        <f>-'Inputs &amp; Drivers'!$E$15*Model!EJ94</f>
        <v>0</v>
      </c>
      <c r="EL95" s="12">
        <f t="shared" si="231"/>
        <v>0</v>
      </c>
      <c r="EM95" s="12">
        <f t="shared" si="231"/>
        <v>0</v>
      </c>
      <c r="EN95" s="12">
        <f t="shared" si="231"/>
        <v>0</v>
      </c>
      <c r="EO95" s="12">
        <f t="shared" si="231"/>
        <v>-733094.14006509911</v>
      </c>
      <c r="EP95" s="12">
        <f t="shared" si="231"/>
        <v>0</v>
      </c>
      <c r="EQ95" s="12">
        <f t="shared" si="231"/>
        <v>0</v>
      </c>
      <c r="ER95" s="12">
        <f t="shared" si="231"/>
        <v>0</v>
      </c>
      <c r="ES95" s="12">
        <f t="shared" si="231"/>
        <v>0</v>
      </c>
      <c r="ET95" s="12">
        <f t="shared" si="231"/>
        <v>0</v>
      </c>
      <c r="EU95" s="12">
        <f t="shared" si="231"/>
        <v>0</v>
      </c>
      <c r="EV95" s="12">
        <f t="shared" si="231"/>
        <v>0</v>
      </c>
      <c r="EW95" s="12">
        <f t="shared" si="231"/>
        <v>0</v>
      </c>
    </row>
    <row r="96" spans="2:153" x14ac:dyDescent="0.4">
      <c r="B96" s="68" t="s">
        <v>283</v>
      </c>
      <c r="C96" s="96"/>
      <c r="D96" s="96"/>
      <c r="E96" s="96"/>
      <c r="F96" s="221">
        <f>SUM(F90:F95)</f>
        <v>15166319.866444815</v>
      </c>
      <c r="G96" s="96"/>
      <c r="H96" s="221">
        <f t="shared" ref="H96:AM96" si="232">SUM(H90:H95)</f>
        <v>-5700000</v>
      </c>
      <c r="I96" s="221">
        <f t="shared" si="232"/>
        <v>0</v>
      </c>
      <c r="J96" s="221">
        <f t="shared" si="232"/>
        <v>0</v>
      </c>
      <c r="K96" s="221">
        <f t="shared" si="232"/>
        <v>-360500</v>
      </c>
      <c r="L96" s="221">
        <f t="shared" si="232"/>
        <v>-360500</v>
      </c>
      <c r="M96" s="221">
        <f t="shared" si="232"/>
        <v>-360500</v>
      </c>
      <c r="N96" s="221">
        <f t="shared" si="232"/>
        <v>-360500</v>
      </c>
      <c r="O96" s="221">
        <f t="shared" si="232"/>
        <v>-3141750</v>
      </c>
      <c r="P96" s="221">
        <f t="shared" si="232"/>
        <v>-3141750</v>
      </c>
      <c r="Q96" s="221">
        <f t="shared" si="232"/>
        <v>-3141750</v>
      </c>
      <c r="R96" s="221">
        <f t="shared" si="232"/>
        <v>-3141750</v>
      </c>
      <c r="S96" s="221">
        <f t="shared" si="232"/>
        <v>-3141750</v>
      </c>
      <c r="T96" s="221">
        <f t="shared" si="232"/>
        <v>-3141750</v>
      </c>
      <c r="U96" s="221">
        <f t="shared" si="232"/>
        <v>-3141750</v>
      </c>
      <c r="V96" s="221">
        <f t="shared" si="232"/>
        <v>-3141750</v>
      </c>
      <c r="W96" s="221">
        <f t="shared" si="232"/>
        <v>-3141750</v>
      </c>
      <c r="X96" s="221">
        <f t="shared" si="232"/>
        <v>-3141750</v>
      </c>
      <c r="Y96" s="221">
        <f t="shared" si="232"/>
        <v>-3141750</v>
      </c>
      <c r="Z96" s="221">
        <f t="shared" si="232"/>
        <v>-3141750</v>
      </c>
      <c r="AA96" s="221">
        <f t="shared" si="232"/>
        <v>-3141750</v>
      </c>
      <c r="AB96" s="221">
        <f t="shared" si="232"/>
        <v>-3141750</v>
      </c>
      <c r="AC96" s="221">
        <f t="shared" si="232"/>
        <v>-3141750</v>
      </c>
      <c r="AD96" s="221">
        <f t="shared" si="232"/>
        <v>-3141750</v>
      </c>
      <c r="AE96" s="221">
        <f t="shared" si="232"/>
        <v>0</v>
      </c>
      <c r="AF96" s="221">
        <f t="shared" si="232"/>
        <v>0</v>
      </c>
      <c r="AG96" s="221">
        <f t="shared" si="232"/>
        <v>0</v>
      </c>
      <c r="AH96" s="221">
        <f t="shared" si="232"/>
        <v>0</v>
      </c>
      <c r="AI96" s="221">
        <f t="shared" si="232"/>
        <v>0</v>
      </c>
      <c r="AJ96" s="221">
        <f t="shared" si="232"/>
        <v>0</v>
      </c>
      <c r="AK96" s="221">
        <f t="shared" si="232"/>
        <v>0</v>
      </c>
      <c r="AL96" s="221">
        <f t="shared" si="232"/>
        <v>0</v>
      </c>
      <c r="AM96" s="221">
        <f t="shared" si="232"/>
        <v>0</v>
      </c>
      <c r="AN96" s="221">
        <f t="shared" ref="AN96:BS96" si="233">SUM(AN90:AN95)</f>
        <v>0</v>
      </c>
      <c r="AO96" s="221">
        <f t="shared" si="233"/>
        <v>0</v>
      </c>
      <c r="AP96" s="221">
        <f t="shared" si="233"/>
        <v>0</v>
      </c>
      <c r="AQ96" s="221">
        <f t="shared" si="233"/>
        <v>0</v>
      </c>
      <c r="AR96" s="221">
        <f t="shared" si="233"/>
        <v>72576319.866444811</v>
      </c>
      <c r="AS96" s="221">
        <f t="shared" si="233"/>
        <v>0</v>
      </c>
      <c r="AT96" s="221">
        <f t="shared" si="233"/>
        <v>0</v>
      </c>
      <c r="AU96" s="221">
        <f t="shared" si="233"/>
        <v>0</v>
      </c>
      <c r="AV96" s="221">
        <f t="shared" si="233"/>
        <v>0</v>
      </c>
      <c r="AW96" s="221">
        <f t="shared" si="233"/>
        <v>0</v>
      </c>
      <c r="AX96" s="221">
        <f t="shared" si="233"/>
        <v>0</v>
      </c>
      <c r="AY96" s="221">
        <f t="shared" si="233"/>
        <v>0</v>
      </c>
      <c r="AZ96" s="221">
        <f t="shared" si="233"/>
        <v>0</v>
      </c>
      <c r="BA96" s="221">
        <f t="shared" si="233"/>
        <v>0</v>
      </c>
      <c r="BB96" s="221">
        <f t="shared" si="233"/>
        <v>0</v>
      </c>
      <c r="BC96" s="221">
        <f t="shared" si="233"/>
        <v>0</v>
      </c>
      <c r="BD96" s="221">
        <f t="shared" si="233"/>
        <v>0</v>
      </c>
      <c r="BE96" s="221">
        <f t="shared" si="233"/>
        <v>0</v>
      </c>
      <c r="BF96" s="221">
        <f t="shared" si="233"/>
        <v>0</v>
      </c>
      <c r="BG96" s="221">
        <f t="shared" si="233"/>
        <v>0</v>
      </c>
      <c r="BH96" s="221">
        <f t="shared" si="233"/>
        <v>0</v>
      </c>
      <c r="BI96" s="221">
        <f t="shared" si="233"/>
        <v>0</v>
      </c>
      <c r="BJ96" s="221">
        <f t="shared" si="233"/>
        <v>0</v>
      </c>
      <c r="BK96" s="221">
        <f t="shared" si="233"/>
        <v>0</v>
      </c>
      <c r="BL96" s="221">
        <f t="shared" si="233"/>
        <v>0</v>
      </c>
      <c r="BM96" s="221">
        <f t="shared" si="233"/>
        <v>0</v>
      </c>
      <c r="BN96" s="221">
        <f t="shared" si="233"/>
        <v>0</v>
      </c>
      <c r="BO96" s="221">
        <f t="shared" si="233"/>
        <v>0</v>
      </c>
      <c r="BP96" s="221">
        <f t="shared" si="233"/>
        <v>0</v>
      </c>
      <c r="BQ96" s="221">
        <f t="shared" si="233"/>
        <v>0</v>
      </c>
      <c r="BR96" s="221">
        <f t="shared" si="233"/>
        <v>0</v>
      </c>
      <c r="BS96" s="221">
        <f t="shared" si="233"/>
        <v>0</v>
      </c>
      <c r="BT96" s="221">
        <f t="shared" ref="BT96:CY96" si="234">SUM(BT90:BT95)</f>
        <v>0</v>
      </c>
      <c r="BU96" s="221">
        <f t="shared" si="234"/>
        <v>0</v>
      </c>
      <c r="BV96" s="221">
        <f t="shared" si="234"/>
        <v>0</v>
      </c>
      <c r="BW96" s="221">
        <f t="shared" si="234"/>
        <v>0</v>
      </c>
      <c r="BX96" s="221">
        <f t="shared" si="234"/>
        <v>0</v>
      </c>
      <c r="BY96" s="221">
        <f t="shared" si="234"/>
        <v>0</v>
      </c>
      <c r="BZ96" s="221">
        <f t="shared" si="234"/>
        <v>0</v>
      </c>
      <c r="CA96" s="221">
        <f t="shared" si="234"/>
        <v>0</v>
      </c>
      <c r="CB96" s="221">
        <f t="shared" si="234"/>
        <v>0</v>
      </c>
      <c r="CC96" s="221">
        <f t="shared" si="234"/>
        <v>0</v>
      </c>
      <c r="CD96" s="221">
        <f t="shared" si="234"/>
        <v>0</v>
      </c>
      <c r="CE96" s="221">
        <f t="shared" si="234"/>
        <v>0</v>
      </c>
      <c r="CF96" s="221">
        <f t="shared" si="234"/>
        <v>0</v>
      </c>
      <c r="CG96" s="221">
        <f t="shared" si="234"/>
        <v>0</v>
      </c>
      <c r="CH96" s="221">
        <f t="shared" si="234"/>
        <v>0</v>
      </c>
      <c r="CI96" s="221">
        <f t="shared" si="234"/>
        <v>0</v>
      </c>
      <c r="CJ96" s="221">
        <f t="shared" si="234"/>
        <v>0</v>
      </c>
      <c r="CK96" s="221">
        <f t="shared" si="234"/>
        <v>0</v>
      </c>
      <c r="CL96" s="221">
        <f t="shared" si="234"/>
        <v>0</v>
      </c>
      <c r="CM96" s="221">
        <f t="shared" si="234"/>
        <v>0</v>
      </c>
      <c r="CN96" s="221">
        <f t="shared" si="234"/>
        <v>0</v>
      </c>
      <c r="CO96" s="221">
        <f t="shared" si="234"/>
        <v>0</v>
      </c>
      <c r="CP96" s="221">
        <f t="shared" si="234"/>
        <v>0</v>
      </c>
      <c r="CQ96" s="221">
        <f t="shared" si="234"/>
        <v>0</v>
      </c>
      <c r="CR96" s="221">
        <f t="shared" si="234"/>
        <v>0</v>
      </c>
      <c r="CS96" s="221">
        <f t="shared" si="234"/>
        <v>0</v>
      </c>
      <c r="CT96" s="221">
        <f t="shared" si="234"/>
        <v>0</v>
      </c>
      <c r="CU96" s="221">
        <f t="shared" si="234"/>
        <v>0</v>
      </c>
      <c r="CV96" s="221">
        <f t="shared" si="234"/>
        <v>0</v>
      </c>
      <c r="CW96" s="221">
        <f t="shared" si="234"/>
        <v>0</v>
      </c>
      <c r="CX96" s="221">
        <f t="shared" si="234"/>
        <v>0</v>
      </c>
      <c r="CY96" s="221">
        <f t="shared" si="234"/>
        <v>0</v>
      </c>
      <c r="CZ96" s="221">
        <f t="shared" ref="CZ96:EE96" si="235">SUM(CZ90:CZ95)</f>
        <v>0</v>
      </c>
      <c r="DA96" s="221">
        <f t="shared" si="235"/>
        <v>0</v>
      </c>
      <c r="DB96" s="221">
        <f t="shared" si="235"/>
        <v>0</v>
      </c>
      <c r="DC96" s="221">
        <f t="shared" si="235"/>
        <v>0</v>
      </c>
      <c r="DD96" s="221">
        <f t="shared" si="235"/>
        <v>0</v>
      </c>
      <c r="DE96" s="221">
        <f t="shared" si="235"/>
        <v>0</v>
      </c>
      <c r="DF96" s="221">
        <f t="shared" si="235"/>
        <v>0</v>
      </c>
      <c r="DG96" s="221">
        <f t="shared" si="235"/>
        <v>0</v>
      </c>
      <c r="DH96" s="221">
        <f t="shared" si="235"/>
        <v>0</v>
      </c>
      <c r="DI96" s="221">
        <f t="shared" si="235"/>
        <v>0</v>
      </c>
      <c r="DJ96" s="221">
        <f t="shared" si="235"/>
        <v>0</v>
      </c>
      <c r="DK96" s="221">
        <f t="shared" si="235"/>
        <v>0</v>
      </c>
      <c r="DL96" s="221">
        <f t="shared" si="235"/>
        <v>0</v>
      </c>
      <c r="DM96" s="221">
        <f t="shared" si="235"/>
        <v>0</v>
      </c>
      <c r="DN96" s="221">
        <f t="shared" si="235"/>
        <v>0</v>
      </c>
      <c r="DO96" s="221">
        <f t="shared" si="235"/>
        <v>0</v>
      </c>
      <c r="DP96" s="221">
        <f t="shared" si="235"/>
        <v>0</v>
      </c>
      <c r="DQ96" s="221">
        <f t="shared" si="235"/>
        <v>0</v>
      </c>
      <c r="DR96" s="221">
        <f t="shared" si="235"/>
        <v>0</v>
      </c>
      <c r="DS96" s="221">
        <f t="shared" si="235"/>
        <v>0</v>
      </c>
      <c r="DT96" s="221">
        <f t="shared" si="235"/>
        <v>0</v>
      </c>
      <c r="DU96" s="221">
        <f t="shared" si="235"/>
        <v>0</v>
      </c>
      <c r="DV96" s="221">
        <f t="shared" si="235"/>
        <v>0</v>
      </c>
      <c r="DW96" s="221">
        <f t="shared" si="235"/>
        <v>0</v>
      </c>
      <c r="DX96" s="221">
        <f t="shared" si="235"/>
        <v>0</v>
      </c>
      <c r="DY96" s="221">
        <f t="shared" si="235"/>
        <v>0</v>
      </c>
      <c r="DZ96" s="221">
        <f t="shared" si="235"/>
        <v>0</v>
      </c>
      <c r="EA96" s="221">
        <f t="shared" si="235"/>
        <v>0</v>
      </c>
      <c r="EB96" s="221">
        <f t="shared" si="235"/>
        <v>0</v>
      </c>
      <c r="EC96" s="221">
        <f t="shared" si="235"/>
        <v>0</v>
      </c>
      <c r="ED96" s="221">
        <f t="shared" si="235"/>
        <v>0</v>
      </c>
      <c r="EE96" s="221">
        <f t="shared" si="235"/>
        <v>0</v>
      </c>
      <c r="EF96" s="221">
        <f t="shared" ref="EF96:FK96" si="236">SUM(EF90:EF95)</f>
        <v>0</v>
      </c>
      <c r="EG96" s="221">
        <f t="shared" si="236"/>
        <v>0</v>
      </c>
      <c r="EH96" s="221">
        <f t="shared" si="236"/>
        <v>0</v>
      </c>
      <c r="EI96" s="221">
        <f t="shared" si="236"/>
        <v>0</v>
      </c>
      <c r="EJ96" s="221">
        <f t="shared" ref="EJ96:EW96" si="237">SUM(EJ90:EJ95)</f>
        <v>0</v>
      </c>
      <c r="EK96" s="118"/>
      <c r="EL96" s="221">
        <f t="shared" si="237"/>
        <v>-5700000</v>
      </c>
      <c r="EM96" s="221">
        <f t="shared" si="237"/>
        <v>-20292500</v>
      </c>
      <c r="EN96" s="221">
        <f t="shared" si="237"/>
        <v>-31417500</v>
      </c>
      <c r="EO96" s="221">
        <f t="shared" si="237"/>
        <v>72576319.866444811</v>
      </c>
      <c r="EP96" s="221">
        <f t="shared" si="237"/>
        <v>0</v>
      </c>
      <c r="EQ96" s="221">
        <f t="shared" si="237"/>
        <v>0</v>
      </c>
      <c r="ER96" s="221">
        <f t="shared" si="237"/>
        <v>0</v>
      </c>
      <c r="ES96" s="221">
        <f t="shared" si="237"/>
        <v>0</v>
      </c>
      <c r="ET96" s="221">
        <f t="shared" si="237"/>
        <v>0</v>
      </c>
      <c r="EU96" s="221">
        <f t="shared" si="237"/>
        <v>0</v>
      </c>
      <c r="EV96" s="221">
        <f t="shared" si="237"/>
        <v>0</v>
      </c>
      <c r="EW96" s="221">
        <f t="shared" si="237"/>
        <v>0</v>
      </c>
    </row>
    <row r="98" spans="2:159" x14ac:dyDescent="0.4">
      <c r="B98" s="229" t="s">
        <v>68</v>
      </c>
      <c r="C98" s="227"/>
      <c r="D98" s="227"/>
      <c r="E98" s="226"/>
      <c r="F98" s="226">
        <f>F80+F87+F96</f>
        <v>19459557.539677609</v>
      </c>
      <c r="G98" s="227"/>
      <c r="H98" s="226">
        <f>(H80+H87+H96)*(H$6&lt;=$C$5)</f>
        <v>-5700000</v>
      </c>
      <c r="I98" s="226">
        <f t="shared" ref="I98:BT98" si="238">(I80+I87+I96)*(I$6&lt;=$C$5)</f>
        <v>0</v>
      </c>
      <c r="J98" s="226">
        <f t="shared" si="238"/>
        <v>0</v>
      </c>
      <c r="K98" s="226">
        <f t="shared" si="238"/>
        <v>-360500</v>
      </c>
      <c r="L98" s="226">
        <f t="shared" si="238"/>
        <v>-360500</v>
      </c>
      <c r="M98" s="226">
        <f t="shared" si="238"/>
        <v>-360500</v>
      </c>
      <c r="N98" s="226">
        <f t="shared" si="238"/>
        <v>-360500</v>
      </c>
      <c r="O98" s="226">
        <f t="shared" si="238"/>
        <v>-3141750</v>
      </c>
      <c r="P98" s="226">
        <f t="shared" si="238"/>
        <v>-3141750</v>
      </c>
      <c r="Q98" s="226">
        <f t="shared" si="238"/>
        <v>-3141750</v>
      </c>
      <c r="R98" s="226">
        <f t="shared" si="238"/>
        <v>-3141750</v>
      </c>
      <c r="S98" s="226">
        <f t="shared" si="238"/>
        <v>-3141750</v>
      </c>
      <c r="T98" s="226">
        <f t="shared" si="238"/>
        <v>-3141750</v>
      </c>
      <c r="U98" s="226">
        <f t="shared" si="238"/>
        <v>-3141750</v>
      </c>
      <c r="V98" s="226">
        <f t="shared" si="238"/>
        <v>-3141750</v>
      </c>
      <c r="W98" s="226">
        <f t="shared" si="238"/>
        <v>-3141750</v>
      </c>
      <c r="X98" s="226">
        <f t="shared" si="238"/>
        <v>-3141750</v>
      </c>
      <c r="Y98" s="226">
        <f t="shared" si="238"/>
        <v>-3173314.9005423961</v>
      </c>
      <c r="Z98" s="226">
        <f t="shared" si="238"/>
        <v>-3139567.8850247469</v>
      </c>
      <c r="AA98" s="226">
        <f t="shared" si="238"/>
        <v>-3105708.3021917595</v>
      </c>
      <c r="AB98" s="226">
        <f t="shared" si="238"/>
        <v>-3071735.8705607587</v>
      </c>
      <c r="AC98" s="226">
        <f t="shared" si="238"/>
        <v>-3037650.3080234826</v>
      </c>
      <c r="AD98" s="226">
        <f t="shared" si="238"/>
        <v>-3003451.3318447745</v>
      </c>
      <c r="AE98" s="226">
        <f t="shared" si="238"/>
        <v>172611.3413387179</v>
      </c>
      <c r="AF98" s="226">
        <f t="shared" si="238"/>
        <v>207037.995519855</v>
      </c>
      <c r="AG98" s="226">
        <f t="shared" si="238"/>
        <v>249061.26558450828</v>
      </c>
      <c r="AH98" s="226">
        <f t="shared" si="238"/>
        <v>284809.00467727485</v>
      </c>
      <c r="AI98" s="226">
        <f t="shared" si="238"/>
        <v>285536.94177771616</v>
      </c>
      <c r="AJ98" s="226">
        <f t="shared" si="238"/>
        <v>286266.70962022309</v>
      </c>
      <c r="AK98" s="226">
        <f t="shared" si="238"/>
        <v>286998.31279981637</v>
      </c>
      <c r="AL98" s="226">
        <f t="shared" si="238"/>
        <v>287731.75592303457</v>
      </c>
      <c r="AM98" s="226">
        <f t="shared" si="238"/>
        <v>288467.04360796278</v>
      </c>
      <c r="AN98" s="226">
        <f t="shared" si="238"/>
        <v>323475.69057837245</v>
      </c>
      <c r="AO98" s="226">
        <f t="shared" si="238"/>
        <v>324300.36006254307</v>
      </c>
      <c r="AP98" s="226">
        <f t="shared" si="238"/>
        <v>325127.10222918692</v>
      </c>
      <c r="AQ98" s="226">
        <f t="shared" si="238"/>
        <v>325955.92227835837</v>
      </c>
      <c r="AR98" s="226">
        <f t="shared" si="238"/>
        <v>72903106.691867948</v>
      </c>
      <c r="AS98" s="226">
        <f t="shared" si="238"/>
        <v>0</v>
      </c>
      <c r="AT98" s="226">
        <f t="shared" si="238"/>
        <v>0</v>
      </c>
      <c r="AU98" s="226">
        <f t="shared" si="238"/>
        <v>0</v>
      </c>
      <c r="AV98" s="226">
        <f t="shared" si="238"/>
        <v>0</v>
      </c>
      <c r="AW98" s="226">
        <f t="shared" si="238"/>
        <v>0</v>
      </c>
      <c r="AX98" s="226">
        <f t="shared" si="238"/>
        <v>0</v>
      </c>
      <c r="AY98" s="226">
        <f t="shared" si="238"/>
        <v>0</v>
      </c>
      <c r="AZ98" s="226">
        <f t="shared" si="238"/>
        <v>0</v>
      </c>
      <c r="BA98" s="226">
        <f t="shared" si="238"/>
        <v>0</v>
      </c>
      <c r="BB98" s="226">
        <f t="shared" si="238"/>
        <v>0</v>
      </c>
      <c r="BC98" s="226">
        <f t="shared" si="238"/>
        <v>0</v>
      </c>
      <c r="BD98" s="226">
        <f t="shared" si="238"/>
        <v>0</v>
      </c>
      <c r="BE98" s="226">
        <f t="shared" si="238"/>
        <v>0</v>
      </c>
      <c r="BF98" s="226">
        <f t="shared" si="238"/>
        <v>0</v>
      </c>
      <c r="BG98" s="226">
        <f t="shared" si="238"/>
        <v>0</v>
      </c>
      <c r="BH98" s="226">
        <f t="shared" si="238"/>
        <v>0</v>
      </c>
      <c r="BI98" s="226">
        <f t="shared" si="238"/>
        <v>0</v>
      </c>
      <c r="BJ98" s="226">
        <f t="shared" si="238"/>
        <v>0</v>
      </c>
      <c r="BK98" s="226">
        <f t="shared" si="238"/>
        <v>0</v>
      </c>
      <c r="BL98" s="226">
        <f t="shared" si="238"/>
        <v>0</v>
      </c>
      <c r="BM98" s="226">
        <f t="shared" si="238"/>
        <v>0</v>
      </c>
      <c r="BN98" s="226">
        <f t="shared" si="238"/>
        <v>0</v>
      </c>
      <c r="BO98" s="226">
        <f t="shared" si="238"/>
        <v>0</v>
      </c>
      <c r="BP98" s="226">
        <f t="shared" si="238"/>
        <v>0</v>
      </c>
      <c r="BQ98" s="226">
        <f t="shared" si="238"/>
        <v>0</v>
      </c>
      <c r="BR98" s="226">
        <f t="shared" si="238"/>
        <v>0</v>
      </c>
      <c r="BS98" s="226">
        <f t="shared" si="238"/>
        <v>0</v>
      </c>
      <c r="BT98" s="226">
        <f t="shared" si="238"/>
        <v>0</v>
      </c>
      <c r="BU98" s="226">
        <f t="shared" ref="BU98:EF98" si="239">(BU80+BU87+BU96)*(BU$6&lt;=$C$5)</f>
        <v>0</v>
      </c>
      <c r="BV98" s="226">
        <f t="shared" si="239"/>
        <v>0</v>
      </c>
      <c r="BW98" s="226">
        <f t="shared" si="239"/>
        <v>0</v>
      </c>
      <c r="BX98" s="226">
        <f t="shared" si="239"/>
        <v>0</v>
      </c>
      <c r="BY98" s="226">
        <f t="shared" si="239"/>
        <v>0</v>
      </c>
      <c r="BZ98" s="226">
        <f t="shared" si="239"/>
        <v>0</v>
      </c>
      <c r="CA98" s="226">
        <f t="shared" si="239"/>
        <v>0</v>
      </c>
      <c r="CB98" s="226">
        <f t="shared" si="239"/>
        <v>0</v>
      </c>
      <c r="CC98" s="226">
        <f t="shared" si="239"/>
        <v>0</v>
      </c>
      <c r="CD98" s="226">
        <f t="shared" si="239"/>
        <v>0</v>
      </c>
      <c r="CE98" s="226">
        <f t="shared" si="239"/>
        <v>0</v>
      </c>
      <c r="CF98" s="226">
        <f t="shared" si="239"/>
        <v>0</v>
      </c>
      <c r="CG98" s="226">
        <f t="shared" si="239"/>
        <v>0</v>
      </c>
      <c r="CH98" s="226">
        <f t="shared" si="239"/>
        <v>0</v>
      </c>
      <c r="CI98" s="226">
        <f t="shared" si="239"/>
        <v>0</v>
      </c>
      <c r="CJ98" s="226">
        <f t="shared" si="239"/>
        <v>0</v>
      </c>
      <c r="CK98" s="226">
        <f t="shared" si="239"/>
        <v>0</v>
      </c>
      <c r="CL98" s="226">
        <f t="shared" si="239"/>
        <v>0</v>
      </c>
      <c r="CM98" s="226">
        <f t="shared" si="239"/>
        <v>0</v>
      </c>
      <c r="CN98" s="226">
        <f t="shared" si="239"/>
        <v>0</v>
      </c>
      <c r="CO98" s="226">
        <f t="shared" si="239"/>
        <v>0</v>
      </c>
      <c r="CP98" s="226">
        <f t="shared" si="239"/>
        <v>0</v>
      </c>
      <c r="CQ98" s="226">
        <f t="shared" si="239"/>
        <v>0</v>
      </c>
      <c r="CR98" s="226">
        <f t="shared" si="239"/>
        <v>0</v>
      </c>
      <c r="CS98" s="226">
        <f t="shared" si="239"/>
        <v>0</v>
      </c>
      <c r="CT98" s="226">
        <f t="shared" si="239"/>
        <v>0</v>
      </c>
      <c r="CU98" s="226">
        <f t="shared" si="239"/>
        <v>0</v>
      </c>
      <c r="CV98" s="226">
        <f t="shared" si="239"/>
        <v>0</v>
      </c>
      <c r="CW98" s="226">
        <f t="shared" si="239"/>
        <v>0</v>
      </c>
      <c r="CX98" s="226">
        <f t="shared" si="239"/>
        <v>0</v>
      </c>
      <c r="CY98" s="226">
        <f t="shared" si="239"/>
        <v>0</v>
      </c>
      <c r="CZ98" s="226">
        <f t="shared" si="239"/>
        <v>0</v>
      </c>
      <c r="DA98" s="226">
        <f t="shared" si="239"/>
        <v>0</v>
      </c>
      <c r="DB98" s="226">
        <f t="shared" si="239"/>
        <v>0</v>
      </c>
      <c r="DC98" s="226">
        <f t="shared" si="239"/>
        <v>0</v>
      </c>
      <c r="DD98" s="226">
        <f t="shared" si="239"/>
        <v>0</v>
      </c>
      <c r="DE98" s="226">
        <f t="shared" si="239"/>
        <v>0</v>
      </c>
      <c r="DF98" s="226">
        <f t="shared" si="239"/>
        <v>0</v>
      </c>
      <c r="DG98" s="226">
        <f t="shared" si="239"/>
        <v>0</v>
      </c>
      <c r="DH98" s="226">
        <f t="shared" si="239"/>
        <v>0</v>
      </c>
      <c r="DI98" s="226">
        <f t="shared" si="239"/>
        <v>0</v>
      </c>
      <c r="DJ98" s="226">
        <f t="shared" si="239"/>
        <v>0</v>
      </c>
      <c r="DK98" s="226">
        <f t="shared" si="239"/>
        <v>0</v>
      </c>
      <c r="DL98" s="226">
        <f t="shared" si="239"/>
        <v>0</v>
      </c>
      <c r="DM98" s="226">
        <f t="shared" si="239"/>
        <v>0</v>
      </c>
      <c r="DN98" s="226">
        <f t="shared" si="239"/>
        <v>0</v>
      </c>
      <c r="DO98" s="226">
        <f t="shared" si="239"/>
        <v>0</v>
      </c>
      <c r="DP98" s="226">
        <f t="shared" si="239"/>
        <v>0</v>
      </c>
      <c r="DQ98" s="226">
        <f t="shared" si="239"/>
        <v>0</v>
      </c>
      <c r="DR98" s="226">
        <f t="shared" si="239"/>
        <v>0</v>
      </c>
      <c r="DS98" s="226">
        <f t="shared" si="239"/>
        <v>0</v>
      </c>
      <c r="DT98" s="226">
        <f t="shared" si="239"/>
        <v>0</v>
      </c>
      <c r="DU98" s="226">
        <f t="shared" si="239"/>
        <v>0</v>
      </c>
      <c r="DV98" s="226">
        <f t="shared" si="239"/>
        <v>0</v>
      </c>
      <c r="DW98" s="226">
        <f t="shared" si="239"/>
        <v>0</v>
      </c>
      <c r="DX98" s="226">
        <f t="shared" si="239"/>
        <v>0</v>
      </c>
      <c r="DY98" s="226">
        <f t="shared" si="239"/>
        <v>0</v>
      </c>
      <c r="DZ98" s="226">
        <f t="shared" si="239"/>
        <v>0</v>
      </c>
      <c r="EA98" s="226">
        <f t="shared" si="239"/>
        <v>0</v>
      </c>
      <c r="EB98" s="226">
        <f t="shared" si="239"/>
        <v>0</v>
      </c>
      <c r="EC98" s="226">
        <f t="shared" si="239"/>
        <v>0</v>
      </c>
      <c r="ED98" s="226">
        <f t="shared" si="239"/>
        <v>0</v>
      </c>
      <c r="EE98" s="226">
        <f t="shared" si="239"/>
        <v>0</v>
      </c>
      <c r="EF98" s="226">
        <f t="shared" si="239"/>
        <v>0</v>
      </c>
      <c r="EG98" s="226">
        <f>(EG80+EG87+EG96)*(EG$6&lt;=$C$5)</f>
        <v>0</v>
      </c>
      <c r="EH98" s="226">
        <f>(EH80+EH87+EH96)*(EH$6&lt;=$C$5)</f>
        <v>0</v>
      </c>
      <c r="EI98" s="226">
        <f>(EI80+EI87+EI96)*(EI$6&lt;=$C$5)</f>
        <v>0</v>
      </c>
      <c r="EJ98" s="226">
        <f>(EJ80+EJ87+EJ96)*(EJ$6&lt;=$C$5)</f>
        <v>0</v>
      </c>
      <c r="EK98" s="19"/>
      <c r="EL98" s="226">
        <f>(EL80+EL87+EL96)*(EL$6&lt;=$C$5)</f>
        <v>-5700000</v>
      </c>
      <c r="EM98" s="226">
        <f t="shared" ref="EM98:EW98" si="240">(EM80+EM87+EM96)*(EM$6&lt;=$C$5)</f>
        <v>-20292500</v>
      </c>
      <c r="EN98" s="226">
        <f t="shared" si="240"/>
        <v>-30718779.261329345</v>
      </c>
      <c r="EO98" s="226">
        <f t="shared" si="240"/>
        <v>76170836.801006943</v>
      </c>
      <c r="EP98" s="226">
        <f t="shared" si="240"/>
        <v>0</v>
      </c>
      <c r="EQ98" s="226">
        <f t="shared" si="240"/>
        <v>0</v>
      </c>
      <c r="ER98" s="226">
        <f t="shared" si="240"/>
        <v>0</v>
      </c>
      <c r="ES98" s="226">
        <f t="shared" si="240"/>
        <v>0</v>
      </c>
      <c r="ET98" s="226">
        <f t="shared" si="240"/>
        <v>0</v>
      </c>
      <c r="EU98" s="226">
        <f t="shared" si="240"/>
        <v>0</v>
      </c>
      <c r="EV98" s="226">
        <f t="shared" si="240"/>
        <v>0</v>
      </c>
      <c r="EW98" s="226">
        <f t="shared" si="240"/>
        <v>0</v>
      </c>
    </row>
    <row r="99" spans="2:159" x14ac:dyDescent="0.4">
      <c r="H99" s="15"/>
    </row>
    <row r="100" spans="2:159" x14ac:dyDescent="0.4">
      <c r="B100" s="108" t="s">
        <v>142</v>
      </c>
      <c r="C100" s="178">
        <f>-SUMIF(H98:EJ98,"&lt;0")</f>
        <v>57090928.598187916</v>
      </c>
      <c r="H100" s="15"/>
    </row>
    <row r="101" spans="2:159" x14ac:dyDescent="0.4">
      <c r="B101" s="109" t="s">
        <v>143</v>
      </c>
      <c r="C101" s="179">
        <f>XIRR(H98:EJ98,$H$6:$EJ$6)</f>
        <v>0.1639451086521149</v>
      </c>
      <c r="H101" s="15"/>
    </row>
    <row r="102" spans="2:159" x14ac:dyDescent="0.4">
      <c r="B102" s="109" t="s">
        <v>144</v>
      </c>
      <c r="C102" s="180">
        <f>SUM(H98:EJ98)</f>
        <v>19459557.53967759</v>
      </c>
      <c r="H102" s="15"/>
    </row>
    <row r="103" spans="2:159" x14ac:dyDescent="0.4">
      <c r="B103" s="110" t="s">
        <v>145</v>
      </c>
      <c r="C103" s="181">
        <f>SUMIF(H98:EJ98,"&gt;"&amp;0)/C100</f>
        <v>1.3408520060452345</v>
      </c>
      <c r="H103" s="15"/>
    </row>
    <row r="104" spans="2:159" x14ac:dyDescent="0.4">
      <c r="H104" s="15"/>
    </row>
    <row r="105" spans="2:159" outlineLevel="1" x14ac:dyDescent="0.4">
      <c r="H105" s="15"/>
    </row>
    <row r="106" spans="2:159" outlineLevel="1" x14ac:dyDescent="0.4">
      <c r="B106" s="10" t="s">
        <v>287</v>
      </c>
      <c r="H106" s="15"/>
      <c r="FC106" s="182"/>
    </row>
    <row r="107" spans="2:159" outlineLevel="1" x14ac:dyDescent="0.4">
      <c r="H107" s="15"/>
      <c r="FC107" s="182"/>
    </row>
    <row r="108" spans="2:159" outlineLevel="1" x14ac:dyDescent="0.4">
      <c r="B108" s="1" t="s">
        <v>320</v>
      </c>
      <c r="F108" s="12"/>
      <c r="H108" s="243">
        <f>SUM(H90:H93)</f>
        <v>-5700000</v>
      </c>
      <c r="I108" s="243">
        <f t="shared" ref="I108:BT108" si="241">SUM(I90:I93)</f>
        <v>0</v>
      </c>
      <c r="J108" s="243">
        <f t="shared" si="241"/>
        <v>0</v>
      </c>
      <c r="K108" s="243">
        <f t="shared" si="241"/>
        <v>-360500</v>
      </c>
      <c r="L108" s="243">
        <f t="shared" si="241"/>
        <v>-360500</v>
      </c>
      <c r="M108" s="243">
        <f t="shared" si="241"/>
        <v>-360500</v>
      </c>
      <c r="N108" s="243">
        <f t="shared" si="241"/>
        <v>-360500</v>
      </c>
      <c r="O108" s="243">
        <f t="shared" si="241"/>
        <v>-3141750</v>
      </c>
      <c r="P108" s="243">
        <f t="shared" si="241"/>
        <v>-3141750</v>
      </c>
      <c r="Q108" s="243">
        <f t="shared" si="241"/>
        <v>-3141750</v>
      </c>
      <c r="R108" s="243">
        <f t="shared" si="241"/>
        <v>-3141750</v>
      </c>
      <c r="S108" s="243">
        <f t="shared" si="241"/>
        <v>-3141750</v>
      </c>
      <c r="T108" s="243">
        <f t="shared" si="241"/>
        <v>-3141750</v>
      </c>
      <c r="U108" s="243">
        <f t="shared" si="241"/>
        <v>-3141750</v>
      </c>
      <c r="V108" s="243">
        <f t="shared" si="241"/>
        <v>-3141750</v>
      </c>
      <c r="W108" s="243">
        <f t="shared" si="241"/>
        <v>-3141750</v>
      </c>
      <c r="X108" s="243">
        <f t="shared" si="241"/>
        <v>-3141750</v>
      </c>
      <c r="Y108" s="243">
        <f t="shared" si="241"/>
        <v>-3141750</v>
      </c>
      <c r="Z108" s="243">
        <f t="shared" si="241"/>
        <v>-3141750</v>
      </c>
      <c r="AA108" s="243">
        <f t="shared" si="241"/>
        <v>-3141750</v>
      </c>
      <c r="AB108" s="243">
        <f t="shared" si="241"/>
        <v>-3141750</v>
      </c>
      <c r="AC108" s="243">
        <f t="shared" si="241"/>
        <v>-3141750</v>
      </c>
      <c r="AD108" s="243">
        <f t="shared" si="241"/>
        <v>-3141750</v>
      </c>
      <c r="AE108" s="243">
        <f t="shared" si="241"/>
        <v>0</v>
      </c>
      <c r="AF108" s="243">
        <f t="shared" si="241"/>
        <v>0</v>
      </c>
      <c r="AG108" s="243">
        <f t="shared" si="241"/>
        <v>0</v>
      </c>
      <c r="AH108" s="243">
        <f t="shared" si="241"/>
        <v>0</v>
      </c>
      <c r="AI108" s="243">
        <f t="shared" si="241"/>
        <v>0</v>
      </c>
      <c r="AJ108" s="243">
        <f t="shared" si="241"/>
        <v>0</v>
      </c>
      <c r="AK108" s="243">
        <f t="shared" si="241"/>
        <v>0</v>
      </c>
      <c r="AL108" s="243">
        <f t="shared" si="241"/>
        <v>0</v>
      </c>
      <c r="AM108" s="243">
        <f t="shared" si="241"/>
        <v>0</v>
      </c>
      <c r="AN108" s="243">
        <f t="shared" si="241"/>
        <v>0</v>
      </c>
      <c r="AO108" s="243">
        <f t="shared" si="241"/>
        <v>0</v>
      </c>
      <c r="AP108" s="243">
        <f t="shared" si="241"/>
        <v>0</v>
      </c>
      <c r="AQ108" s="243">
        <f t="shared" si="241"/>
        <v>0</v>
      </c>
      <c r="AR108" s="243">
        <f t="shared" si="241"/>
        <v>0</v>
      </c>
      <c r="AS108" s="243">
        <f t="shared" si="241"/>
        <v>0</v>
      </c>
      <c r="AT108" s="243">
        <f t="shared" si="241"/>
        <v>0</v>
      </c>
      <c r="AU108" s="243">
        <f t="shared" si="241"/>
        <v>0</v>
      </c>
      <c r="AV108" s="243">
        <f t="shared" si="241"/>
        <v>0</v>
      </c>
      <c r="AW108" s="243">
        <f t="shared" si="241"/>
        <v>0</v>
      </c>
      <c r="AX108" s="243">
        <f t="shared" si="241"/>
        <v>0</v>
      </c>
      <c r="AY108" s="243">
        <f t="shared" si="241"/>
        <v>0</v>
      </c>
      <c r="AZ108" s="243">
        <f t="shared" si="241"/>
        <v>0</v>
      </c>
      <c r="BA108" s="243">
        <f t="shared" si="241"/>
        <v>0</v>
      </c>
      <c r="BB108" s="243">
        <f t="shared" si="241"/>
        <v>0</v>
      </c>
      <c r="BC108" s="243">
        <f t="shared" si="241"/>
        <v>0</v>
      </c>
      <c r="BD108" s="243">
        <f t="shared" si="241"/>
        <v>0</v>
      </c>
      <c r="BE108" s="243">
        <f t="shared" si="241"/>
        <v>0</v>
      </c>
      <c r="BF108" s="243">
        <f t="shared" si="241"/>
        <v>0</v>
      </c>
      <c r="BG108" s="243">
        <f t="shared" si="241"/>
        <v>0</v>
      </c>
      <c r="BH108" s="243">
        <f t="shared" si="241"/>
        <v>0</v>
      </c>
      <c r="BI108" s="243">
        <f t="shared" si="241"/>
        <v>0</v>
      </c>
      <c r="BJ108" s="243">
        <f t="shared" si="241"/>
        <v>0</v>
      </c>
      <c r="BK108" s="243">
        <f t="shared" si="241"/>
        <v>0</v>
      </c>
      <c r="BL108" s="243">
        <f t="shared" si="241"/>
        <v>0</v>
      </c>
      <c r="BM108" s="243">
        <f t="shared" si="241"/>
        <v>0</v>
      </c>
      <c r="BN108" s="243">
        <f t="shared" si="241"/>
        <v>0</v>
      </c>
      <c r="BO108" s="243">
        <f t="shared" si="241"/>
        <v>0</v>
      </c>
      <c r="BP108" s="243">
        <f t="shared" si="241"/>
        <v>0</v>
      </c>
      <c r="BQ108" s="243">
        <f t="shared" si="241"/>
        <v>0</v>
      </c>
      <c r="BR108" s="243">
        <f t="shared" si="241"/>
        <v>0</v>
      </c>
      <c r="BS108" s="243">
        <f t="shared" si="241"/>
        <v>0</v>
      </c>
      <c r="BT108" s="243">
        <f t="shared" si="241"/>
        <v>0</v>
      </c>
      <c r="BU108" s="243">
        <f t="shared" ref="BU108:EF108" si="242">SUM(BU90:BU93)</f>
        <v>0</v>
      </c>
      <c r="BV108" s="243">
        <f t="shared" si="242"/>
        <v>0</v>
      </c>
      <c r="BW108" s="243">
        <f t="shared" si="242"/>
        <v>0</v>
      </c>
      <c r="BX108" s="243">
        <f t="shared" si="242"/>
        <v>0</v>
      </c>
      <c r="BY108" s="243">
        <f t="shared" si="242"/>
        <v>0</v>
      </c>
      <c r="BZ108" s="243">
        <f t="shared" si="242"/>
        <v>0</v>
      </c>
      <c r="CA108" s="243">
        <f t="shared" si="242"/>
        <v>0</v>
      </c>
      <c r="CB108" s="243">
        <f t="shared" si="242"/>
        <v>0</v>
      </c>
      <c r="CC108" s="243">
        <f t="shared" si="242"/>
        <v>0</v>
      </c>
      <c r="CD108" s="243">
        <f t="shared" si="242"/>
        <v>0</v>
      </c>
      <c r="CE108" s="243">
        <f t="shared" si="242"/>
        <v>0</v>
      </c>
      <c r="CF108" s="243">
        <f t="shared" si="242"/>
        <v>0</v>
      </c>
      <c r="CG108" s="243">
        <f t="shared" si="242"/>
        <v>0</v>
      </c>
      <c r="CH108" s="243">
        <f t="shared" si="242"/>
        <v>0</v>
      </c>
      <c r="CI108" s="243">
        <f t="shared" si="242"/>
        <v>0</v>
      </c>
      <c r="CJ108" s="243">
        <f t="shared" si="242"/>
        <v>0</v>
      </c>
      <c r="CK108" s="243">
        <f t="shared" si="242"/>
        <v>0</v>
      </c>
      <c r="CL108" s="243">
        <f t="shared" si="242"/>
        <v>0</v>
      </c>
      <c r="CM108" s="243">
        <f t="shared" si="242"/>
        <v>0</v>
      </c>
      <c r="CN108" s="243">
        <f t="shared" si="242"/>
        <v>0</v>
      </c>
      <c r="CO108" s="243">
        <f t="shared" si="242"/>
        <v>0</v>
      </c>
      <c r="CP108" s="243">
        <f t="shared" si="242"/>
        <v>0</v>
      </c>
      <c r="CQ108" s="243">
        <f t="shared" si="242"/>
        <v>0</v>
      </c>
      <c r="CR108" s="243">
        <f t="shared" si="242"/>
        <v>0</v>
      </c>
      <c r="CS108" s="243">
        <f t="shared" si="242"/>
        <v>0</v>
      </c>
      <c r="CT108" s="243">
        <f t="shared" si="242"/>
        <v>0</v>
      </c>
      <c r="CU108" s="243">
        <f t="shared" si="242"/>
        <v>0</v>
      </c>
      <c r="CV108" s="243">
        <f t="shared" si="242"/>
        <v>0</v>
      </c>
      <c r="CW108" s="243">
        <f t="shared" si="242"/>
        <v>0</v>
      </c>
      <c r="CX108" s="243">
        <f t="shared" si="242"/>
        <v>0</v>
      </c>
      <c r="CY108" s="243">
        <f t="shared" si="242"/>
        <v>0</v>
      </c>
      <c r="CZ108" s="243">
        <f t="shared" si="242"/>
        <v>0</v>
      </c>
      <c r="DA108" s="243">
        <f t="shared" si="242"/>
        <v>0</v>
      </c>
      <c r="DB108" s="243">
        <f t="shared" si="242"/>
        <v>0</v>
      </c>
      <c r="DC108" s="243">
        <f t="shared" si="242"/>
        <v>0</v>
      </c>
      <c r="DD108" s="243">
        <f t="shared" si="242"/>
        <v>0</v>
      </c>
      <c r="DE108" s="243">
        <f t="shared" si="242"/>
        <v>0</v>
      </c>
      <c r="DF108" s="243">
        <f t="shared" si="242"/>
        <v>0</v>
      </c>
      <c r="DG108" s="243">
        <f t="shared" si="242"/>
        <v>0</v>
      </c>
      <c r="DH108" s="243">
        <f t="shared" si="242"/>
        <v>0</v>
      </c>
      <c r="DI108" s="243">
        <f t="shared" si="242"/>
        <v>0</v>
      </c>
      <c r="DJ108" s="243">
        <f t="shared" si="242"/>
        <v>0</v>
      </c>
      <c r="DK108" s="243">
        <f t="shared" si="242"/>
        <v>0</v>
      </c>
      <c r="DL108" s="243">
        <f t="shared" si="242"/>
        <v>0</v>
      </c>
      <c r="DM108" s="243">
        <f t="shared" si="242"/>
        <v>0</v>
      </c>
      <c r="DN108" s="243">
        <f t="shared" si="242"/>
        <v>0</v>
      </c>
      <c r="DO108" s="243">
        <f t="shared" si="242"/>
        <v>0</v>
      </c>
      <c r="DP108" s="243">
        <f t="shared" si="242"/>
        <v>0</v>
      </c>
      <c r="DQ108" s="243">
        <f t="shared" si="242"/>
        <v>0</v>
      </c>
      <c r="DR108" s="243">
        <f t="shared" si="242"/>
        <v>0</v>
      </c>
      <c r="DS108" s="243">
        <f t="shared" si="242"/>
        <v>0</v>
      </c>
      <c r="DT108" s="243">
        <f t="shared" si="242"/>
        <v>0</v>
      </c>
      <c r="DU108" s="243">
        <f t="shared" si="242"/>
        <v>0</v>
      </c>
      <c r="DV108" s="243">
        <f t="shared" si="242"/>
        <v>0</v>
      </c>
      <c r="DW108" s="243">
        <f t="shared" si="242"/>
        <v>0</v>
      </c>
      <c r="DX108" s="243">
        <f t="shared" si="242"/>
        <v>0</v>
      </c>
      <c r="DY108" s="243">
        <f t="shared" si="242"/>
        <v>0</v>
      </c>
      <c r="DZ108" s="243">
        <f t="shared" si="242"/>
        <v>0</v>
      </c>
      <c r="EA108" s="243">
        <f t="shared" si="242"/>
        <v>0</v>
      </c>
      <c r="EB108" s="243">
        <f t="shared" si="242"/>
        <v>0</v>
      </c>
      <c r="EC108" s="243">
        <f t="shared" si="242"/>
        <v>0</v>
      </c>
      <c r="ED108" s="243">
        <f t="shared" si="242"/>
        <v>0</v>
      </c>
      <c r="EE108" s="243">
        <f t="shared" si="242"/>
        <v>0</v>
      </c>
      <c r="EF108" s="243">
        <f t="shared" si="242"/>
        <v>0</v>
      </c>
      <c r="EG108" s="243">
        <f>SUM(EG90:EG93)</f>
        <v>0</v>
      </c>
      <c r="EH108" s="243">
        <f>SUM(EH90:EH93)</f>
        <v>0</v>
      </c>
      <c r="EI108" s="243">
        <f>SUM(EI90:EI93)</f>
        <v>0</v>
      </c>
      <c r="EJ108" s="243">
        <f>SUM(EJ90:EJ93)</f>
        <v>0</v>
      </c>
      <c r="FC108" s="182"/>
    </row>
    <row r="109" spans="2:159" outlineLevel="1" x14ac:dyDescent="0.4">
      <c r="B109" s="1" t="s">
        <v>94</v>
      </c>
      <c r="F109" s="12"/>
      <c r="H109" s="243">
        <f>H150</f>
        <v>-400000</v>
      </c>
      <c r="I109" s="243">
        <f t="shared" ref="I109:BT109" si="243">I150</f>
        <v>0</v>
      </c>
      <c r="J109" s="243">
        <f t="shared" si="243"/>
        <v>0</v>
      </c>
      <c r="K109" s="243">
        <f t="shared" si="243"/>
        <v>0</v>
      </c>
      <c r="L109" s="243">
        <f t="shared" si="243"/>
        <v>0</v>
      </c>
      <c r="M109" s="243">
        <f t="shared" si="243"/>
        <v>0</v>
      </c>
      <c r="N109" s="243">
        <f t="shared" si="243"/>
        <v>0</v>
      </c>
      <c r="O109" s="243">
        <f t="shared" si="243"/>
        <v>0</v>
      </c>
      <c r="P109" s="243">
        <f t="shared" si="243"/>
        <v>0</v>
      </c>
      <c r="Q109" s="243">
        <f t="shared" si="243"/>
        <v>0</v>
      </c>
      <c r="R109" s="243">
        <f t="shared" si="243"/>
        <v>0</v>
      </c>
      <c r="S109" s="243">
        <f t="shared" si="243"/>
        <v>0</v>
      </c>
      <c r="T109" s="243">
        <f t="shared" si="243"/>
        <v>0</v>
      </c>
      <c r="U109" s="243">
        <f t="shared" si="243"/>
        <v>0</v>
      </c>
      <c r="V109" s="243">
        <f t="shared" si="243"/>
        <v>0</v>
      </c>
      <c r="W109" s="243">
        <f t="shared" si="243"/>
        <v>0</v>
      </c>
      <c r="X109" s="243">
        <f t="shared" si="243"/>
        <v>0</v>
      </c>
      <c r="Y109" s="243">
        <f t="shared" si="243"/>
        <v>0</v>
      </c>
      <c r="Z109" s="243">
        <f t="shared" si="243"/>
        <v>0</v>
      </c>
      <c r="AA109" s="243">
        <f t="shared" si="243"/>
        <v>0</v>
      </c>
      <c r="AB109" s="243">
        <f t="shared" si="243"/>
        <v>0</v>
      </c>
      <c r="AC109" s="243">
        <f t="shared" si="243"/>
        <v>0</v>
      </c>
      <c r="AD109" s="243">
        <f t="shared" si="243"/>
        <v>0</v>
      </c>
      <c r="AE109" s="243">
        <f t="shared" si="243"/>
        <v>0</v>
      </c>
      <c r="AF109" s="243">
        <f t="shared" si="243"/>
        <v>0</v>
      </c>
      <c r="AG109" s="243">
        <f t="shared" si="243"/>
        <v>0</v>
      </c>
      <c r="AH109" s="243">
        <f t="shared" si="243"/>
        <v>0</v>
      </c>
      <c r="AI109" s="243">
        <f t="shared" si="243"/>
        <v>0</v>
      </c>
      <c r="AJ109" s="243">
        <f t="shared" si="243"/>
        <v>0</v>
      </c>
      <c r="AK109" s="243">
        <f t="shared" si="243"/>
        <v>0</v>
      </c>
      <c r="AL109" s="243">
        <f t="shared" si="243"/>
        <v>0</v>
      </c>
      <c r="AM109" s="243">
        <f t="shared" si="243"/>
        <v>0</v>
      </c>
      <c r="AN109" s="243">
        <f t="shared" si="243"/>
        <v>0</v>
      </c>
      <c r="AO109" s="243">
        <f t="shared" si="243"/>
        <v>0</v>
      </c>
      <c r="AP109" s="243">
        <f t="shared" si="243"/>
        <v>0</v>
      </c>
      <c r="AQ109" s="243">
        <f t="shared" si="243"/>
        <v>0</v>
      </c>
      <c r="AR109" s="243">
        <f t="shared" si="243"/>
        <v>0</v>
      </c>
      <c r="AS109" s="243">
        <f t="shared" si="243"/>
        <v>0</v>
      </c>
      <c r="AT109" s="243">
        <f t="shared" si="243"/>
        <v>0</v>
      </c>
      <c r="AU109" s="243">
        <f t="shared" si="243"/>
        <v>0</v>
      </c>
      <c r="AV109" s="243">
        <f t="shared" si="243"/>
        <v>0</v>
      </c>
      <c r="AW109" s="243">
        <f t="shared" si="243"/>
        <v>0</v>
      </c>
      <c r="AX109" s="243">
        <f t="shared" si="243"/>
        <v>0</v>
      </c>
      <c r="AY109" s="243">
        <f t="shared" si="243"/>
        <v>0</v>
      </c>
      <c r="AZ109" s="243">
        <f t="shared" si="243"/>
        <v>0</v>
      </c>
      <c r="BA109" s="243">
        <f t="shared" si="243"/>
        <v>0</v>
      </c>
      <c r="BB109" s="243">
        <f t="shared" si="243"/>
        <v>0</v>
      </c>
      <c r="BC109" s="243">
        <f t="shared" si="243"/>
        <v>0</v>
      </c>
      <c r="BD109" s="243">
        <f t="shared" si="243"/>
        <v>0</v>
      </c>
      <c r="BE109" s="243">
        <f t="shared" si="243"/>
        <v>0</v>
      </c>
      <c r="BF109" s="243">
        <f t="shared" si="243"/>
        <v>0</v>
      </c>
      <c r="BG109" s="243">
        <f t="shared" si="243"/>
        <v>0</v>
      </c>
      <c r="BH109" s="243">
        <f t="shared" si="243"/>
        <v>0</v>
      </c>
      <c r="BI109" s="243">
        <f t="shared" si="243"/>
        <v>0</v>
      </c>
      <c r="BJ109" s="243">
        <f t="shared" si="243"/>
        <v>0</v>
      </c>
      <c r="BK109" s="243">
        <f t="shared" si="243"/>
        <v>0</v>
      </c>
      <c r="BL109" s="243">
        <f t="shared" si="243"/>
        <v>0</v>
      </c>
      <c r="BM109" s="243">
        <f t="shared" si="243"/>
        <v>0</v>
      </c>
      <c r="BN109" s="243">
        <f t="shared" si="243"/>
        <v>0</v>
      </c>
      <c r="BO109" s="243">
        <f t="shared" si="243"/>
        <v>0</v>
      </c>
      <c r="BP109" s="243">
        <f t="shared" si="243"/>
        <v>0</v>
      </c>
      <c r="BQ109" s="243">
        <f t="shared" si="243"/>
        <v>0</v>
      </c>
      <c r="BR109" s="243">
        <f t="shared" si="243"/>
        <v>0</v>
      </c>
      <c r="BS109" s="243">
        <f t="shared" si="243"/>
        <v>0</v>
      </c>
      <c r="BT109" s="243">
        <f t="shared" si="243"/>
        <v>0</v>
      </c>
      <c r="BU109" s="243">
        <f t="shared" ref="BU109:EF109" si="244">BU150</f>
        <v>0</v>
      </c>
      <c r="BV109" s="243">
        <f t="shared" si="244"/>
        <v>0</v>
      </c>
      <c r="BW109" s="243">
        <f t="shared" si="244"/>
        <v>0</v>
      </c>
      <c r="BX109" s="243">
        <f t="shared" si="244"/>
        <v>0</v>
      </c>
      <c r="BY109" s="243">
        <f t="shared" si="244"/>
        <v>0</v>
      </c>
      <c r="BZ109" s="243">
        <f t="shared" si="244"/>
        <v>0</v>
      </c>
      <c r="CA109" s="243">
        <f t="shared" si="244"/>
        <v>0</v>
      </c>
      <c r="CB109" s="243">
        <f t="shared" si="244"/>
        <v>0</v>
      </c>
      <c r="CC109" s="243">
        <f t="shared" si="244"/>
        <v>0</v>
      </c>
      <c r="CD109" s="243">
        <f t="shared" si="244"/>
        <v>0</v>
      </c>
      <c r="CE109" s="243">
        <f t="shared" si="244"/>
        <v>0</v>
      </c>
      <c r="CF109" s="243">
        <f t="shared" si="244"/>
        <v>0</v>
      </c>
      <c r="CG109" s="243">
        <f t="shared" si="244"/>
        <v>0</v>
      </c>
      <c r="CH109" s="243">
        <f t="shared" si="244"/>
        <v>0</v>
      </c>
      <c r="CI109" s="243">
        <f t="shared" si="244"/>
        <v>0</v>
      </c>
      <c r="CJ109" s="243">
        <f t="shared" si="244"/>
        <v>0</v>
      </c>
      <c r="CK109" s="243">
        <f t="shared" si="244"/>
        <v>0</v>
      </c>
      <c r="CL109" s="243">
        <f t="shared" si="244"/>
        <v>0</v>
      </c>
      <c r="CM109" s="243">
        <f t="shared" si="244"/>
        <v>0</v>
      </c>
      <c r="CN109" s="243">
        <f t="shared" si="244"/>
        <v>0</v>
      </c>
      <c r="CO109" s="243">
        <f t="shared" si="244"/>
        <v>0</v>
      </c>
      <c r="CP109" s="243">
        <f t="shared" si="244"/>
        <v>0</v>
      </c>
      <c r="CQ109" s="243">
        <f t="shared" si="244"/>
        <v>0</v>
      </c>
      <c r="CR109" s="243">
        <f t="shared" si="244"/>
        <v>0</v>
      </c>
      <c r="CS109" s="243">
        <f t="shared" si="244"/>
        <v>0</v>
      </c>
      <c r="CT109" s="243">
        <f t="shared" si="244"/>
        <v>0</v>
      </c>
      <c r="CU109" s="243">
        <f t="shared" si="244"/>
        <v>0</v>
      </c>
      <c r="CV109" s="243">
        <f t="shared" si="244"/>
        <v>0</v>
      </c>
      <c r="CW109" s="243">
        <f t="shared" si="244"/>
        <v>0</v>
      </c>
      <c r="CX109" s="243">
        <f t="shared" si="244"/>
        <v>0</v>
      </c>
      <c r="CY109" s="243">
        <f t="shared" si="244"/>
        <v>0</v>
      </c>
      <c r="CZ109" s="243">
        <f t="shared" si="244"/>
        <v>0</v>
      </c>
      <c r="DA109" s="243">
        <f t="shared" si="244"/>
        <v>0</v>
      </c>
      <c r="DB109" s="243">
        <f t="shared" si="244"/>
        <v>0</v>
      </c>
      <c r="DC109" s="243">
        <f t="shared" si="244"/>
        <v>0</v>
      </c>
      <c r="DD109" s="243">
        <f t="shared" si="244"/>
        <v>0</v>
      </c>
      <c r="DE109" s="243">
        <f t="shared" si="244"/>
        <v>0</v>
      </c>
      <c r="DF109" s="243">
        <f t="shared" si="244"/>
        <v>0</v>
      </c>
      <c r="DG109" s="243">
        <f t="shared" si="244"/>
        <v>0</v>
      </c>
      <c r="DH109" s="243">
        <f t="shared" si="244"/>
        <v>0</v>
      </c>
      <c r="DI109" s="243">
        <f t="shared" si="244"/>
        <v>0</v>
      </c>
      <c r="DJ109" s="243">
        <f t="shared" si="244"/>
        <v>0</v>
      </c>
      <c r="DK109" s="243">
        <f t="shared" si="244"/>
        <v>0</v>
      </c>
      <c r="DL109" s="243">
        <f t="shared" si="244"/>
        <v>0</v>
      </c>
      <c r="DM109" s="243">
        <f t="shared" si="244"/>
        <v>0</v>
      </c>
      <c r="DN109" s="243">
        <f t="shared" si="244"/>
        <v>0</v>
      </c>
      <c r="DO109" s="243">
        <f t="shared" si="244"/>
        <v>0</v>
      </c>
      <c r="DP109" s="243">
        <f t="shared" si="244"/>
        <v>0</v>
      </c>
      <c r="DQ109" s="243">
        <f t="shared" si="244"/>
        <v>0</v>
      </c>
      <c r="DR109" s="243">
        <f t="shared" si="244"/>
        <v>0</v>
      </c>
      <c r="DS109" s="243">
        <f t="shared" si="244"/>
        <v>0</v>
      </c>
      <c r="DT109" s="243">
        <f t="shared" si="244"/>
        <v>0</v>
      </c>
      <c r="DU109" s="243">
        <f t="shared" si="244"/>
        <v>0</v>
      </c>
      <c r="DV109" s="243">
        <f t="shared" si="244"/>
        <v>0</v>
      </c>
      <c r="DW109" s="243">
        <f t="shared" si="244"/>
        <v>0</v>
      </c>
      <c r="DX109" s="243">
        <f t="shared" si="244"/>
        <v>0</v>
      </c>
      <c r="DY109" s="243">
        <f t="shared" si="244"/>
        <v>0</v>
      </c>
      <c r="DZ109" s="243">
        <f t="shared" si="244"/>
        <v>0</v>
      </c>
      <c r="EA109" s="243">
        <f t="shared" si="244"/>
        <v>0</v>
      </c>
      <c r="EB109" s="243">
        <f t="shared" si="244"/>
        <v>0</v>
      </c>
      <c r="EC109" s="243">
        <f t="shared" si="244"/>
        <v>0</v>
      </c>
      <c r="ED109" s="243">
        <f t="shared" si="244"/>
        <v>0</v>
      </c>
      <c r="EE109" s="243">
        <f t="shared" si="244"/>
        <v>0</v>
      </c>
      <c r="EF109" s="243">
        <f t="shared" si="244"/>
        <v>0</v>
      </c>
      <c r="EG109" s="243">
        <f>EG150</f>
        <v>0</v>
      </c>
      <c r="EH109" s="243">
        <f>EH150</f>
        <v>0</v>
      </c>
      <c r="EI109" s="243">
        <f>EI150</f>
        <v>0</v>
      </c>
      <c r="EJ109" s="243">
        <f>EJ150</f>
        <v>0</v>
      </c>
      <c r="FC109" s="182"/>
    </row>
    <row r="110" spans="2:159" outlineLevel="1" x14ac:dyDescent="0.4">
      <c r="B110" s="1" t="s">
        <v>326</v>
      </c>
      <c r="F110" s="12"/>
      <c r="H110" s="243">
        <f>H131</f>
        <v>0</v>
      </c>
      <c r="I110" s="243">
        <f t="shared" ref="I110:BT110" ca="1" si="245">I131</f>
        <v>0</v>
      </c>
      <c r="J110" s="243">
        <f t="shared" ca="1" si="245"/>
        <v>0</v>
      </c>
      <c r="K110" s="243">
        <f t="shared" ca="1" si="245"/>
        <v>0</v>
      </c>
      <c r="L110" s="243">
        <f t="shared" ca="1" si="245"/>
        <v>0</v>
      </c>
      <c r="M110" s="243">
        <f t="shared" ca="1" si="245"/>
        <v>0</v>
      </c>
      <c r="N110" s="243">
        <f t="shared" ca="1" si="245"/>
        <v>0</v>
      </c>
      <c r="O110" s="243">
        <f t="shared" ca="1" si="245"/>
        <v>0</v>
      </c>
      <c r="P110" s="243">
        <f t="shared" ca="1" si="245"/>
        <v>0</v>
      </c>
      <c r="Q110" s="243">
        <f t="shared" ca="1" si="245"/>
        <v>0</v>
      </c>
      <c r="R110" s="243">
        <f t="shared" ca="1" si="245"/>
        <v>0</v>
      </c>
      <c r="S110" s="243">
        <f t="shared" ca="1" si="245"/>
        <v>-5459.9483372916811</v>
      </c>
      <c r="T110" s="243">
        <f t="shared" ca="1" si="245"/>
        <v>-18601.182655615725</v>
      </c>
      <c r="U110" s="243">
        <f t="shared" ca="1" si="245"/>
        <v>-31551.922377218212</v>
      </c>
      <c r="V110" s="243">
        <f t="shared" ca="1" si="245"/>
        <v>-40186.383788789935</v>
      </c>
      <c r="W110" s="243">
        <f t="shared" ca="1" si="245"/>
        <v>-57389.605346265089</v>
      </c>
      <c r="X110" s="243">
        <f t="shared" ca="1" si="245"/>
        <v>-68022.181893795234</v>
      </c>
      <c r="Y110" s="243">
        <f t="shared" ca="1" si="245"/>
        <v>-83165.716163562916</v>
      </c>
      <c r="Z110" s="243">
        <f t="shared" ca="1" si="245"/>
        <v>-93057.096427179989</v>
      </c>
      <c r="AA110" s="243">
        <f t="shared" ca="1" si="245"/>
        <v>-109100.17451122074</v>
      </c>
      <c r="AB110" s="243">
        <f t="shared" ca="1" si="245"/>
        <v>-122072.72194590284</v>
      </c>
      <c r="AC110" s="243">
        <f t="shared" ca="1" si="245"/>
        <v>-130830.93244614973</v>
      </c>
      <c r="AD110" s="243">
        <f t="shared" ca="1" si="245"/>
        <v>-148447.23299240178</v>
      </c>
      <c r="AE110" s="243">
        <f t="shared" ca="1" si="245"/>
        <v>0</v>
      </c>
      <c r="AF110" s="243">
        <f t="shared" ca="1" si="245"/>
        <v>0</v>
      </c>
      <c r="AG110" s="243">
        <f t="shared" ca="1" si="245"/>
        <v>0</v>
      </c>
      <c r="AH110" s="243">
        <f t="shared" ca="1" si="245"/>
        <v>0</v>
      </c>
      <c r="AI110" s="243">
        <f t="shared" ca="1" si="245"/>
        <v>0</v>
      </c>
      <c r="AJ110" s="243">
        <f t="shared" ca="1" si="245"/>
        <v>0</v>
      </c>
      <c r="AK110" s="243">
        <f t="shared" ca="1" si="245"/>
        <v>0</v>
      </c>
      <c r="AL110" s="243">
        <f t="shared" ca="1" si="245"/>
        <v>0</v>
      </c>
      <c r="AM110" s="243">
        <f t="shared" ca="1" si="245"/>
        <v>0</v>
      </c>
      <c r="AN110" s="243">
        <f t="shared" ca="1" si="245"/>
        <v>0</v>
      </c>
      <c r="AO110" s="243">
        <f t="shared" ca="1" si="245"/>
        <v>0</v>
      </c>
      <c r="AP110" s="243">
        <f t="shared" ca="1" si="245"/>
        <v>0</v>
      </c>
      <c r="AQ110" s="243">
        <f t="shared" ca="1" si="245"/>
        <v>0</v>
      </c>
      <c r="AR110" s="243">
        <f t="shared" ca="1" si="245"/>
        <v>0</v>
      </c>
      <c r="AS110" s="243">
        <f t="shared" ca="1" si="245"/>
        <v>0</v>
      </c>
      <c r="AT110" s="243">
        <f t="shared" ca="1" si="245"/>
        <v>0</v>
      </c>
      <c r="AU110" s="243">
        <f t="shared" ca="1" si="245"/>
        <v>0</v>
      </c>
      <c r="AV110" s="243">
        <f t="shared" ca="1" si="245"/>
        <v>0</v>
      </c>
      <c r="AW110" s="243">
        <f t="shared" ca="1" si="245"/>
        <v>0</v>
      </c>
      <c r="AX110" s="243">
        <f t="shared" ca="1" si="245"/>
        <v>0</v>
      </c>
      <c r="AY110" s="243">
        <f t="shared" ca="1" si="245"/>
        <v>0</v>
      </c>
      <c r="AZ110" s="243">
        <f t="shared" ca="1" si="245"/>
        <v>0</v>
      </c>
      <c r="BA110" s="243">
        <f t="shared" ca="1" si="245"/>
        <v>0</v>
      </c>
      <c r="BB110" s="243">
        <f t="shared" ca="1" si="245"/>
        <v>0</v>
      </c>
      <c r="BC110" s="243">
        <f t="shared" ca="1" si="245"/>
        <v>0</v>
      </c>
      <c r="BD110" s="243">
        <f t="shared" ca="1" si="245"/>
        <v>0</v>
      </c>
      <c r="BE110" s="243">
        <f t="shared" ca="1" si="245"/>
        <v>0</v>
      </c>
      <c r="BF110" s="243">
        <f t="shared" ca="1" si="245"/>
        <v>0</v>
      </c>
      <c r="BG110" s="243">
        <f t="shared" ca="1" si="245"/>
        <v>0</v>
      </c>
      <c r="BH110" s="243">
        <f t="shared" ca="1" si="245"/>
        <v>0</v>
      </c>
      <c r="BI110" s="243">
        <f t="shared" ca="1" si="245"/>
        <v>0</v>
      </c>
      <c r="BJ110" s="243">
        <f t="shared" ca="1" si="245"/>
        <v>0</v>
      </c>
      <c r="BK110" s="243">
        <f t="shared" ca="1" si="245"/>
        <v>0</v>
      </c>
      <c r="BL110" s="243">
        <f t="shared" ca="1" si="245"/>
        <v>0</v>
      </c>
      <c r="BM110" s="243">
        <f t="shared" ca="1" si="245"/>
        <v>0</v>
      </c>
      <c r="BN110" s="243">
        <f t="shared" ca="1" si="245"/>
        <v>0</v>
      </c>
      <c r="BO110" s="243">
        <f t="shared" ca="1" si="245"/>
        <v>0</v>
      </c>
      <c r="BP110" s="243">
        <f t="shared" ca="1" si="245"/>
        <v>0</v>
      </c>
      <c r="BQ110" s="243">
        <f t="shared" ca="1" si="245"/>
        <v>0</v>
      </c>
      <c r="BR110" s="243">
        <f t="shared" ca="1" si="245"/>
        <v>0</v>
      </c>
      <c r="BS110" s="243">
        <f t="shared" ca="1" si="245"/>
        <v>0</v>
      </c>
      <c r="BT110" s="243">
        <f t="shared" ca="1" si="245"/>
        <v>0</v>
      </c>
      <c r="BU110" s="243">
        <f t="shared" ref="BU110:EF110" ca="1" si="246">BU131</f>
        <v>0</v>
      </c>
      <c r="BV110" s="243">
        <f t="shared" ca="1" si="246"/>
        <v>0</v>
      </c>
      <c r="BW110" s="243">
        <f t="shared" ca="1" si="246"/>
        <v>0</v>
      </c>
      <c r="BX110" s="243">
        <f t="shared" ca="1" si="246"/>
        <v>0</v>
      </c>
      <c r="BY110" s="243">
        <f t="shared" ca="1" si="246"/>
        <v>0</v>
      </c>
      <c r="BZ110" s="243">
        <f t="shared" ca="1" si="246"/>
        <v>0</v>
      </c>
      <c r="CA110" s="243">
        <f t="shared" ca="1" si="246"/>
        <v>0</v>
      </c>
      <c r="CB110" s="243">
        <f t="shared" ca="1" si="246"/>
        <v>0</v>
      </c>
      <c r="CC110" s="243">
        <f t="shared" ca="1" si="246"/>
        <v>0</v>
      </c>
      <c r="CD110" s="243">
        <f t="shared" ca="1" si="246"/>
        <v>0</v>
      </c>
      <c r="CE110" s="243">
        <f t="shared" ca="1" si="246"/>
        <v>0</v>
      </c>
      <c r="CF110" s="243">
        <f t="shared" ca="1" si="246"/>
        <v>0</v>
      </c>
      <c r="CG110" s="243">
        <f t="shared" ca="1" si="246"/>
        <v>0</v>
      </c>
      <c r="CH110" s="243">
        <f t="shared" ca="1" si="246"/>
        <v>0</v>
      </c>
      <c r="CI110" s="243">
        <f t="shared" ca="1" si="246"/>
        <v>0</v>
      </c>
      <c r="CJ110" s="243">
        <f t="shared" ca="1" si="246"/>
        <v>0</v>
      </c>
      <c r="CK110" s="243">
        <f t="shared" ca="1" si="246"/>
        <v>0</v>
      </c>
      <c r="CL110" s="243">
        <f t="shared" ca="1" si="246"/>
        <v>0</v>
      </c>
      <c r="CM110" s="243">
        <f t="shared" ca="1" si="246"/>
        <v>0</v>
      </c>
      <c r="CN110" s="243">
        <f t="shared" ca="1" si="246"/>
        <v>0</v>
      </c>
      <c r="CO110" s="243">
        <f t="shared" ca="1" si="246"/>
        <v>0</v>
      </c>
      <c r="CP110" s="243">
        <f t="shared" ca="1" si="246"/>
        <v>0</v>
      </c>
      <c r="CQ110" s="243">
        <f t="shared" ca="1" si="246"/>
        <v>0</v>
      </c>
      <c r="CR110" s="243">
        <f t="shared" ca="1" si="246"/>
        <v>0</v>
      </c>
      <c r="CS110" s="243">
        <f t="shared" ca="1" si="246"/>
        <v>0</v>
      </c>
      <c r="CT110" s="243">
        <f t="shared" ca="1" si="246"/>
        <v>0</v>
      </c>
      <c r="CU110" s="243">
        <f t="shared" ca="1" si="246"/>
        <v>0</v>
      </c>
      <c r="CV110" s="243">
        <f t="shared" ca="1" si="246"/>
        <v>0</v>
      </c>
      <c r="CW110" s="243">
        <f t="shared" ca="1" si="246"/>
        <v>0</v>
      </c>
      <c r="CX110" s="243">
        <f t="shared" ca="1" si="246"/>
        <v>0</v>
      </c>
      <c r="CY110" s="243">
        <f t="shared" ca="1" si="246"/>
        <v>0</v>
      </c>
      <c r="CZ110" s="243">
        <f t="shared" ca="1" si="246"/>
        <v>0</v>
      </c>
      <c r="DA110" s="243">
        <f t="shared" ca="1" si="246"/>
        <v>0</v>
      </c>
      <c r="DB110" s="243">
        <f t="shared" ca="1" si="246"/>
        <v>0</v>
      </c>
      <c r="DC110" s="243">
        <f t="shared" ca="1" si="246"/>
        <v>0</v>
      </c>
      <c r="DD110" s="243">
        <f t="shared" ca="1" si="246"/>
        <v>0</v>
      </c>
      <c r="DE110" s="243">
        <f t="shared" ca="1" si="246"/>
        <v>0</v>
      </c>
      <c r="DF110" s="243">
        <f t="shared" ca="1" si="246"/>
        <v>0</v>
      </c>
      <c r="DG110" s="243">
        <f t="shared" ca="1" si="246"/>
        <v>0</v>
      </c>
      <c r="DH110" s="243">
        <f t="shared" ca="1" si="246"/>
        <v>0</v>
      </c>
      <c r="DI110" s="243">
        <f t="shared" ca="1" si="246"/>
        <v>0</v>
      </c>
      <c r="DJ110" s="243">
        <f t="shared" ca="1" si="246"/>
        <v>0</v>
      </c>
      <c r="DK110" s="243">
        <f t="shared" ca="1" si="246"/>
        <v>0</v>
      </c>
      <c r="DL110" s="243">
        <f t="shared" ca="1" si="246"/>
        <v>0</v>
      </c>
      <c r="DM110" s="243">
        <f t="shared" ca="1" si="246"/>
        <v>0</v>
      </c>
      <c r="DN110" s="243">
        <f t="shared" ca="1" si="246"/>
        <v>0</v>
      </c>
      <c r="DO110" s="243">
        <f t="shared" ca="1" si="246"/>
        <v>0</v>
      </c>
      <c r="DP110" s="243">
        <f t="shared" ca="1" si="246"/>
        <v>0</v>
      </c>
      <c r="DQ110" s="243">
        <f t="shared" ca="1" si="246"/>
        <v>0</v>
      </c>
      <c r="DR110" s="243">
        <f t="shared" ca="1" si="246"/>
        <v>0</v>
      </c>
      <c r="DS110" s="243">
        <f t="shared" ca="1" si="246"/>
        <v>0</v>
      </c>
      <c r="DT110" s="243">
        <f t="shared" ca="1" si="246"/>
        <v>0</v>
      </c>
      <c r="DU110" s="243">
        <f t="shared" ca="1" si="246"/>
        <v>0</v>
      </c>
      <c r="DV110" s="243">
        <f t="shared" ca="1" si="246"/>
        <v>0</v>
      </c>
      <c r="DW110" s="243">
        <f t="shared" ca="1" si="246"/>
        <v>0</v>
      </c>
      <c r="DX110" s="243">
        <f t="shared" ca="1" si="246"/>
        <v>0</v>
      </c>
      <c r="DY110" s="243">
        <f t="shared" ca="1" si="246"/>
        <v>0</v>
      </c>
      <c r="DZ110" s="243">
        <f t="shared" ca="1" si="246"/>
        <v>0</v>
      </c>
      <c r="EA110" s="243">
        <f t="shared" ca="1" si="246"/>
        <v>0</v>
      </c>
      <c r="EB110" s="243">
        <f t="shared" ca="1" si="246"/>
        <v>0</v>
      </c>
      <c r="EC110" s="243">
        <f t="shared" ca="1" si="246"/>
        <v>0</v>
      </c>
      <c r="ED110" s="243">
        <f t="shared" ca="1" si="246"/>
        <v>0</v>
      </c>
      <c r="EE110" s="243">
        <f t="shared" ca="1" si="246"/>
        <v>0</v>
      </c>
      <c r="EF110" s="243">
        <f t="shared" ca="1" si="246"/>
        <v>0</v>
      </c>
      <c r="EG110" s="243">
        <f ca="1">EG131</f>
        <v>0</v>
      </c>
      <c r="EH110" s="243">
        <f ca="1">EH131</f>
        <v>0</v>
      </c>
      <c r="EI110" s="243">
        <f ca="1">EI131</f>
        <v>0</v>
      </c>
      <c r="EJ110" s="243">
        <f ca="1">EJ131</f>
        <v>0</v>
      </c>
      <c r="FC110" s="182"/>
    </row>
    <row r="111" spans="2:159" outlineLevel="1" x14ac:dyDescent="0.4">
      <c r="B111" s="1" t="s">
        <v>327</v>
      </c>
      <c r="F111" s="12"/>
      <c r="G111" s="251"/>
      <c r="H111" s="243">
        <f>H139</f>
        <v>0</v>
      </c>
      <c r="I111" s="243">
        <f t="shared" ref="I111:BT111" si="247">I139</f>
        <v>0</v>
      </c>
      <c r="J111" s="243">
        <f t="shared" si="247"/>
        <v>0</v>
      </c>
      <c r="K111" s="243">
        <f t="shared" si="247"/>
        <v>0</v>
      </c>
      <c r="L111" s="243">
        <f t="shared" si="247"/>
        <v>0</v>
      </c>
      <c r="M111" s="243">
        <f t="shared" si="247"/>
        <v>0</v>
      </c>
      <c r="N111" s="243">
        <f t="shared" si="247"/>
        <v>0</v>
      </c>
      <c r="O111" s="243">
        <f t="shared" si="247"/>
        <v>0</v>
      </c>
      <c r="P111" s="243">
        <f t="shared" si="247"/>
        <v>0</v>
      </c>
      <c r="Q111" s="243">
        <f t="shared" si="247"/>
        <v>0</v>
      </c>
      <c r="R111" s="243">
        <f t="shared" si="247"/>
        <v>0</v>
      </c>
      <c r="S111" s="243">
        <f t="shared" si="247"/>
        <v>0</v>
      </c>
      <c r="T111" s="243">
        <f t="shared" si="247"/>
        <v>0</v>
      </c>
      <c r="U111" s="243">
        <f t="shared" si="247"/>
        <v>0</v>
      </c>
      <c r="V111" s="243">
        <f t="shared" si="247"/>
        <v>0</v>
      </c>
      <c r="W111" s="243">
        <f t="shared" si="247"/>
        <v>0</v>
      </c>
      <c r="X111" s="243">
        <f t="shared" si="247"/>
        <v>0</v>
      </c>
      <c r="Y111" s="243">
        <f t="shared" si="247"/>
        <v>-27814.900542396259</v>
      </c>
      <c r="Z111" s="243">
        <f t="shared" si="247"/>
        <v>0</v>
      </c>
      <c r="AA111" s="243">
        <f t="shared" si="247"/>
        <v>0</v>
      </c>
      <c r="AB111" s="243">
        <f t="shared" si="247"/>
        <v>0</v>
      </c>
      <c r="AC111" s="243">
        <f t="shared" si="247"/>
        <v>0</v>
      </c>
      <c r="AD111" s="243">
        <f t="shared" si="247"/>
        <v>0</v>
      </c>
      <c r="AE111" s="243">
        <f t="shared" si="247"/>
        <v>0</v>
      </c>
      <c r="AF111" s="243">
        <f t="shared" si="247"/>
        <v>0</v>
      </c>
      <c r="AG111" s="243">
        <f t="shared" si="247"/>
        <v>0</v>
      </c>
      <c r="AH111" s="243">
        <f t="shared" si="247"/>
        <v>0</v>
      </c>
      <c r="AI111" s="243">
        <f t="shared" si="247"/>
        <v>0</v>
      </c>
      <c r="AJ111" s="243">
        <f t="shared" si="247"/>
        <v>0</v>
      </c>
      <c r="AK111" s="243">
        <f t="shared" si="247"/>
        <v>0</v>
      </c>
      <c r="AL111" s="243">
        <f t="shared" si="247"/>
        <v>0</v>
      </c>
      <c r="AM111" s="243">
        <f t="shared" si="247"/>
        <v>0</v>
      </c>
      <c r="AN111" s="243">
        <f t="shared" si="247"/>
        <v>0</v>
      </c>
      <c r="AO111" s="243">
        <f t="shared" si="247"/>
        <v>0</v>
      </c>
      <c r="AP111" s="243">
        <f t="shared" si="247"/>
        <v>0</v>
      </c>
      <c r="AQ111" s="243">
        <f t="shared" si="247"/>
        <v>0</v>
      </c>
      <c r="AR111" s="243">
        <f t="shared" si="247"/>
        <v>0</v>
      </c>
      <c r="AS111" s="243">
        <f t="shared" si="247"/>
        <v>0</v>
      </c>
      <c r="AT111" s="243">
        <f t="shared" si="247"/>
        <v>0</v>
      </c>
      <c r="AU111" s="243">
        <f t="shared" si="247"/>
        <v>0</v>
      </c>
      <c r="AV111" s="243">
        <f t="shared" si="247"/>
        <v>0</v>
      </c>
      <c r="AW111" s="243">
        <f t="shared" si="247"/>
        <v>0</v>
      </c>
      <c r="AX111" s="243">
        <f t="shared" si="247"/>
        <v>0</v>
      </c>
      <c r="AY111" s="243">
        <f t="shared" si="247"/>
        <v>0</v>
      </c>
      <c r="AZ111" s="243">
        <f t="shared" si="247"/>
        <v>0</v>
      </c>
      <c r="BA111" s="243">
        <f t="shared" si="247"/>
        <v>0</v>
      </c>
      <c r="BB111" s="243">
        <f t="shared" si="247"/>
        <v>0</v>
      </c>
      <c r="BC111" s="243">
        <f t="shared" si="247"/>
        <v>0</v>
      </c>
      <c r="BD111" s="243">
        <f t="shared" si="247"/>
        <v>0</v>
      </c>
      <c r="BE111" s="243">
        <f t="shared" si="247"/>
        <v>0</v>
      </c>
      <c r="BF111" s="243">
        <f t="shared" si="247"/>
        <v>0</v>
      </c>
      <c r="BG111" s="243">
        <f t="shared" si="247"/>
        <v>0</v>
      </c>
      <c r="BH111" s="243">
        <f t="shared" si="247"/>
        <v>0</v>
      </c>
      <c r="BI111" s="243">
        <f t="shared" si="247"/>
        <v>0</v>
      </c>
      <c r="BJ111" s="243">
        <f t="shared" si="247"/>
        <v>0</v>
      </c>
      <c r="BK111" s="243">
        <f t="shared" si="247"/>
        <v>0</v>
      </c>
      <c r="BL111" s="243">
        <f t="shared" si="247"/>
        <v>0</v>
      </c>
      <c r="BM111" s="243">
        <f t="shared" si="247"/>
        <v>0</v>
      </c>
      <c r="BN111" s="243">
        <f t="shared" si="247"/>
        <v>0</v>
      </c>
      <c r="BO111" s="243">
        <f t="shared" si="247"/>
        <v>0</v>
      </c>
      <c r="BP111" s="243">
        <f t="shared" si="247"/>
        <v>0</v>
      </c>
      <c r="BQ111" s="243">
        <f t="shared" si="247"/>
        <v>0</v>
      </c>
      <c r="BR111" s="243">
        <f t="shared" si="247"/>
        <v>0</v>
      </c>
      <c r="BS111" s="243">
        <f t="shared" si="247"/>
        <v>0</v>
      </c>
      <c r="BT111" s="243">
        <f t="shared" si="247"/>
        <v>0</v>
      </c>
      <c r="BU111" s="243">
        <f t="shared" ref="BU111:EF111" si="248">BU139</f>
        <v>0</v>
      </c>
      <c r="BV111" s="243">
        <f t="shared" si="248"/>
        <v>0</v>
      </c>
      <c r="BW111" s="243">
        <f t="shared" si="248"/>
        <v>0</v>
      </c>
      <c r="BX111" s="243">
        <f t="shared" si="248"/>
        <v>0</v>
      </c>
      <c r="BY111" s="243">
        <f t="shared" si="248"/>
        <v>0</v>
      </c>
      <c r="BZ111" s="243">
        <f t="shared" si="248"/>
        <v>0</v>
      </c>
      <c r="CA111" s="243">
        <f t="shared" si="248"/>
        <v>0</v>
      </c>
      <c r="CB111" s="243">
        <f t="shared" si="248"/>
        <v>0</v>
      </c>
      <c r="CC111" s="243">
        <f t="shared" si="248"/>
        <v>0</v>
      </c>
      <c r="CD111" s="243">
        <f t="shared" si="248"/>
        <v>0</v>
      </c>
      <c r="CE111" s="243">
        <f t="shared" si="248"/>
        <v>0</v>
      </c>
      <c r="CF111" s="243">
        <f t="shared" si="248"/>
        <v>0</v>
      </c>
      <c r="CG111" s="243">
        <f t="shared" si="248"/>
        <v>0</v>
      </c>
      <c r="CH111" s="243">
        <f t="shared" si="248"/>
        <v>0</v>
      </c>
      <c r="CI111" s="243">
        <f t="shared" si="248"/>
        <v>0</v>
      </c>
      <c r="CJ111" s="243">
        <f t="shared" si="248"/>
        <v>0</v>
      </c>
      <c r="CK111" s="243">
        <f t="shared" si="248"/>
        <v>0</v>
      </c>
      <c r="CL111" s="243">
        <f t="shared" si="248"/>
        <v>0</v>
      </c>
      <c r="CM111" s="243">
        <f t="shared" si="248"/>
        <v>0</v>
      </c>
      <c r="CN111" s="243">
        <f t="shared" si="248"/>
        <v>0</v>
      </c>
      <c r="CO111" s="243">
        <f t="shared" si="248"/>
        <v>0</v>
      </c>
      <c r="CP111" s="243">
        <f t="shared" si="248"/>
        <v>0</v>
      </c>
      <c r="CQ111" s="243">
        <f t="shared" si="248"/>
        <v>0</v>
      </c>
      <c r="CR111" s="243">
        <f t="shared" si="248"/>
        <v>0</v>
      </c>
      <c r="CS111" s="243">
        <f t="shared" si="248"/>
        <v>0</v>
      </c>
      <c r="CT111" s="243">
        <f t="shared" si="248"/>
        <v>0</v>
      </c>
      <c r="CU111" s="243">
        <f t="shared" si="248"/>
        <v>0</v>
      </c>
      <c r="CV111" s="243">
        <f t="shared" si="248"/>
        <v>0</v>
      </c>
      <c r="CW111" s="243">
        <f t="shared" si="248"/>
        <v>0</v>
      </c>
      <c r="CX111" s="243">
        <f t="shared" si="248"/>
        <v>0</v>
      </c>
      <c r="CY111" s="243">
        <f t="shared" si="248"/>
        <v>0</v>
      </c>
      <c r="CZ111" s="243">
        <f t="shared" si="248"/>
        <v>0</v>
      </c>
      <c r="DA111" s="243">
        <f t="shared" si="248"/>
        <v>0</v>
      </c>
      <c r="DB111" s="243">
        <f t="shared" si="248"/>
        <v>0</v>
      </c>
      <c r="DC111" s="243">
        <f t="shared" si="248"/>
        <v>0</v>
      </c>
      <c r="DD111" s="243">
        <f t="shared" si="248"/>
        <v>0</v>
      </c>
      <c r="DE111" s="243">
        <f t="shared" si="248"/>
        <v>0</v>
      </c>
      <c r="DF111" s="243">
        <f t="shared" si="248"/>
        <v>0</v>
      </c>
      <c r="DG111" s="243">
        <f t="shared" si="248"/>
        <v>0</v>
      </c>
      <c r="DH111" s="243">
        <f t="shared" si="248"/>
        <v>0</v>
      </c>
      <c r="DI111" s="243">
        <f t="shared" si="248"/>
        <v>0</v>
      </c>
      <c r="DJ111" s="243">
        <f t="shared" si="248"/>
        <v>0</v>
      </c>
      <c r="DK111" s="243">
        <f t="shared" si="248"/>
        <v>0</v>
      </c>
      <c r="DL111" s="243">
        <f t="shared" si="248"/>
        <v>0</v>
      </c>
      <c r="DM111" s="243">
        <f t="shared" si="248"/>
        <v>0</v>
      </c>
      <c r="DN111" s="243">
        <f t="shared" si="248"/>
        <v>0</v>
      </c>
      <c r="DO111" s="243">
        <f t="shared" si="248"/>
        <v>0</v>
      </c>
      <c r="DP111" s="243">
        <f t="shared" si="248"/>
        <v>0</v>
      </c>
      <c r="DQ111" s="243">
        <f t="shared" si="248"/>
        <v>0</v>
      </c>
      <c r="DR111" s="243">
        <f t="shared" si="248"/>
        <v>0</v>
      </c>
      <c r="DS111" s="243">
        <f t="shared" si="248"/>
        <v>0</v>
      </c>
      <c r="DT111" s="243">
        <f t="shared" si="248"/>
        <v>0</v>
      </c>
      <c r="DU111" s="243">
        <f t="shared" si="248"/>
        <v>0</v>
      </c>
      <c r="DV111" s="243">
        <f t="shared" si="248"/>
        <v>0</v>
      </c>
      <c r="DW111" s="243">
        <f t="shared" si="248"/>
        <v>0</v>
      </c>
      <c r="DX111" s="243">
        <f t="shared" si="248"/>
        <v>0</v>
      </c>
      <c r="DY111" s="243">
        <f t="shared" si="248"/>
        <v>0</v>
      </c>
      <c r="DZ111" s="243">
        <f t="shared" si="248"/>
        <v>0</v>
      </c>
      <c r="EA111" s="243">
        <f t="shared" si="248"/>
        <v>0</v>
      </c>
      <c r="EB111" s="243">
        <f t="shared" si="248"/>
        <v>0</v>
      </c>
      <c r="EC111" s="243">
        <f t="shared" si="248"/>
        <v>0</v>
      </c>
      <c r="ED111" s="243">
        <f t="shared" si="248"/>
        <v>0</v>
      </c>
      <c r="EE111" s="243">
        <f t="shared" si="248"/>
        <v>0</v>
      </c>
      <c r="EF111" s="243">
        <f t="shared" si="248"/>
        <v>0</v>
      </c>
      <c r="EG111" s="243">
        <f>EG139</f>
        <v>0</v>
      </c>
      <c r="EH111" s="243">
        <f>EH139</f>
        <v>0</v>
      </c>
      <c r="EI111" s="243">
        <f>EI139</f>
        <v>0</v>
      </c>
      <c r="EJ111" s="243">
        <f>EJ139</f>
        <v>0</v>
      </c>
      <c r="FC111" s="182"/>
    </row>
    <row r="112" spans="2:159" outlineLevel="1" x14ac:dyDescent="0.4">
      <c r="B112" s="107" t="s">
        <v>243</v>
      </c>
      <c r="C112" s="107"/>
      <c r="D112" s="107"/>
      <c r="E112" s="97"/>
      <c r="F112" s="97"/>
      <c r="G112" s="107"/>
      <c r="H112" s="244">
        <f>SUM(H108:H111)</f>
        <v>-6100000</v>
      </c>
      <c r="I112" s="244">
        <f t="shared" ref="I112:BT112" ca="1" si="249">SUM(I108:I111)</f>
        <v>0</v>
      </c>
      <c r="J112" s="244">
        <f t="shared" ca="1" si="249"/>
        <v>0</v>
      </c>
      <c r="K112" s="244">
        <f t="shared" ca="1" si="249"/>
        <v>-360500</v>
      </c>
      <c r="L112" s="244">
        <f t="shared" ca="1" si="249"/>
        <v>-360500</v>
      </c>
      <c r="M112" s="244">
        <f t="shared" ca="1" si="249"/>
        <v>-360500</v>
      </c>
      <c r="N112" s="244">
        <f t="shared" ca="1" si="249"/>
        <v>-360500</v>
      </c>
      <c r="O112" s="244">
        <f t="shared" ca="1" si="249"/>
        <v>-3141750</v>
      </c>
      <c r="P112" s="244">
        <f t="shared" ca="1" si="249"/>
        <v>-3141750</v>
      </c>
      <c r="Q112" s="244">
        <f t="shared" ca="1" si="249"/>
        <v>-3141750</v>
      </c>
      <c r="R112" s="244">
        <f t="shared" ca="1" si="249"/>
        <v>-3141750</v>
      </c>
      <c r="S112" s="244">
        <f t="shared" ca="1" si="249"/>
        <v>-3147209.9483372918</v>
      </c>
      <c r="T112" s="244">
        <f t="shared" ca="1" si="249"/>
        <v>-3160351.1826556157</v>
      </c>
      <c r="U112" s="244">
        <f t="shared" ca="1" si="249"/>
        <v>-3173301.922377218</v>
      </c>
      <c r="V112" s="244">
        <f t="shared" ca="1" si="249"/>
        <v>-3181936.3837887901</v>
      </c>
      <c r="W112" s="244">
        <f t="shared" ca="1" si="249"/>
        <v>-3199139.6053462652</v>
      </c>
      <c r="X112" s="244">
        <f t="shared" ca="1" si="249"/>
        <v>-3209772.1818937953</v>
      </c>
      <c r="Y112" s="244">
        <f t="shared" ca="1" si="249"/>
        <v>-3252730.6167059592</v>
      </c>
      <c r="Z112" s="244">
        <f t="shared" ca="1" si="249"/>
        <v>-3234807.0964271799</v>
      </c>
      <c r="AA112" s="244">
        <f t="shared" ca="1" si="249"/>
        <v>-3250850.1745112208</v>
      </c>
      <c r="AB112" s="244">
        <f t="shared" ca="1" si="249"/>
        <v>-3263822.7219459028</v>
      </c>
      <c r="AC112" s="244">
        <f t="shared" ca="1" si="249"/>
        <v>-3272580.9324461496</v>
      </c>
      <c r="AD112" s="244">
        <f t="shared" ca="1" si="249"/>
        <v>-3290197.2329924018</v>
      </c>
      <c r="AE112" s="244">
        <f t="shared" ca="1" si="249"/>
        <v>0</v>
      </c>
      <c r="AF112" s="244">
        <f t="shared" ca="1" si="249"/>
        <v>0</v>
      </c>
      <c r="AG112" s="244">
        <f t="shared" ca="1" si="249"/>
        <v>0</v>
      </c>
      <c r="AH112" s="244">
        <f t="shared" ca="1" si="249"/>
        <v>0</v>
      </c>
      <c r="AI112" s="244">
        <f t="shared" ca="1" si="249"/>
        <v>0</v>
      </c>
      <c r="AJ112" s="244">
        <f t="shared" ca="1" si="249"/>
        <v>0</v>
      </c>
      <c r="AK112" s="244">
        <f t="shared" ca="1" si="249"/>
        <v>0</v>
      </c>
      <c r="AL112" s="244">
        <f t="shared" ca="1" si="249"/>
        <v>0</v>
      </c>
      <c r="AM112" s="244">
        <f t="shared" ca="1" si="249"/>
        <v>0</v>
      </c>
      <c r="AN112" s="244">
        <f t="shared" ca="1" si="249"/>
        <v>0</v>
      </c>
      <c r="AO112" s="244">
        <f t="shared" ca="1" si="249"/>
        <v>0</v>
      </c>
      <c r="AP112" s="244">
        <f t="shared" ca="1" si="249"/>
        <v>0</v>
      </c>
      <c r="AQ112" s="244">
        <f t="shared" ca="1" si="249"/>
        <v>0</v>
      </c>
      <c r="AR112" s="244">
        <f t="shared" ca="1" si="249"/>
        <v>0</v>
      </c>
      <c r="AS112" s="244">
        <f t="shared" ca="1" si="249"/>
        <v>0</v>
      </c>
      <c r="AT112" s="244">
        <f t="shared" ca="1" si="249"/>
        <v>0</v>
      </c>
      <c r="AU112" s="244">
        <f t="shared" ca="1" si="249"/>
        <v>0</v>
      </c>
      <c r="AV112" s="244">
        <f t="shared" ca="1" si="249"/>
        <v>0</v>
      </c>
      <c r="AW112" s="244">
        <f t="shared" ca="1" si="249"/>
        <v>0</v>
      </c>
      <c r="AX112" s="244">
        <f t="shared" ca="1" si="249"/>
        <v>0</v>
      </c>
      <c r="AY112" s="244">
        <f t="shared" ca="1" si="249"/>
        <v>0</v>
      </c>
      <c r="AZ112" s="244">
        <f t="shared" ca="1" si="249"/>
        <v>0</v>
      </c>
      <c r="BA112" s="244">
        <f t="shared" ca="1" si="249"/>
        <v>0</v>
      </c>
      <c r="BB112" s="244">
        <f t="shared" ca="1" si="249"/>
        <v>0</v>
      </c>
      <c r="BC112" s="244">
        <f t="shared" ca="1" si="249"/>
        <v>0</v>
      </c>
      <c r="BD112" s="244">
        <f t="shared" ca="1" si="249"/>
        <v>0</v>
      </c>
      <c r="BE112" s="244">
        <f t="shared" ca="1" si="249"/>
        <v>0</v>
      </c>
      <c r="BF112" s="244">
        <f t="shared" ca="1" si="249"/>
        <v>0</v>
      </c>
      <c r="BG112" s="244">
        <f t="shared" ca="1" si="249"/>
        <v>0</v>
      </c>
      <c r="BH112" s="244">
        <f t="shared" ca="1" si="249"/>
        <v>0</v>
      </c>
      <c r="BI112" s="244">
        <f t="shared" ca="1" si="249"/>
        <v>0</v>
      </c>
      <c r="BJ112" s="244">
        <f t="shared" ca="1" si="249"/>
        <v>0</v>
      </c>
      <c r="BK112" s="244">
        <f t="shared" ca="1" si="249"/>
        <v>0</v>
      </c>
      <c r="BL112" s="244">
        <f t="shared" ca="1" si="249"/>
        <v>0</v>
      </c>
      <c r="BM112" s="244">
        <f t="shared" ca="1" si="249"/>
        <v>0</v>
      </c>
      <c r="BN112" s="244">
        <f t="shared" ca="1" si="249"/>
        <v>0</v>
      </c>
      <c r="BO112" s="244">
        <f t="shared" ca="1" si="249"/>
        <v>0</v>
      </c>
      <c r="BP112" s="244">
        <f t="shared" ca="1" si="249"/>
        <v>0</v>
      </c>
      <c r="BQ112" s="244">
        <f t="shared" ca="1" si="249"/>
        <v>0</v>
      </c>
      <c r="BR112" s="244">
        <f t="shared" ca="1" si="249"/>
        <v>0</v>
      </c>
      <c r="BS112" s="244">
        <f t="shared" ca="1" si="249"/>
        <v>0</v>
      </c>
      <c r="BT112" s="244">
        <f t="shared" ca="1" si="249"/>
        <v>0</v>
      </c>
      <c r="BU112" s="244">
        <f t="shared" ref="BU112:EF112" ca="1" si="250">SUM(BU108:BU111)</f>
        <v>0</v>
      </c>
      <c r="BV112" s="244">
        <f t="shared" ca="1" si="250"/>
        <v>0</v>
      </c>
      <c r="BW112" s="244">
        <f t="shared" ca="1" si="250"/>
        <v>0</v>
      </c>
      <c r="BX112" s="244">
        <f t="shared" ca="1" si="250"/>
        <v>0</v>
      </c>
      <c r="BY112" s="244">
        <f t="shared" ca="1" si="250"/>
        <v>0</v>
      </c>
      <c r="BZ112" s="244">
        <f t="shared" ca="1" si="250"/>
        <v>0</v>
      </c>
      <c r="CA112" s="244">
        <f t="shared" ca="1" si="250"/>
        <v>0</v>
      </c>
      <c r="CB112" s="244">
        <f t="shared" ca="1" si="250"/>
        <v>0</v>
      </c>
      <c r="CC112" s="244">
        <f t="shared" ca="1" si="250"/>
        <v>0</v>
      </c>
      <c r="CD112" s="244">
        <f t="shared" ca="1" si="250"/>
        <v>0</v>
      </c>
      <c r="CE112" s="244">
        <f t="shared" ca="1" si="250"/>
        <v>0</v>
      </c>
      <c r="CF112" s="244">
        <f t="shared" ca="1" si="250"/>
        <v>0</v>
      </c>
      <c r="CG112" s="244">
        <f t="shared" ca="1" si="250"/>
        <v>0</v>
      </c>
      <c r="CH112" s="244">
        <f t="shared" ca="1" si="250"/>
        <v>0</v>
      </c>
      <c r="CI112" s="244">
        <f t="shared" ca="1" si="250"/>
        <v>0</v>
      </c>
      <c r="CJ112" s="244">
        <f t="shared" ca="1" si="250"/>
        <v>0</v>
      </c>
      <c r="CK112" s="244">
        <f t="shared" ca="1" si="250"/>
        <v>0</v>
      </c>
      <c r="CL112" s="244">
        <f t="shared" ca="1" si="250"/>
        <v>0</v>
      </c>
      <c r="CM112" s="244">
        <f t="shared" ca="1" si="250"/>
        <v>0</v>
      </c>
      <c r="CN112" s="244">
        <f t="shared" ca="1" si="250"/>
        <v>0</v>
      </c>
      <c r="CO112" s="244">
        <f t="shared" ca="1" si="250"/>
        <v>0</v>
      </c>
      <c r="CP112" s="244">
        <f t="shared" ca="1" si="250"/>
        <v>0</v>
      </c>
      <c r="CQ112" s="244">
        <f t="shared" ca="1" si="250"/>
        <v>0</v>
      </c>
      <c r="CR112" s="244">
        <f t="shared" ca="1" si="250"/>
        <v>0</v>
      </c>
      <c r="CS112" s="244">
        <f t="shared" ca="1" si="250"/>
        <v>0</v>
      </c>
      <c r="CT112" s="244">
        <f t="shared" ca="1" si="250"/>
        <v>0</v>
      </c>
      <c r="CU112" s="244">
        <f t="shared" ca="1" si="250"/>
        <v>0</v>
      </c>
      <c r="CV112" s="244">
        <f t="shared" ca="1" si="250"/>
        <v>0</v>
      </c>
      <c r="CW112" s="244">
        <f t="shared" ca="1" si="250"/>
        <v>0</v>
      </c>
      <c r="CX112" s="244">
        <f t="shared" ca="1" si="250"/>
        <v>0</v>
      </c>
      <c r="CY112" s="244">
        <f t="shared" ca="1" si="250"/>
        <v>0</v>
      </c>
      <c r="CZ112" s="244">
        <f t="shared" ca="1" si="250"/>
        <v>0</v>
      </c>
      <c r="DA112" s="244">
        <f t="shared" ca="1" si="250"/>
        <v>0</v>
      </c>
      <c r="DB112" s="244">
        <f t="shared" ca="1" si="250"/>
        <v>0</v>
      </c>
      <c r="DC112" s="244">
        <f t="shared" ca="1" si="250"/>
        <v>0</v>
      </c>
      <c r="DD112" s="244">
        <f t="shared" ca="1" si="250"/>
        <v>0</v>
      </c>
      <c r="DE112" s="244">
        <f t="shared" ca="1" si="250"/>
        <v>0</v>
      </c>
      <c r="DF112" s="244">
        <f t="shared" ca="1" si="250"/>
        <v>0</v>
      </c>
      <c r="DG112" s="244">
        <f t="shared" ca="1" si="250"/>
        <v>0</v>
      </c>
      <c r="DH112" s="244">
        <f t="shared" ca="1" si="250"/>
        <v>0</v>
      </c>
      <c r="DI112" s="244">
        <f t="shared" ca="1" si="250"/>
        <v>0</v>
      </c>
      <c r="DJ112" s="244">
        <f t="shared" ca="1" si="250"/>
        <v>0</v>
      </c>
      <c r="DK112" s="244">
        <f t="shared" ca="1" si="250"/>
        <v>0</v>
      </c>
      <c r="DL112" s="244">
        <f t="shared" ca="1" si="250"/>
        <v>0</v>
      </c>
      <c r="DM112" s="244">
        <f t="shared" ca="1" si="250"/>
        <v>0</v>
      </c>
      <c r="DN112" s="244">
        <f t="shared" ca="1" si="250"/>
        <v>0</v>
      </c>
      <c r="DO112" s="244">
        <f t="shared" ca="1" si="250"/>
        <v>0</v>
      </c>
      <c r="DP112" s="244">
        <f t="shared" ca="1" si="250"/>
        <v>0</v>
      </c>
      <c r="DQ112" s="244">
        <f t="shared" ca="1" si="250"/>
        <v>0</v>
      </c>
      <c r="DR112" s="244">
        <f t="shared" ca="1" si="250"/>
        <v>0</v>
      </c>
      <c r="DS112" s="244">
        <f t="shared" ca="1" si="250"/>
        <v>0</v>
      </c>
      <c r="DT112" s="244">
        <f t="shared" ca="1" si="250"/>
        <v>0</v>
      </c>
      <c r="DU112" s="244">
        <f t="shared" ca="1" si="250"/>
        <v>0</v>
      </c>
      <c r="DV112" s="244">
        <f t="shared" ca="1" si="250"/>
        <v>0</v>
      </c>
      <c r="DW112" s="244">
        <f t="shared" ca="1" si="250"/>
        <v>0</v>
      </c>
      <c r="DX112" s="244">
        <f t="shared" ca="1" si="250"/>
        <v>0</v>
      </c>
      <c r="DY112" s="244">
        <f t="shared" ca="1" si="250"/>
        <v>0</v>
      </c>
      <c r="DZ112" s="244">
        <f t="shared" ca="1" si="250"/>
        <v>0</v>
      </c>
      <c r="EA112" s="244">
        <f t="shared" ca="1" si="250"/>
        <v>0</v>
      </c>
      <c r="EB112" s="244">
        <f t="shared" ca="1" si="250"/>
        <v>0</v>
      </c>
      <c r="EC112" s="244">
        <f t="shared" ca="1" si="250"/>
        <v>0</v>
      </c>
      <c r="ED112" s="244">
        <f t="shared" ca="1" si="250"/>
        <v>0</v>
      </c>
      <c r="EE112" s="244">
        <f t="shared" ca="1" si="250"/>
        <v>0</v>
      </c>
      <c r="EF112" s="244">
        <f t="shared" ca="1" si="250"/>
        <v>0</v>
      </c>
      <c r="EG112" s="244">
        <f ca="1">SUM(EG108:EG111)</f>
        <v>0</v>
      </c>
      <c r="EH112" s="244">
        <f ca="1">SUM(EH108:EH111)</f>
        <v>0</v>
      </c>
      <c r="EI112" s="244">
        <f ca="1">SUM(EI108:EI111)</f>
        <v>0</v>
      </c>
      <c r="EJ112" s="244">
        <f ca="1">SUM(EJ108:EJ111)</f>
        <v>0</v>
      </c>
      <c r="FC112" s="182"/>
    </row>
    <row r="113" spans="2:159" outlineLevel="1" x14ac:dyDescent="0.4">
      <c r="E113" s="12"/>
      <c r="H113" s="15"/>
      <c r="FC113" s="182"/>
    </row>
    <row r="114" spans="2:159" outlineLevel="1" x14ac:dyDescent="0.4">
      <c r="B114" s="94" t="s">
        <v>154</v>
      </c>
      <c r="E114" s="12"/>
      <c r="H114" s="15"/>
      <c r="FC114" s="182"/>
    </row>
    <row r="115" spans="2:159" outlineLevel="1" x14ac:dyDescent="0.4">
      <c r="B115" s="1" t="s">
        <v>288</v>
      </c>
      <c r="H115" s="256">
        <f ca="1">'Development Budget'!F46</f>
        <v>18745699.999427788</v>
      </c>
      <c r="I115" s="244">
        <f ca="1">H117</f>
        <v>12645699.999427788</v>
      </c>
      <c r="J115" s="244">
        <f t="shared" ref="J115:BU115" ca="1" si="251">I117</f>
        <v>12645699.999427788</v>
      </c>
      <c r="K115" s="244">
        <f t="shared" ca="1" si="251"/>
        <v>12645699.999427788</v>
      </c>
      <c r="L115" s="244">
        <f t="shared" ca="1" si="251"/>
        <v>12285199.999427788</v>
      </c>
      <c r="M115" s="244">
        <f t="shared" ca="1" si="251"/>
        <v>11924699.999427788</v>
      </c>
      <c r="N115" s="244">
        <f t="shared" ca="1" si="251"/>
        <v>11564199.999427788</v>
      </c>
      <c r="O115" s="244">
        <f t="shared" ca="1" si="251"/>
        <v>11203699.999427788</v>
      </c>
      <c r="P115" s="244">
        <f t="shared" ca="1" si="251"/>
        <v>8061949.999427788</v>
      </c>
      <c r="Q115" s="244">
        <f t="shared" ca="1" si="251"/>
        <v>4920199.999427788</v>
      </c>
      <c r="R115" s="244">
        <f t="shared" ca="1" si="251"/>
        <v>1778449.999427788</v>
      </c>
      <c r="S115" s="244">
        <f t="shared" ca="1" si="251"/>
        <v>0</v>
      </c>
      <c r="T115" s="244">
        <f t="shared" ca="1" si="251"/>
        <v>0</v>
      </c>
      <c r="U115" s="244">
        <f t="shared" ca="1" si="251"/>
        <v>0</v>
      </c>
      <c r="V115" s="244">
        <f t="shared" ca="1" si="251"/>
        <v>0</v>
      </c>
      <c r="W115" s="244">
        <f t="shared" ca="1" si="251"/>
        <v>0</v>
      </c>
      <c r="X115" s="244">
        <f t="shared" ca="1" si="251"/>
        <v>0</v>
      </c>
      <c r="Y115" s="244">
        <f t="shared" ca="1" si="251"/>
        <v>0</v>
      </c>
      <c r="Z115" s="244">
        <f t="shared" ca="1" si="251"/>
        <v>0</v>
      </c>
      <c r="AA115" s="244">
        <f t="shared" ca="1" si="251"/>
        <v>0</v>
      </c>
      <c r="AB115" s="244">
        <f t="shared" ca="1" si="251"/>
        <v>0</v>
      </c>
      <c r="AC115" s="244">
        <f t="shared" ca="1" si="251"/>
        <v>0</v>
      </c>
      <c r="AD115" s="244">
        <f t="shared" ca="1" si="251"/>
        <v>0</v>
      </c>
      <c r="AE115" s="244">
        <f t="shared" ca="1" si="251"/>
        <v>0</v>
      </c>
      <c r="AF115" s="244">
        <f t="shared" ca="1" si="251"/>
        <v>0</v>
      </c>
      <c r="AG115" s="244">
        <f t="shared" ca="1" si="251"/>
        <v>0</v>
      </c>
      <c r="AH115" s="244">
        <f t="shared" ca="1" si="251"/>
        <v>0</v>
      </c>
      <c r="AI115" s="244">
        <f t="shared" ca="1" si="251"/>
        <v>0</v>
      </c>
      <c r="AJ115" s="244">
        <f t="shared" ca="1" si="251"/>
        <v>0</v>
      </c>
      <c r="AK115" s="244">
        <f t="shared" ca="1" si="251"/>
        <v>0</v>
      </c>
      <c r="AL115" s="244">
        <f t="shared" ca="1" si="251"/>
        <v>0</v>
      </c>
      <c r="AM115" s="244">
        <f t="shared" ca="1" si="251"/>
        <v>0</v>
      </c>
      <c r="AN115" s="244">
        <f t="shared" ca="1" si="251"/>
        <v>0</v>
      </c>
      <c r="AO115" s="244">
        <f t="shared" ca="1" si="251"/>
        <v>0</v>
      </c>
      <c r="AP115" s="244">
        <f t="shared" ca="1" si="251"/>
        <v>0</v>
      </c>
      <c r="AQ115" s="244">
        <f t="shared" ca="1" si="251"/>
        <v>0</v>
      </c>
      <c r="AR115" s="244">
        <f t="shared" ca="1" si="251"/>
        <v>0</v>
      </c>
      <c r="AS115" s="244">
        <f t="shared" ca="1" si="251"/>
        <v>0</v>
      </c>
      <c r="AT115" s="244">
        <f t="shared" ca="1" si="251"/>
        <v>0</v>
      </c>
      <c r="AU115" s="244">
        <f t="shared" ca="1" si="251"/>
        <v>0</v>
      </c>
      <c r="AV115" s="244">
        <f t="shared" ca="1" si="251"/>
        <v>0</v>
      </c>
      <c r="AW115" s="244">
        <f t="shared" ca="1" si="251"/>
        <v>0</v>
      </c>
      <c r="AX115" s="244">
        <f t="shared" ca="1" si="251"/>
        <v>0</v>
      </c>
      <c r="AY115" s="244">
        <f t="shared" ca="1" si="251"/>
        <v>0</v>
      </c>
      <c r="AZ115" s="244">
        <f t="shared" ca="1" si="251"/>
        <v>0</v>
      </c>
      <c r="BA115" s="244">
        <f t="shared" ca="1" si="251"/>
        <v>0</v>
      </c>
      <c r="BB115" s="244">
        <f t="shared" ca="1" si="251"/>
        <v>0</v>
      </c>
      <c r="BC115" s="244">
        <f t="shared" ca="1" si="251"/>
        <v>0</v>
      </c>
      <c r="BD115" s="244">
        <f t="shared" ca="1" si="251"/>
        <v>0</v>
      </c>
      <c r="BE115" s="244">
        <f t="shared" ca="1" si="251"/>
        <v>0</v>
      </c>
      <c r="BF115" s="244">
        <f t="shared" ca="1" si="251"/>
        <v>0</v>
      </c>
      <c r="BG115" s="244">
        <f t="shared" ca="1" si="251"/>
        <v>0</v>
      </c>
      <c r="BH115" s="244">
        <f t="shared" ca="1" si="251"/>
        <v>0</v>
      </c>
      <c r="BI115" s="244">
        <f t="shared" ca="1" si="251"/>
        <v>0</v>
      </c>
      <c r="BJ115" s="244">
        <f t="shared" ca="1" si="251"/>
        <v>0</v>
      </c>
      <c r="BK115" s="244">
        <f t="shared" ca="1" si="251"/>
        <v>0</v>
      </c>
      <c r="BL115" s="244">
        <f t="shared" ca="1" si="251"/>
        <v>0</v>
      </c>
      <c r="BM115" s="244">
        <f t="shared" ca="1" si="251"/>
        <v>0</v>
      </c>
      <c r="BN115" s="244">
        <f t="shared" ca="1" si="251"/>
        <v>0</v>
      </c>
      <c r="BO115" s="244">
        <f t="shared" ca="1" si="251"/>
        <v>0</v>
      </c>
      <c r="BP115" s="244">
        <f t="shared" ca="1" si="251"/>
        <v>0</v>
      </c>
      <c r="BQ115" s="244">
        <f t="shared" ca="1" si="251"/>
        <v>0</v>
      </c>
      <c r="BR115" s="244">
        <f t="shared" ca="1" si="251"/>
        <v>0</v>
      </c>
      <c r="BS115" s="244">
        <f t="shared" ca="1" si="251"/>
        <v>0</v>
      </c>
      <c r="BT115" s="244">
        <f t="shared" ca="1" si="251"/>
        <v>0</v>
      </c>
      <c r="BU115" s="244">
        <f t="shared" ca="1" si="251"/>
        <v>0</v>
      </c>
      <c r="BV115" s="244">
        <f t="shared" ref="BV115:EG115" ca="1" si="252">BU117</f>
        <v>0</v>
      </c>
      <c r="BW115" s="244">
        <f t="shared" ca="1" si="252"/>
        <v>0</v>
      </c>
      <c r="BX115" s="244">
        <f t="shared" ca="1" si="252"/>
        <v>0</v>
      </c>
      <c r="BY115" s="244">
        <f t="shared" ca="1" si="252"/>
        <v>0</v>
      </c>
      <c r="BZ115" s="244">
        <f t="shared" ca="1" si="252"/>
        <v>0</v>
      </c>
      <c r="CA115" s="244">
        <f t="shared" ca="1" si="252"/>
        <v>0</v>
      </c>
      <c r="CB115" s="244">
        <f t="shared" ca="1" si="252"/>
        <v>0</v>
      </c>
      <c r="CC115" s="244">
        <f t="shared" ca="1" si="252"/>
        <v>0</v>
      </c>
      <c r="CD115" s="244">
        <f t="shared" ca="1" si="252"/>
        <v>0</v>
      </c>
      <c r="CE115" s="244">
        <f t="shared" ca="1" si="252"/>
        <v>0</v>
      </c>
      <c r="CF115" s="244">
        <f t="shared" ca="1" si="252"/>
        <v>0</v>
      </c>
      <c r="CG115" s="244">
        <f t="shared" ca="1" si="252"/>
        <v>0</v>
      </c>
      <c r="CH115" s="244">
        <f t="shared" ca="1" si="252"/>
        <v>0</v>
      </c>
      <c r="CI115" s="244">
        <f t="shared" ca="1" si="252"/>
        <v>0</v>
      </c>
      <c r="CJ115" s="244">
        <f t="shared" ca="1" si="252"/>
        <v>0</v>
      </c>
      <c r="CK115" s="244">
        <f t="shared" ca="1" si="252"/>
        <v>0</v>
      </c>
      <c r="CL115" s="244">
        <f t="shared" ca="1" si="252"/>
        <v>0</v>
      </c>
      <c r="CM115" s="244">
        <f t="shared" ca="1" si="252"/>
        <v>0</v>
      </c>
      <c r="CN115" s="244">
        <f t="shared" ca="1" si="252"/>
        <v>0</v>
      </c>
      <c r="CO115" s="244">
        <f t="shared" ca="1" si="252"/>
        <v>0</v>
      </c>
      <c r="CP115" s="244">
        <f t="shared" ca="1" si="252"/>
        <v>0</v>
      </c>
      <c r="CQ115" s="244">
        <f t="shared" ca="1" si="252"/>
        <v>0</v>
      </c>
      <c r="CR115" s="244">
        <f t="shared" ca="1" si="252"/>
        <v>0</v>
      </c>
      <c r="CS115" s="244">
        <f t="shared" ca="1" si="252"/>
        <v>0</v>
      </c>
      <c r="CT115" s="244">
        <f t="shared" ca="1" si="252"/>
        <v>0</v>
      </c>
      <c r="CU115" s="244">
        <f t="shared" ca="1" si="252"/>
        <v>0</v>
      </c>
      <c r="CV115" s="244">
        <f t="shared" ca="1" si="252"/>
        <v>0</v>
      </c>
      <c r="CW115" s="244">
        <f t="shared" ca="1" si="252"/>
        <v>0</v>
      </c>
      <c r="CX115" s="244">
        <f t="shared" ca="1" si="252"/>
        <v>0</v>
      </c>
      <c r="CY115" s="244">
        <f t="shared" ca="1" si="252"/>
        <v>0</v>
      </c>
      <c r="CZ115" s="244">
        <f t="shared" ca="1" si="252"/>
        <v>0</v>
      </c>
      <c r="DA115" s="244">
        <f t="shared" ca="1" si="252"/>
        <v>0</v>
      </c>
      <c r="DB115" s="244">
        <f t="shared" ca="1" si="252"/>
        <v>0</v>
      </c>
      <c r="DC115" s="244">
        <f t="shared" ca="1" si="252"/>
        <v>0</v>
      </c>
      <c r="DD115" s="244">
        <f t="shared" ca="1" si="252"/>
        <v>0</v>
      </c>
      <c r="DE115" s="244">
        <f t="shared" ca="1" si="252"/>
        <v>0</v>
      </c>
      <c r="DF115" s="244">
        <f t="shared" ca="1" si="252"/>
        <v>0</v>
      </c>
      <c r="DG115" s="244">
        <f t="shared" ca="1" si="252"/>
        <v>0</v>
      </c>
      <c r="DH115" s="244">
        <f t="shared" ca="1" si="252"/>
        <v>0</v>
      </c>
      <c r="DI115" s="244">
        <f t="shared" ca="1" si="252"/>
        <v>0</v>
      </c>
      <c r="DJ115" s="244">
        <f t="shared" ca="1" si="252"/>
        <v>0</v>
      </c>
      <c r="DK115" s="244">
        <f t="shared" ca="1" si="252"/>
        <v>0</v>
      </c>
      <c r="DL115" s="244">
        <f t="shared" ca="1" si="252"/>
        <v>0</v>
      </c>
      <c r="DM115" s="244">
        <f t="shared" ca="1" si="252"/>
        <v>0</v>
      </c>
      <c r="DN115" s="244">
        <f t="shared" ca="1" si="252"/>
        <v>0</v>
      </c>
      <c r="DO115" s="244">
        <f t="shared" ca="1" si="252"/>
        <v>0</v>
      </c>
      <c r="DP115" s="244">
        <f t="shared" ca="1" si="252"/>
        <v>0</v>
      </c>
      <c r="DQ115" s="244">
        <f t="shared" ca="1" si="252"/>
        <v>0</v>
      </c>
      <c r="DR115" s="244">
        <f t="shared" ca="1" si="252"/>
        <v>0</v>
      </c>
      <c r="DS115" s="244">
        <f t="shared" ca="1" si="252"/>
        <v>0</v>
      </c>
      <c r="DT115" s="244">
        <f t="shared" ca="1" si="252"/>
        <v>0</v>
      </c>
      <c r="DU115" s="244">
        <f t="shared" ca="1" si="252"/>
        <v>0</v>
      </c>
      <c r="DV115" s="244">
        <f t="shared" ca="1" si="252"/>
        <v>0</v>
      </c>
      <c r="DW115" s="244">
        <f t="shared" ca="1" si="252"/>
        <v>0</v>
      </c>
      <c r="DX115" s="244">
        <f t="shared" ca="1" si="252"/>
        <v>0</v>
      </c>
      <c r="DY115" s="244">
        <f t="shared" ca="1" si="252"/>
        <v>0</v>
      </c>
      <c r="DZ115" s="244">
        <f t="shared" ca="1" si="252"/>
        <v>0</v>
      </c>
      <c r="EA115" s="244">
        <f t="shared" ca="1" si="252"/>
        <v>0</v>
      </c>
      <c r="EB115" s="244">
        <f t="shared" ca="1" si="252"/>
        <v>0</v>
      </c>
      <c r="EC115" s="244">
        <f t="shared" ca="1" si="252"/>
        <v>0</v>
      </c>
      <c r="ED115" s="244">
        <f t="shared" ca="1" si="252"/>
        <v>0</v>
      </c>
      <c r="EE115" s="244">
        <f t="shared" ca="1" si="252"/>
        <v>0</v>
      </c>
      <c r="EF115" s="244">
        <f t="shared" ca="1" si="252"/>
        <v>0</v>
      </c>
      <c r="EG115" s="244">
        <f t="shared" ca="1" si="252"/>
        <v>0</v>
      </c>
      <c r="EH115" s="244">
        <f ca="1">EG117</f>
        <v>0</v>
      </c>
      <c r="EI115" s="244">
        <f ca="1">EH117</f>
        <v>0</v>
      </c>
      <c r="EJ115" s="244">
        <f ca="1">EI117</f>
        <v>0</v>
      </c>
      <c r="FC115" s="182"/>
    </row>
    <row r="116" spans="2:159" outlineLevel="1" x14ac:dyDescent="0.4">
      <c r="B116" s="60" t="s">
        <v>289</v>
      </c>
      <c r="H116" s="243">
        <f ca="1">-MIN(H115,-H112)</f>
        <v>-6100000</v>
      </c>
      <c r="I116" s="243">
        <f ca="1">-MIN(I115,-I112)</f>
        <v>0</v>
      </c>
      <c r="J116" s="243">
        <f t="shared" ref="J116:BU116" ca="1" si="253">-MIN(J115,-J112)</f>
        <v>0</v>
      </c>
      <c r="K116" s="243">
        <f t="shared" ca="1" si="253"/>
        <v>-360500</v>
      </c>
      <c r="L116" s="243">
        <f t="shared" ca="1" si="253"/>
        <v>-360500</v>
      </c>
      <c r="M116" s="243">
        <f t="shared" ca="1" si="253"/>
        <v>-360500</v>
      </c>
      <c r="N116" s="243">
        <f t="shared" ca="1" si="253"/>
        <v>-360500</v>
      </c>
      <c r="O116" s="243">
        <f t="shared" ca="1" si="253"/>
        <v>-3141750</v>
      </c>
      <c r="P116" s="243">
        <f t="shared" ca="1" si="253"/>
        <v>-3141750</v>
      </c>
      <c r="Q116" s="243">
        <f t="shared" ca="1" si="253"/>
        <v>-3141750</v>
      </c>
      <c r="R116" s="243">
        <f t="shared" ca="1" si="253"/>
        <v>-1778449.999427788</v>
      </c>
      <c r="S116" s="243">
        <f t="shared" ca="1" si="253"/>
        <v>0</v>
      </c>
      <c r="T116" s="243">
        <f t="shared" ca="1" si="253"/>
        <v>0</v>
      </c>
      <c r="U116" s="243">
        <f t="shared" ca="1" si="253"/>
        <v>0</v>
      </c>
      <c r="V116" s="243">
        <f t="shared" ca="1" si="253"/>
        <v>0</v>
      </c>
      <c r="W116" s="243">
        <f t="shared" ca="1" si="253"/>
        <v>0</v>
      </c>
      <c r="X116" s="243">
        <f t="shared" ca="1" si="253"/>
        <v>0</v>
      </c>
      <c r="Y116" s="243">
        <f t="shared" ca="1" si="253"/>
        <v>0</v>
      </c>
      <c r="Z116" s="243">
        <f t="shared" ca="1" si="253"/>
        <v>0</v>
      </c>
      <c r="AA116" s="243">
        <f t="shared" ca="1" si="253"/>
        <v>0</v>
      </c>
      <c r="AB116" s="243">
        <f t="shared" ca="1" si="253"/>
        <v>0</v>
      </c>
      <c r="AC116" s="243">
        <f t="shared" ca="1" si="253"/>
        <v>0</v>
      </c>
      <c r="AD116" s="243">
        <f t="shared" ca="1" si="253"/>
        <v>0</v>
      </c>
      <c r="AE116" s="243">
        <f t="shared" ca="1" si="253"/>
        <v>0</v>
      </c>
      <c r="AF116" s="243">
        <f t="shared" ca="1" si="253"/>
        <v>0</v>
      </c>
      <c r="AG116" s="243">
        <f t="shared" ca="1" si="253"/>
        <v>0</v>
      </c>
      <c r="AH116" s="243">
        <f t="shared" ca="1" si="253"/>
        <v>0</v>
      </c>
      <c r="AI116" s="243">
        <f t="shared" ca="1" si="253"/>
        <v>0</v>
      </c>
      <c r="AJ116" s="243">
        <f t="shared" ca="1" si="253"/>
        <v>0</v>
      </c>
      <c r="AK116" s="243">
        <f t="shared" ca="1" si="253"/>
        <v>0</v>
      </c>
      <c r="AL116" s="243">
        <f t="shared" ca="1" si="253"/>
        <v>0</v>
      </c>
      <c r="AM116" s="243">
        <f t="shared" ca="1" si="253"/>
        <v>0</v>
      </c>
      <c r="AN116" s="243">
        <f t="shared" ca="1" si="253"/>
        <v>0</v>
      </c>
      <c r="AO116" s="243">
        <f t="shared" ca="1" si="253"/>
        <v>0</v>
      </c>
      <c r="AP116" s="243">
        <f t="shared" ca="1" si="253"/>
        <v>0</v>
      </c>
      <c r="AQ116" s="243">
        <f t="shared" ca="1" si="253"/>
        <v>0</v>
      </c>
      <c r="AR116" s="243">
        <f t="shared" ca="1" si="253"/>
        <v>0</v>
      </c>
      <c r="AS116" s="243">
        <f t="shared" ca="1" si="253"/>
        <v>0</v>
      </c>
      <c r="AT116" s="243">
        <f t="shared" ca="1" si="253"/>
        <v>0</v>
      </c>
      <c r="AU116" s="243">
        <f t="shared" ca="1" si="253"/>
        <v>0</v>
      </c>
      <c r="AV116" s="243">
        <f t="shared" ca="1" si="253"/>
        <v>0</v>
      </c>
      <c r="AW116" s="243">
        <f t="shared" ca="1" si="253"/>
        <v>0</v>
      </c>
      <c r="AX116" s="243">
        <f t="shared" ca="1" si="253"/>
        <v>0</v>
      </c>
      <c r="AY116" s="243">
        <f t="shared" ca="1" si="253"/>
        <v>0</v>
      </c>
      <c r="AZ116" s="243">
        <f t="shared" ca="1" si="253"/>
        <v>0</v>
      </c>
      <c r="BA116" s="243">
        <f t="shared" ca="1" si="253"/>
        <v>0</v>
      </c>
      <c r="BB116" s="243">
        <f t="shared" ca="1" si="253"/>
        <v>0</v>
      </c>
      <c r="BC116" s="243">
        <f t="shared" ca="1" si="253"/>
        <v>0</v>
      </c>
      <c r="BD116" s="243">
        <f t="shared" ca="1" si="253"/>
        <v>0</v>
      </c>
      <c r="BE116" s="243">
        <f t="shared" ca="1" si="253"/>
        <v>0</v>
      </c>
      <c r="BF116" s="243">
        <f t="shared" ca="1" si="253"/>
        <v>0</v>
      </c>
      <c r="BG116" s="243">
        <f t="shared" ca="1" si="253"/>
        <v>0</v>
      </c>
      <c r="BH116" s="243">
        <f t="shared" ca="1" si="253"/>
        <v>0</v>
      </c>
      <c r="BI116" s="243">
        <f t="shared" ca="1" si="253"/>
        <v>0</v>
      </c>
      <c r="BJ116" s="243">
        <f t="shared" ca="1" si="253"/>
        <v>0</v>
      </c>
      <c r="BK116" s="243">
        <f t="shared" ca="1" si="253"/>
        <v>0</v>
      </c>
      <c r="BL116" s="243">
        <f t="shared" ca="1" si="253"/>
        <v>0</v>
      </c>
      <c r="BM116" s="243">
        <f t="shared" ca="1" si="253"/>
        <v>0</v>
      </c>
      <c r="BN116" s="243">
        <f t="shared" ca="1" si="253"/>
        <v>0</v>
      </c>
      <c r="BO116" s="243">
        <f t="shared" ca="1" si="253"/>
        <v>0</v>
      </c>
      <c r="BP116" s="243">
        <f t="shared" ca="1" si="253"/>
        <v>0</v>
      </c>
      <c r="BQ116" s="243">
        <f t="shared" ca="1" si="253"/>
        <v>0</v>
      </c>
      <c r="BR116" s="243">
        <f t="shared" ca="1" si="253"/>
        <v>0</v>
      </c>
      <c r="BS116" s="243">
        <f t="shared" ca="1" si="253"/>
        <v>0</v>
      </c>
      <c r="BT116" s="243">
        <f t="shared" ca="1" si="253"/>
        <v>0</v>
      </c>
      <c r="BU116" s="243">
        <f t="shared" ca="1" si="253"/>
        <v>0</v>
      </c>
      <c r="BV116" s="243">
        <f t="shared" ref="BV116:EG116" ca="1" si="254">-MIN(BV115,-BV112)</f>
        <v>0</v>
      </c>
      <c r="BW116" s="243">
        <f t="shared" ca="1" si="254"/>
        <v>0</v>
      </c>
      <c r="BX116" s="243">
        <f t="shared" ca="1" si="254"/>
        <v>0</v>
      </c>
      <c r="BY116" s="243">
        <f t="shared" ca="1" si="254"/>
        <v>0</v>
      </c>
      <c r="BZ116" s="243">
        <f t="shared" ca="1" si="254"/>
        <v>0</v>
      </c>
      <c r="CA116" s="243">
        <f t="shared" ca="1" si="254"/>
        <v>0</v>
      </c>
      <c r="CB116" s="243">
        <f t="shared" ca="1" si="254"/>
        <v>0</v>
      </c>
      <c r="CC116" s="243">
        <f t="shared" ca="1" si="254"/>
        <v>0</v>
      </c>
      <c r="CD116" s="243">
        <f t="shared" ca="1" si="254"/>
        <v>0</v>
      </c>
      <c r="CE116" s="243">
        <f t="shared" ca="1" si="254"/>
        <v>0</v>
      </c>
      <c r="CF116" s="243">
        <f t="shared" ca="1" si="254"/>
        <v>0</v>
      </c>
      <c r="CG116" s="243">
        <f t="shared" ca="1" si="254"/>
        <v>0</v>
      </c>
      <c r="CH116" s="243">
        <f t="shared" ca="1" si="254"/>
        <v>0</v>
      </c>
      <c r="CI116" s="243">
        <f t="shared" ca="1" si="254"/>
        <v>0</v>
      </c>
      <c r="CJ116" s="243">
        <f t="shared" ca="1" si="254"/>
        <v>0</v>
      </c>
      <c r="CK116" s="243">
        <f t="shared" ca="1" si="254"/>
        <v>0</v>
      </c>
      <c r="CL116" s="243">
        <f t="shared" ca="1" si="254"/>
        <v>0</v>
      </c>
      <c r="CM116" s="243">
        <f t="shared" ca="1" si="254"/>
        <v>0</v>
      </c>
      <c r="CN116" s="243">
        <f t="shared" ca="1" si="254"/>
        <v>0</v>
      </c>
      <c r="CO116" s="243">
        <f t="shared" ca="1" si="254"/>
        <v>0</v>
      </c>
      <c r="CP116" s="243">
        <f t="shared" ca="1" si="254"/>
        <v>0</v>
      </c>
      <c r="CQ116" s="243">
        <f t="shared" ca="1" si="254"/>
        <v>0</v>
      </c>
      <c r="CR116" s="243">
        <f t="shared" ca="1" si="254"/>
        <v>0</v>
      </c>
      <c r="CS116" s="243">
        <f t="shared" ca="1" si="254"/>
        <v>0</v>
      </c>
      <c r="CT116" s="243">
        <f t="shared" ca="1" si="254"/>
        <v>0</v>
      </c>
      <c r="CU116" s="243">
        <f t="shared" ca="1" si="254"/>
        <v>0</v>
      </c>
      <c r="CV116" s="243">
        <f t="shared" ca="1" si="254"/>
        <v>0</v>
      </c>
      <c r="CW116" s="243">
        <f t="shared" ca="1" si="254"/>
        <v>0</v>
      </c>
      <c r="CX116" s="243">
        <f t="shared" ca="1" si="254"/>
        <v>0</v>
      </c>
      <c r="CY116" s="243">
        <f t="shared" ca="1" si="254"/>
        <v>0</v>
      </c>
      <c r="CZ116" s="243">
        <f t="shared" ca="1" si="254"/>
        <v>0</v>
      </c>
      <c r="DA116" s="243">
        <f t="shared" ca="1" si="254"/>
        <v>0</v>
      </c>
      <c r="DB116" s="243">
        <f t="shared" ca="1" si="254"/>
        <v>0</v>
      </c>
      <c r="DC116" s="243">
        <f t="shared" ca="1" si="254"/>
        <v>0</v>
      </c>
      <c r="DD116" s="243">
        <f t="shared" ca="1" si="254"/>
        <v>0</v>
      </c>
      <c r="DE116" s="243">
        <f t="shared" ca="1" si="254"/>
        <v>0</v>
      </c>
      <c r="DF116" s="243">
        <f t="shared" ca="1" si="254"/>
        <v>0</v>
      </c>
      <c r="DG116" s="243">
        <f t="shared" ca="1" si="254"/>
        <v>0</v>
      </c>
      <c r="DH116" s="243">
        <f t="shared" ca="1" si="254"/>
        <v>0</v>
      </c>
      <c r="DI116" s="243">
        <f t="shared" ca="1" si="254"/>
        <v>0</v>
      </c>
      <c r="DJ116" s="243">
        <f t="shared" ca="1" si="254"/>
        <v>0</v>
      </c>
      <c r="DK116" s="243">
        <f t="shared" ca="1" si="254"/>
        <v>0</v>
      </c>
      <c r="DL116" s="243">
        <f t="shared" ca="1" si="254"/>
        <v>0</v>
      </c>
      <c r="DM116" s="243">
        <f t="shared" ca="1" si="254"/>
        <v>0</v>
      </c>
      <c r="DN116" s="243">
        <f t="shared" ca="1" si="254"/>
        <v>0</v>
      </c>
      <c r="DO116" s="243">
        <f t="shared" ca="1" si="254"/>
        <v>0</v>
      </c>
      <c r="DP116" s="243">
        <f t="shared" ca="1" si="254"/>
        <v>0</v>
      </c>
      <c r="DQ116" s="243">
        <f t="shared" ca="1" si="254"/>
        <v>0</v>
      </c>
      <c r="DR116" s="243">
        <f t="shared" ca="1" si="254"/>
        <v>0</v>
      </c>
      <c r="DS116" s="243">
        <f t="shared" ca="1" si="254"/>
        <v>0</v>
      </c>
      <c r="DT116" s="243">
        <f t="shared" ca="1" si="254"/>
        <v>0</v>
      </c>
      <c r="DU116" s="243">
        <f t="shared" ca="1" si="254"/>
        <v>0</v>
      </c>
      <c r="DV116" s="243">
        <f t="shared" ca="1" si="254"/>
        <v>0</v>
      </c>
      <c r="DW116" s="243">
        <f t="shared" ca="1" si="254"/>
        <v>0</v>
      </c>
      <c r="DX116" s="243">
        <f t="shared" ca="1" si="254"/>
        <v>0</v>
      </c>
      <c r="DY116" s="243">
        <f t="shared" ca="1" si="254"/>
        <v>0</v>
      </c>
      <c r="DZ116" s="243">
        <f t="shared" ca="1" si="254"/>
        <v>0</v>
      </c>
      <c r="EA116" s="243">
        <f t="shared" ca="1" si="254"/>
        <v>0</v>
      </c>
      <c r="EB116" s="243">
        <f t="shared" ca="1" si="254"/>
        <v>0</v>
      </c>
      <c r="EC116" s="243">
        <f t="shared" ca="1" si="254"/>
        <v>0</v>
      </c>
      <c r="ED116" s="243">
        <f t="shared" ca="1" si="254"/>
        <v>0</v>
      </c>
      <c r="EE116" s="243">
        <f t="shared" ca="1" si="254"/>
        <v>0</v>
      </c>
      <c r="EF116" s="243">
        <f t="shared" ca="1" si="254"/>
        <v>0</v>
      </c>
      <c r="EG116" s="243">
        <f t="shared" ca="1" si="254"/>
        <v>0</v>
      </c>
      <c r="EH116" s="243">
        <f ca="1">-MIN(EH115,-EH112)</f>
        <v>0</v>
      </c>
      <c r="EI116" s="243">
        <f ca="1">-MIN(EI115,-EI112)</f>
        <v>0</v>
      </c>
      <c r="EJ116" s="243">
        <f ca="1">-MIN(EJ115,-EJ112)</f>
        <v>0</v>
      </c>
      <c r="FC116" s="182"/>
    </row>
    <row r="117" spans="2:159" outlineLevel="1" x14ac:dyDescent="0.4">
      <c r="B117" s="1" t="s">
        <v>99</v>
      </c>
      <c r="H117" s="244">
        <f ca="1">SUM(H115:H116)</f>
        <v>12645699.999427788</v>
      </c>
      <c r="I117" s="244">
        <f ca="1">SUM(I115:I116)</f>
        <v>12645699.999427788</v>
      </c>
      <c r="J117" s="244">
        <f t="shared" ref="J117:BU117" ca="1" si="255">SUM(J115:J116)</f>
        <v>12645699.999427788</v>
      </c>
      <c r="K117" s="244">
        <f t="shared" ca="1" si="255"/>
        <v>12285199.999427788</v>
      </c>
      <c r="L117" s="244">
        <f t="shared" ca="1" si="255"/>
        <v>11924699.999427788</v>
      </c>
      <c r="M117" s="244">
        <f t="shared" ca="1" si="255"/>
        <v>11564199.999427788</v>
      </c>
      <c r="N117" s="244">
        <f t="shared" ca="1" si="255"/>
        <v>11203699.999427788</v>
      </c>
      <c r="O117" s="244">
        <f t="shared" ca="1" si="255"/>
        <v>8061949.999427788</v>
      </c>
      <c r="P117" s="244">
        <f t="shared" ca="1" si="255"/>
        <v>4920199.999427788</v>
      </c>
      <c r="Q117" s="244">
        <f t="shared" ca="1" si="255"/>
        <v>1778449.999427788</v>
      </c>
      <c r="R117" s="244">
        <f t="shared" ca="1" si="255"/>
        <v>0</v>
      </c>
      <c r="S117" s="244">
        <f t="shared" ca="1" si="255"/>
        <v>0</v>
      </c>
      <c r="T117" s="244">
        <f t="shared" ca="1" si="255"/>
        <v>0</v>
      </c>
      <c r="U117" s="244">
        <f t="shared" ca="1" si="255"/>
        <v>0</v>
      </c>
      <c r="V117" s="244">
        <f t="shared" ca="1" si="255"/>
        <v>0</v>
      </c>
      <c r="W117" s="244">
        <f t="shared" ca="1" si="255"/>
        <v>0</v>
      </c>
      <c r="X117" s="244">
        <f t="shared" ca="1" si="255"/>
        <v>0</v>
      </c>
      <c r="Y117" s="244">
        <f t="shared" ca="1" si="255"/>
        <v>0</v>
      </c>
      <c r="Z117" s="244">
        <f t="shared" ca="1" si="255"/>
        <v>0</v>
      </c>
      <c r="AA117" s="244">
        <f t="shared" ca="1" si="255"/>
        <v>0</v>
      </c>
      <c r="AB117" s="244">
        <f t="shared" ca="1" si="255"/>
        <v>0</v>
      </c>
      <c r="AC117" s="244">
        <f t="shared" ca="1" si="255"/>
        <v>0</v>
      </c>
      <c r="AD117" s="244">
        <f t="shared" ca="1" si="255"/>
        <v>0</v>
      </c>
      <c r="AE117" s="244">
        <f t="shared" ca="1" si="255"/>
        <v>0</v>
      </c>
      <c r="AF117" s="244">
        <f t="shared" ca="1" si="255"/>
        <v>0</v>
      </c>
      <c r="AG117" s="244">
        <f t="shared" ca="1" si="255"/>
        <v>0</v>
      </c>
      <c r="AH117" s="244">
        <f t="shared" ca="1" si="255"/>
        <v>0</v>
      </c>
      <c r="AI117" s="244">
        <f t="shared" ca="1" si="255"/>
        <v>0</v>
      </c>
      <c r="AJ117" s="244">
        <f t="shared" ca="1" si="255"/>
        <v>0</v>
      </c>
      <c r="AK117" s="244">
        <f t="shared" ca="1" si="255"/>
        <v>0</v>
      </c>
      <c r="AL117" s="244">
        <f t="shared" ca="1" si="255"/>
        <v>0</v>
      </c>
      <c r="AM117" s="244">
        <f t="shared" ca="1" si="255"/>
        <v>0</v>
      </c>
      <c r="AN117" s="244">
        <f t="shared" ca="1" si="255"/>
        <v>0</v>
      </c>
      <c r="AO117" s="244">
        <f t="shared" ca="1" si="255"/>
        <v>0</v>
      </c>
      <c r="AP117" s="244">
        <f t="shared" ca="1" si="255"/>
        <v>0</v>
      </c>
      <c r="AQ117" s="244">
        <f t="shared" ca="1" si="255"/>
        <v>0</v>
      </c>
      <c r="AR117" s="244">
        <f t="shared" ca="1" si="255"/>
        <v>0</v>
      </c>
      <c r="AS117" s="244">
        <f t="shared" ca="1" si="255"/>
        <v>0</v>
      </c>
      <c r="AT117" s="244">
        <f t="shared" ca="1" si="255"/>
        <v>0</v>
      </c>
      <c r="AU117" s="244">
        <f t="shared" ca="1" si="255"/>
        <v>0</v>
      </c>
      <c r="AV117" s="244">
        <f t="shared" ca="1" si="255"/>
        <v>0</v>
      </c>
      <c r="AW117" s="244">
        <f t="shared" ca="1" si="255"/>
        <v>0</v>
      </c>
      <c r="AX117" s="244">
        <f t="shared" ca="1" si="255"/>
        <v>0</v>
      </c>
      <c r="AY117" s="244">
        <f t="shared" ca="1" si="255"/>
        <v>0</v>
      </c>
      <c r="AZ117" s="244">
        <f t="shared" ca="1" si="255"/>
        <v>0</v>
      </c>
      <c r="BA117" s="244">
        <f t="shared" ca="1" si="255"/>
        <v>0</v>
      </c>
      <c r="BB117" s="244">
        <f t="shared" ca="1" si="255"/>
        <v>0</v>
      </c>
      <c r="BC117" s="244">
        <f t="shared" ca="1" si="255"/>
        <v>0</v>
      </c>
      <c r="BD117" s="244">
        <f t="shared" ca="1" si="255"/>
        <v>0</v>
      </c>
      <c r="BE117" s="244">
        <f t="shared" ca="1" si="255"/>
        <v>0</v>
      </c>
      <c r="BF117" s="244">
        <f t="shared" ca="1" si="255"/>
        <v>0</v>
      </c>
      <c r="BG117" s="244">
        <f t="shared" ca="1" si="255"/>
        <v>0</v>
      </c>
      <c r="BH117" s="244">
        <f t="shared" ca="1" si="255"/>
        <v>0</v>
      </c>
      <c r="BI117" s="244">
        <f t="shared" ca="1" si="255"/>
        <v>0</v>
      </c>
      <c r="BJ117" s="244">
        <f t="shared" ca="1" si="255"/>
        <v>0</v>
      </c>
      <c r="BK117" s="244">
        <f t="shared" ca="1" si="255"/>
        <v>0</v>
      </c>
      <c r="BL117" s="244">
        <f t="shared" ca="1" si="255"/>
        <v>0</v>
      </c>
      <c r="BM117" s="244">
        <f t="shared" ca="1" si="255"/>
        <v>0</v>
      </c>
      <c r="BN117" s="244">
        <f t="shared" ca="1" si="255"/>
        <v>0</v>
      </c>
      <c r="BO117" s="244">
        <f t="shared" ca="1" si="255"/>
        <v>0</v>
      </c>
      <c r="BP117" s="244">
        <f t="shared" ca="1" si="255"/>
        <v>0</v>
      </c>
      <c r="BQ117" s="244">
        <f t="shared" ca="1" si="255"/>
        <v>0</v>
      </c>
      <c r="BR117" s="244">
        <f t="shared" ca="1" si="255"/>
        <v>0</v>
      </c>
      <c r="BS117" s="244">
        <f t="shared" ca="1" si="255"/>
        <v>0</v>
      </c>
      <c r="BT117" s="244">
        <f t="shared" ca="1" si="255"/>
        <v>0</v>
      </c>
      <c r="BU117" s="244">
        <f t="shared" ca="1" si="255"/>
        <v>0</v>
      </c>
      <c r="BV117" s="244">
        <f t="shared" ref="BV117:EG117" ca="1" si="256">SUM(BV115:BV116)</f>
        <v>0</v>
      </c>
      <c r="BW117" s="244">
        <f t="shared" ca="1" si="256"/>
        <v>0</v>
      </c>
      <c r="BX117" s="244">
        <f t="shared" ca="1" si="256"/>
        <v>0</v>
      </c>
      <c r="BY117" s="244">
        <f t="shared" ca="1" si="256"/>
        <v>0</v>
      </c>
      <c r="BZ117" s="244">
        <f t="shared" ca="1" si="256"/>
        <v>0</v>
      </c>
      <c r="CA117" s="244">
        <f t="shared" ca="1" si="256"/>
        <v>0</v>
      </c>
      <c r="CB117" s="244">
        <f t="shared" ca="1" si="256"/>
        <v>0</v>
      </c>
      <c r="CC117" s="244">
        <f t="shared" ca="1" si="256"/>
        <v>0</v>
      </c>
      <c r="CD117" s="244">
        <f t="shared" ca="1" si="256"/>
        <v>0</v>
      </c>
      <c r="CE117" s="244">
        <f t="shared" ca="1" si="256"/>
        <v>0</v>
      </c>
      <c r="CF117" s="244">
        <f t="shared" ca="1" si="256"/>
        <v>0</v>
      </c>
      <c r="CG117" s="244">
        <f t="shared" ca="1" si="256"/>
        <v>0</v>
      </c>
      <c r="CH117" s="244">
        <f t="shared" ca="1" si="256"/>
        <v>0</v>
      </c>
      <c r="CI117" s="244">
        <f t="shared" ca="1" si="256"/>
        <v>0</v>
      </c>
      <c r="CJ117" s="244">
        <f t="shared" ca="1" si="256"/>
        <v>0</v>
      </c>
      <c r="CK117" s="244">
        <f t="shared" ca="1" si="256"/>
        <v>0</v>
      </c>
      <c r="CL117" s="244">
        <f t="shared" ca="1" si="256"/>
        <v>0</v>
      </c>
      <c r="CM117" s="244">
        <f t="shared" ca="1" si="256"/>
        <v>0</v>
      </c>
      <c r="CN117" s="244">
        <f t="shared" ca="1" si="256"/>
        <v>0</v>
      </c>
      <c r="CO117" s="244">
        <f t="shared" ca="1" si="256"/>
        <v>0</v>
      </c>
      <c r="CP117" s="244">
        <f t="shared" ca="1" si="256"/>
        <v>0</v>
      </c>
      <c r="CQ117" s="244">
        <f t="shared" ca="1" si="256"/>
        <v>0</v>
      </c>
      <c r="CR117" s="244">
        <f t="shared" ca="1" si="256"/>
        <v>0</v>
      </c>
      <c r="CS117" s="244">
        <f t="shared" ca="1" si="256"/>
        <v>0</v>
      </c>
      <c r="CT117" s="244">
        <f t="shared" ca="1" si="256"/>
        <v>0</v>
      </c>
      <c r="CU117" s="244">
        <f t="shared" ca="1" si="256"/>
        <v>0</v>
      </c>
      <c r="CV117" s="244">
        <f t="shared" ca="1" si="256"/>
        <v>0</v>
      </c>
      <c r="CW117" s="244">
        <f t="shared" ca="1" si="256"/>
        <v>0</v>
      </c>
      <c r="CX117" s="244">
        <f t="shared" ca="1" si="256"/>
        <v>0</v>
      </c>
      <c r="CY117" s="244">
        <f t="shared" ca="1" si="256"/>
        <v>0</v>
      </c>
      <c r="CZ117" s="244">
        <f t="shared" ca="1" si="256"/>
        <v>0</v>
      </c>
      <c r="DA117" s="244">
        <f t="shared" ca="1" si="256"/>
        <v>0</v>
      </c>
      <c r="DB117" s="244">
        <f t="shared" ca="1" si="256"/>
        <v>0</v>
      </c>
      <c r="DC117" s="244">
        <f t="shared" ca="1" si="256"/>
        <v>0</v>
      </c>
      <c r="DD117" s="244">
        <f t="shared" ca="1" si="256"/>
        <v>0</v>
      </c>
      <c r="DE117" s="244">
        <f t="shared" ca="1" si="256"/>
        <v>0</v>
      </c>
      <c r="DF117" s="244">
        <f t="shared" ca="1" si="256"/>
        <v>0</v>
      </c>
      <c r="DG117" s="244">
        <f t="shared" ca="1" si="256"/>
        <v>0</v>
      </c>
      <c r="DH117" s="244">
        <f t="shared" ca="1" si="256"/>
        <v>0</v>
      </c>
      <c r="DI117" s="244">
        <f t="shared" ca="1" si="256"/>
        <v>0</v>
      </c>
      <c r="DJ117" s="244">
        <f t="shared" ca="1" si="256"/>
        <v>0</v>
      </c>
      <c r="DK117" s="244">
        <f t="shared" ca="1" si="256"/>
        <v>0</v>
      </c>
      <c r="DL117" s="244">
        <f t="shared" ca="1" si="256"/>
        <v>0</v>
      </c>
      <c r="DM117" s="244">
        <f t="shared" ca="1" si="256"/>
        <v>0</v>
      </c>
      <c r="DN117" s="244">
        <f t="shared" ca="1" si="256"/>
        <v>0</v>
      </c>
      <c r="DO117" s="244">
        <f t="shared" ca="1" si="256"/>
        <v>0</v>
      </c>
      <c r="DP117" s="244">
        <f t="shared" ca="1" si="256"/>
        <v>0</v>
      </c>
      <c r="DQ117" s="244">
        <f t="shared" ca="1" si="256"/>
        <v>0</v>
      </c>
      <c r="DR117" s="244">
        <f t="shared" ca="1" si="256"/>
        <v>0</v>
      </c>
      <c r="DS117" s="244">
        <f t="shared" ca="1" si="256"/>
        <v>0</v>
      </c>
      <c r="DT117" s="244">
        <f t="shared" ca="1" si="256"/>
        <v>0</v>
      </c>
      <c r="DU117" s="244">
        <f t="shared" ca="1" si="256"/>
        <v>0</v>
      </c>
      <c r="DV117" s="244">
        <f t="shared" ca="1" si="256"/>
        <v>0</v>
      </c>
      <c r="DW117" s="244">
        <f t="shared" ca="1" si="256"/>
        <v>0</v>
      </c>
      <c r="DX117" s="244">
        <f t="shared" ca="1" si="256"/>
        <v>0</v>
      </c>
      <c r="DY117" s="244">
        <f t="shared" ca="1" si="256"/>
        <v>0</v>
      </c>
      <c r="DZ117" s="244">
        <f t="shared" ca="1" si="256"/>
        <v>0</v>
      </c>
      <c r="EA117" s="244">
        <f t="shared" ca="1" si="256"/>
        <v>0</v>
      </c>
      <c r="EB117" s="244">
        <f t="shared" ca="1" si="256"/>
        <v>0</v>
      </c>
      <c r="EC117" s="244">
        <f t="shared" ca="1" si="256"/>
        <v>0</v>
      </c>
      <c r="ED117" s="244">
        <f t="shared" ca="1" si="256"/>
        <v>0</v>
      </c>
      <c r="EE117" s="244">
        <f t="shared" ca="1" si="256"/>
        <v>0</v>
      </c>
      <c r="EF117" s="244">
        <f t="shared" ca="1" si="256"/>
        <v>0</v>
      </c>
      <c r="EG117" s="244">
        <f t="shared" ca="1" si="256"/>
        <v>0</v>
      </c>
      <c r="EH117" s="244">
        <f ca="1">SUM(EH115:EH116)</f>
        <v>0</v>
      </c>
      <c r="EI117" s="244">
        <f ca="1">SUM(EI115:EI116)</f>
        <v>0</v>
      </c>
      <c r="EJ117" s="244">
        <f ca="1">SUM(EJ115:EJ116)</f>
        <v>0</v>
      </c>
      <c r="FC117" s="182"/>
    </row>
    <row r="118" spans="2:159" outlineLevel="1" x14ac:dyDescent="0.4"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FC118" s="182"/>
    </row>
    <row r="119" spans="2:159" outlineLevel="1" x14ac:dyDescent="0.4">
      <c r="B119" s="94" t="s">
        <v>155</v>
      </c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FC119" s="182"/>
    </row>
    <row r="120" spans="2:159" outlineLevel="1" x14ac:dyDescent="0.4">
      <c r="B120" s="1" t="s">
        <v>288</v>
      </c>
      <c r="H120" s="256">
        <f>'Development Budget'!F47</f>
        <v>40000000</v>
      </c>
      <c r="I120" s="244">
        <f ca="1">H122</f>
        <v>40000000</v>
      </c>
      <c r="J120" s="244">
        <f t="shared" ref="J120:BU120" ca="1" si="257">I122</f>
        <v>40000000</v>
      </c>
      <c r="K120" s="244">
        <f t="shared" ca="1" si="257"/>
        <v>40000000</v>
      </c>
      <c r="L120" s="244">
        <f t="shared" ca="1" si="257"/>
        <v>40000000</v>
      </c>
      <c r="M120" s="244">
        <f t="shared" ca="1" si="257"/>
        <v>40000000</v>
      </c>
      <c r="N120" s="244">
        <f t="shared" ca="1" si="257"/>
        <v>40000000</v>
      </c>
      <c r="O120" s="244">
        <f t="shared" ca="1" si="257"/>
        <v>40000000</v>
      </c>
      <c r="P120" s="244">
        <f t="shared" ca="1" si="257"/>
        <v>40000000</v>
      </c>
      <c r="Q120" s="244">
        <f t="shared" ca="1" si="257"/>
        <v>40000000</v>
      </c>
      <c r="R120" s="244">
        <f t="shared" ca="1" si="257"/>
        <v>40000000</v>
      </c>
      <c r="S120" s="244">
        <f t="shared" ca="1" si="257"/>
        <v>38636699.999427788</v>
      </c>
      <c r="T120" s="244">
        <f t="shared" ca="1" si="257"/>
        <v>35489490.051090494</v>
      </c>
      <c r="U120" s="244">
        <f t="shared" ca="1" si="257"/>
        <v>32329138.868434876</v>
      </c>
      <c r="V120" s="244">
        <f t="shared" ca="1" si="257"/>
        <v>29155836.946057659</v>
      </c>
      <c r="W120" s="244">
        <f t="shared" ca="1" si="257"/>
        <v>25973900.562268868</v>
      </c>
      <c r="X120" s="244">
        <f t="shared" ca="1" si="257"/>
        <v>22774760.956922602</v>
      </c>
      <c r="Y120" s="244">
        <f t="shared" ca="1" si="257"/>
        <v>19564988.775028806</v>
      </c>
      <c r="Z120" s="244">
        <f t="shared" ca="1" si="257"/>
        <v>16312258.158322847</v>
      </c>
      <c r="AA120" s="244">
        <f t="shared" ca="1" si="257"/>
        <v>13077451.061895667</v>
      </c>
      <c r="AB120" s="244">
        <f t="shared" ca="1" si="257"/>
        <v>9826600.8873844463</v>
      </c>
      <c r="AC120" s="244">
        <f t="shared" ca="1" si="257"/>
        <v>6562778.165438544</v>
      </c>
      <c r="AD120" s="244">
        <f t="shared" ca="1" si="257"/>
        <v>3290197.2329923944</v>
      </c>
      <c r="AE120" s="244">
        <f t="shared" ca="1" si="257"/>
        <v>0</v>
      </c>
      <c r="AF120" s="244">
        <f t="shared" ca="1" si="257"/>
        <v>0</v>
      </c>
      <c r="AG120" s="244">
        <f t="shared" ca="1" si="257"/>
        <v>0</v>
      </c>
      <c r="AH120" s="244">
        <f t="shared" ca="1" si="257"/>
        <v>0</v>
      </c>
      <c r="AI120" s="244">
        <f t="shared" ca="1" si="257"/>
        <v>0</v>
      </c>
      <c r="AJ120" s="244">
        <f t="shared" ca="1" si="257"/>
        <v>0</v>
      </c>
      <c r="AK120" s="244">
        <f t="shared" ca="1" si="257"/>
        <v>0</v>
      </c>
      <c r="AL120" s="244">
        <f t="shared" ca="1" si="257"/>
        <v>0</v>
      </c>
      <c r="AM120" s="244">
        <f t="shared" ca="1" si="257"/>
        <v>0</v>
      </c>
      <c r="AN120" s="244">
        <f t="shared" ca="1" si="257"/>
        <v>0</v>
      </c>
      <c r="AO120" s="244">
        <f t="shared" ca="1" si="257"/>
        <v>0</v>
      </c>
      <c r="AP120" s="244">
        <f t="shared" ca="1" si="257"/>
        <v>0</v>
      </c>
      <c r="AQ120" s="244">
        <f t="shared" ca="1" si="257"/>
        <v>0</v>
      </c>
      <c r="AR120" s="244">
        <f t="shared" ca="1" si="257"/>
        <v>0</v>
      </c>
      <c r="AS120" s="244">
        <f t="shared" ca="1" si="257"/>
        <v>0</v>
      </c>
      <c r="AT120" s="244">
        <f t="shared" ca="1" si="257"/>
        <v>0</v>
      </c>
      <c r="AU120" s="244">
        <f t="shared" ca="1" si="257"/>
        <v>0</v>
      </c>
      <c r="AV120" s="244">
        <f t="shared" ca="1" si="257"/>
        <v>0</v>
      </c>
      <c r="AW120" s="244">
        <f t="shared" ca="1" si="257"/>
        <v>0</v>
      </c>
      <c r="AX120" s="244">
        <f t="shared" ca="1" si="257"/>
        <v>0</v>
      </c>
      <c r="AY120" s="244">
        <f t="shared" ca="1" si="257"/>
        <v>0</v>
      </c>
      <c r="AZ120" s="244">
        <f t="shared" ca="1" si="257"/>
        <v>0</v>
      </c>
      <c r="BA120" s="244">
        <f t="shared" ca="1" si="257"/>
        <v>0</v>
      </c>
      <c r="BB120" s="244">
        <f t="shared" ca="1" si="257"/>
        <v>0</v>
      </c>
      <c r="BC120" s="244">
        <f t="shared" ca="1" si="257"/>
        <v>0</v>
      </c>
      <c r="BD120" s="244">
        <f t="shared" ca="1" si="257"/>
        <v>0</v>
      </c>
      <c r="BE120" s="244">
        <f t="shared" ca="1" si="257"/>
        <v>0</v>
      </c>
      <c r="BF120" s="244">
        <f t="shared" ca="1" si="257"/>
        <v>0</v>
      </c>
      <c r="BG120" s="244">
        <f t="shared" ca="1" si="257"/>
        <v>0</v>
      </c>
      <c r="BH120" s="244">
        <f t="shared" ca="1" si="257"/>
        <v>0</v>
      </c>
      <c r="BI120" s="244">
        <f t="shared" ca="1" si="257"/>
        <v>0</v>
      </c>
      <c r="BJ120" s="244">
        <f t="shared" ca="1" si="257"/>
        <v>0</v>
      </c>
      <c r="BK120" s="244">
        <f t="shared" ca="1" si="257"/>
        <v>0</v>
      </c>
      <c r="BL120" s="244">
        <f t="shared" ca="1" si="257"/>
        <v>0</v>
      </c>
      <c r="BM120" s="244">
        <f t="shared" ca="1" si="257"/>
        <v>0</v>
      </c>
      <c r="BN120" s="244">
        <f t="shared" ca="1" si="257"/>
        <v>0</v>
      </c>
      <c r="BO120" s="244">
        <f t="shared" ca="1" si="257"/>
        <v>0</v>
      </c>
      <c r="BP120" s="244">
        <f t="shared" ca="1" si="257"/>
        <v>0</v>
      </c>
      <c r="BQ120" s="244">
        <f t="shared" ca="1" si="257"/>
        <v>0</v>
      </c>
      <c r="BR120" s="244">
        <f t="shared" ca="1" si="257"/>
        <v>0</v>
      </c>
      <c r="BS120" s="244">
        <f t="shared" ca="1" si="257"/>
        <v>0</v>
      </c>
      <c r="BT120" s="244">
        <f t="shared" ca="1" si="257"/>
        <v>0</v>
      </c>
      <c r="BU120" s="244">
        <f t="shared" ca="1" si="257"/>
        <v>0</v>
      </c>
      <c r="BV120" s="244">
        <f t="shared" ref="BV120:EG120" ca="1" si="258">BU122</f>
        <v>0</v>
      </c>
      <c r="BW120" s="244">
        <f t="shared" ca="1" si="258"/>
        <v>0</v>
      </c>
      <c r="BX120" s="244">
        <f t="shared" ca="1" si="258"/>
        <v>0</v>
      </c>
      <c r="BY120" s="244">
        <f t="shared" ca="1" si="258"/>
        <v>0</v>
      </c>
      <c r="BZ120" s="244">
        <f t="shared" ca="1" si="258"/>
        <v>0</v>
      </c>
      <c r="CA120" s="244">
        <f t="shared" ca="1" si="258"/>
        <v>0</v>
      </c>
      <c r="CB120" s="244">
        <f t="shared" ca="1" si="258"/>
        <v>0</v>
      </c>
      <c r="CC120" s="244">
        <f t="shared" ca="1" si="258"/>
        <v>0</v>
      </c>
      <c r="CD120" s="244">
        <f t="shared" ca="1" si="258"/>
        <v>0</v>
      </c>
      <c r="CE120" s="244">
        <f t="shared" ca="1" si="258"/>
        <v>0</v>
      </c>
      <c r="CF120" s="244">
        <f t="shared" ca="1" si="258"/>
        <v>0</v>
      </c>
      <c r="CG120" s="244">
        <f t="shared" ca="1" si="258"/>
        <v>0</v>
      </c>
      <c r="CH120" s="244">
        <f t="shared" ca="1" si="258"/>
        <v>0</v>
      </c>
      <c r="CI120" s="244">
        <f t="shared" ca="1" si="258"/>
        <v>0</v>
      </c>
      <c r="CJ120" s="244">
        <f t="shared" ca="1" si="258"/>
        <v>0</v>
      </c>
      <c r="CK120" s="244">
        <f t="shared" ca="1" si="258"/>
        <v>0</v>
      </c>
      <c r="CL120" s="244">
        <f t="shared" ca="1" si="258"/>
        <v>0</v>
      </c>
      <c r="CM120" s="244">
        <f t="shared" ca="1" si="258"/>
        <v>0</v>
      </c>
      <c r="CN120" s="244">
        <f t="shared" ca="1" si="258"/>
        <v>0</v>
      </c>
      <c r="CO120" s="244">
        <f t="shared" ca="1" si="258"/>
        <v>0</v>
      </c>
      <c r="CP120" s="244">
        <f t="shared" ca="1" si="258"/>
        <v>0</v>
      </c>
      <c r="CQ120" s="244">
        <f t="shared" ca="1" si="258"/>
        <v>0</v>
      </c>
      <c r="CR120" s="244">
        <f t="shared" ca="1" si="258"/>
        <v>0</v>
      </c>
      <c r="CS120" s="244">
        <f t="shared" ca="1" si="258"/>
        <v>0</v>
      </c>
      <c r="CT120" s="244">
        <f t="shared" ca="1" si="258"/>
        <v>0</v>
      </c>
      <c r="CU120" s="244">
        <f t="shared" ca="1" si="258"/>
        <v>0</v>
      </c>
      <c r="CV120" s="244">
        <f t="shared" ca="1" si="258"/>
        <v>0</v>
      </c>
      <c r="CW120" s="244">
        <f t="shared" ca="1" si="258"/>
        <v>0</v>
      </c>
      <c r="CX120" s="244">
        <f t="shared" ca="1" si="258"/>
        <v>0</v>
      </c>
      <c r="CY120" s="244">
        <f t="shared" ca="1" si="258"/>
        <v>0</v>
      </c>
      <c r="CZ120" s="244">
        <f t="shared" ca="1" si="258"/>
        <v>0</v>
      </c>
      <c r="DA120" s="244">
        <f t="shared" ca="1" si="258"/>
        <v>0</v>
      </c>
      <c r="DB120" s="244">
        <f t="shared" ca="1" si="258"/>
        <v>0</v>
      </c>
      <c r="DC120" s="244">
        <f t="shared" ca="1" si="258"/>
        <v>0</v>
      </c>
      <c r="DD120" s="244">
        <f t="shared" ca="1" si="258"/>
        <v>0</v>
      </c>
      <c r="DE120" s="244">
        <f t="shared" ca="1" si="258"/>
        <v>0</v>
      </c>
      <c r="DF120" s="244">
        <f t="shared" ca="1" si="258"/>
        <v>0</v>
      </c>
      <c r="DG120" s="244">
        <f t="shared" ca="1" si="258"/>
        <v>0</v>
      </c>
      <c r="DH120" s="244">
        <f t="shared" ca="1" si="258"/>
        <v>0</v>
      </c>
      <c r="DI120" s="244">
        <f t="shared" ca="1" si="258"/>
        <v>0</v>
      </c>
      <c r="DJ120" s="244">
        <f t="shared" ca="1" si="258"/>
        <v>0</v>
      </c>
      <c r="DK120" s="244">
        <f t="shared" ca="1" si="258"/>
        <v>0</v>
      </c>
      <c r="DL120" s="244">
        <f t="shared" ca="1" si="258"/>
        <v>0</v>
      </c>
      <c r="DM120" s="244">
        <f t="shared" ca="1" si="258"/>
        <v>0</v>
      </c>
      <c r="DN120" s="244">
        <f t="shared" ca="1" si="258"/>
        <v>0</v>
      </c>
      <c r="DO120" s="244">
        <f t="shared" ca="1" si="258"/>
        <v>0</v>
      </c>
      <c r="DP120" s="244">
        <f t="shared" ca="1" si="258"/>
        <v>0</v>
      </c>
      <c r="DQ120" s="244">
        <f t="shared" ca="1" si="258"/>
        <v>0</v>
      </c>
      <c r="DR120" s="244">
        <f t="shared" ca="1" si="258"/>
        <v>0</v>
      </c>
      <c r="DS120" s="244">
        <f t="shared" ca="1" si="258"/>
        <v>0</v>
      </c>
      <c r="DT120" s="244">
        <f t="shared" ca="1" si="258"/>
        <v>0</v>
      </c>
      <c r="DU120" s="244">
        <f t="shared" ca="1" si="258"/>
        <v>0</v>
      </c>
      <c r="DV120" s="244">
        <f t="shared" ca="1" si="258"/>
        <v>0</v>
      </c>
      <c r="DW120" s="244">
        <f t="shared" ca="1" si="258"/>
        <v>0</v>
      </c>
      <c r="DX120" s="244">
        <f t="shared" ca="1" si="258"/>
        <v>0</v>
      </c>
      <c r="DY120" s="244">
        <f t="shared" ca="1" si="258"/>
        <v>0</v>
      </c>
      <c r="DZ120" s="244">
        <f t="shared" ca="1" si="258"/>
        <v>0</v>
      </c>
      <c r="EA120" s="244">
        <f t="shared" ca="1" si="258"/>
        <v>0</v>
      </c>
      <c r="EB120" s="244">
        <f t="shared" ca="1" si="258"/>
        <v>0</v>
      </c>
      <c r="EC120" s="244">
        <f t="shared" ca="1" si="258"/>
        <v>0</v>
      </c>
      <c r="ED120" s="244">
        <f t="shared" ca="1" si="258"/>
        <v>0</v>
      </c>
      <c r="EE120" s="244">
        <f t="shared" ca="1" si="258"/>
        <v>0</v>
      </c>
      <c r="EF120" s="244">
        <f t="shared" ca="1" si="258"/>
        <v>0</v>
      </c>
      <c r="EG120" s="244">
        <f t="shared" ca="1" si="258"/>
        <v>0</v>
      </c>
      <c r="EH120" s="244">
        <f ca="1">EG122</f>
        <v>0</v>
      </c>
      <c r="EI120" s="244">
        <f ca="1">EH122</f>
        <v>0</v>
      </c>
      <c r="EJ120" s="244">
        <f ca="1">EI122</f>
        <v>0</v>
      </c>
      <c r="FC120" s="182"/>
    </row>
    <row r="121" spans="2:159" outlineLevel="1" x14ac:dyDescent="0.4">
      <c r="B121" s="60" t="s">
        <v>289</v>
      </c>
      <c r="H121" s="243">
        <f ca="1">-MIN(H120,-(H112-H116))</f>
        <v>0</v>
      </c>
      <c r="I121" s="243">
        <f ca="1">-MIN(I120,-(I112-I116))</f>
        <v>0</v>
      </c>
      <c r="J121" s="243">
        <f t="shared" ref="J121:BU121" ca="1" si="259">-MIN(J120,-(J112-J116))</f>
        <v>0</v>
      </c>
      <c r="K121" s="243">
        <f t="shared" ca="1" si="259"/>
        <v>0</v>
      </c>
      <c r="L121" s="243">
        <f t="shared" ca="1" si="259"/>
        <v>0</v>
      </c>
      <c r="M121" s="243">
        <f t="shared" ca="1" si="259"/>
        <v>0</v>
      </c>
      <c r="N121" s="243">
        <f t="shared" ca="1" si="259"/>
        <v>0</v>
      </c>
      <c r="O121" s="243">
        <f t="shared" ca="1" si="259"/>
        <v>0</v>
      </c>
      <c r="P121" s="243">
        <f t="shared" ca="1" si="259"/>
        <v>0</v>
      </c>
      <c r="Q121" s="243">
        <f t="shared" ca="1" si="259"/>
        <v>0</v>
      </c>
      <c r="R121" s="243">
        <f ca="1">-MIN(R120,-(R112-R116))</f>
        <v>-1363300.000572212</v>
      </c>
      <c r="S121" s="243">
        <f t="shared" ca="1" si="259"/>
        <v>-3147209.9483372918</v>
      </c>
      <c r="T121" s="243">
        <f t="shared" ca="1" si="259"/>
        <v>-3160351.1826556157</v>
      </c>
      <c r="U121" s="243">
        <f t="shared" ca="1" si="259"/>
        <v>-3173301.922377218</v>
      </c>
      <c r="V121" s="243">
        <f t="shared" ca="1" si="259"/>
        <v>-3181936.3837887901</v>
      </c>
      <c r="W121" s="243">
        <f t="shared" ca="1" si="259"/>
        <v>-3199139.6053462652</v>
      </c>
      <c r="X121" s="243">
        <f t="shared" ca="1" si="259"/>
        <v>-3209772.1818937953</v>
      </c>
      <c r="Y121" s="243">
        <f t="shared" ca="1" si="259"/>
        <v>-3252730.6167059592</v>
      </c>
      <c r="Z121" s="243">
        <f t="shared" ca="1" si="259"/>
        <v>-3234807.0964271799</v>
      </c>
      <c r="AA121" s="243">
        <f t="shared" ca="1" si="259"/>
        <v>-3250850.1745112208</v>
      </c>
      <c r="AB121" s="243">
        <f t="shared" ca="1" si="259"/>
        <v>-3263822.7219459028</v>
      </c>
      <c r="AC121" s="243">
        <f t="shared" ca="1" si="259"/>
        <v>-3272580.9324461496</v>
      </c>
      <c r="AD121" s="243">
        <f t="shared" ca="1" si="259"/>
        <v>-3290197.2329923944</v>
      </c>
      <c r="AE121" s="243">
        <f t="shared" ca="1" si="259"/>
        <v>0</v>
      </c>
      <c r="AF121" s="243">
        <f t="shared" ca="1" si="259"/>
        <v>0</v>
      </c>
      <c r="AG121" s="243">
        <f t="shared" ca="1" si="259"/>
        <v>0</v>
      </c>
      <c r="AH121" s="243">
        <f t="shared" ca="1" si="259"/>
        <v>0</v>
      </c>
      <c r="AI121" s="243">
        <f t="shared" ca="1" si="259"/>
        <v>0</v>
      </c>
      <c r="AJ121" s="243">
        <f t="shared" ca="1" si="259"/>
        <v>0</v>
      </c>
      <c r="AK121" s="243">
        <f t="shared" ca="1" si="259"/>
        <v>0</v>
      </c>
      <c r="AL121" s="243">
        <f t="shared" ca="1" si="259"/>
        <v>0</v>
      </c>
      <c r="AM121" s="243">
        <f t="shared" ca="1" si="259"/>
        <v>0</v>
      </c>
      <c r="AN121" s="243">
        <f t="shared" ca="1" si="259"/>
        <v>0</v>
      </c>
      <c r="AO121" s="243">
        <f t="shared" ca="1" si="259"/>
        <v>0</v>
      </c>
      <c r="AP121" s="243">
        <f t="shared" ca="1" si="259"/>
        <v>0</v>
      </c>
      <c r="AQ121" s="243">
        <f t="shared" ca="1" si="259"/>
        <v>0</v>
      </c>
      <c r="AR121" s="243">
        <f t="shared" ca="1" si="259"/>
        <v>0</v>
      </c>
      <c r="AS121" s="243">
        <f t="shared" ca="1" si="259"/>
        <v>0</v>
      </c>
      <c r="AT121" s="243">
        <f t="shared" ca="1" si="259"/>
        <v>0</v>
      </c>
      <c r="AU121" s="243">
        <f t="shared" ca="1" si="259"/>
        <v>0</v>
      </c>
      <c r="AV121" s="243">
        <f t="shared" ca="1" si="259"/>
        <v>0</v>
      </c>
      <c r="AW121" s="243">
        <f t="shared" ca="1" si="259"/>
        <v>0</v>
      </c>
      <c r="AX121" s="243">
        <f t="shared" ca="1" si="259"/>
        <v>0</v>
      </c>
      <c r="AY121" s="243">
        <f t="shared" ca="1" si="259"/>
        <v>0</v>
      </c>
      <c r="AZ121" s="243">
        <f t="shared" ca="1" si="259"/>
        <v>0</v>
      </c>
      <c r="BA121" s="243">
        <f t="shared" ca="1" si="259"/>
        <v>0</v>
      </c>
      <c r="BB121" s="243">
        <f t="shared" ca="1" si="259"/>
        <v>0</v>
      </c>
      <c r="BC121" s="243">
        <f t="shared" ca="1" si="259"/>
        <v>0</v>
      </c>
      <c r="BD121" s="243">
        <f t="shared" ca="1" si="259"/>
        <v>0</v>
      </c>
      <c r="BE121" s="243">
        <f t="shared" ca="1" si="259"/>
        <v>0</v>
      </c>
      <c r="BF121" s="243">
        <f t="shared" ca="1" si="259"/>
        <v>0</v>
      </c>
      <c r="BG121" s="243">
        <f t="shared" ca="1" si="259"/>
        <v>0</v>
      </c>
      <c r="BH121" s="243">
        <f t="shared" ca="1" si="259"/>
        <v>0</v>
      </c>
      <c r="BI121" s="243">
        <f t="shared" ca="1" si="259"/>
        <v>0</v>
      </c>
      <c r="BJ121" s="243">
        <f t="shared" ca="1" si="259"/>
        <v>0</v>
      </c>
      <c r="BK121" s="243">
        <f t="shared" ca="1" si="259"/>
        <v>0</v>
      </c>
      <c r="BL121" s="243">
        <f t="shared" ca="1" si="259"/>
        <v>0</v>
      </c>
      <c r="BM121" s="243">
        <f t="shared" ca="1" si="259"/>
        <v>0</v>
      </c>
      <c r="BN121" s="243">
        <f t="shared" ca="1" si="259"/>
        <v>0</v>
      </c>
      <c r="BO121" s="243">
        <f t="shared" ca="1" si="259"/>
        <v>0</v>
      </c>
      <c r="BP121" s="243">
        <f t="shared" ca="1" si="259"/>
        <v>0</v>
      </c>
      <c r="BQ121" s="243">
        <f t="shared" ca="1" si="259"/>
        <v>0</v>
      </c>
      <c r="BR121" s="243">
        <f t="shared" ca="1" si="259"/>
        <v>0</v>
      </c>
      <c r="BS121" s="243">
        <f t="shared" ca="1" si="259"/>
        <v>0</v>
      </c>
      <c r="BT121" s="243">
        <f t="shared" ca="1" si="259"/>
        <v>0</v>
      </c>
      <c r="BU121" s="243">
        <f t="shared" ca="1" si="259"/>
        <v>0</v>
      </c>
      <c r="BV121" s="243">
        <f t="shared" ref="BV121:EG121" ca="1" si="260">-MIN(BV120,-(BV112-BV116))</f>
        <v>0</v>
      </c>
      <c r="BW121" s="243">
        <f t="shared" ca="1" si="260"/>
        <v>0</v>
      </c>
      <c r="BX121" s="243">
        <f t="shared" ca="1" si="260"/>
        <v>0</v>
      </c>
      <c r="BY121" s="243">
        <f t="shared" ca="1" si="260"/>
        <v>0</v>
      </c>
      <c r="BZ121" s="243">
        <f t="shared" ca="1" si="260"/>
        <v>0</v>
      </c>
      <c r="CA121" s="243">
        <f t="shared" ca="1" si="260"/>
        <v>0</v>
      </c>
      <c r="CB121" s="243">
        <f t="shared" ca="1" si="260"/>
        <v>0</v>
      </c>
      <c r="CC121" s="243">
        <f t="shared" ca="1" si="260"/>
        <v>0</v>
      </c>
      <c r="CD121" s="243">
        <f t="shared" ca="1" si="260"/>
        <v>0</v>
      </c>
      <c r="CE121" s="243">
        <f t="shared" ca="1" si="260"/>
        <v>0</v>
      </c>
      <c r="CF121" s="243">
        <f t="shared" ca="1" si="260"/>
        <v>0</v>
      </c>
      <c r="CG121" s="243">
        <f t="shared" ca="1" si="260"/>
        <v>0</v>
      </c>
      <c r="CH121" s="243">
        <f t="shared" ca="1" si="260"/>
        <v>0</v>
      </c>
      <c r="CI121" s="243">
        <f t="shared" ca="1" si="260"/>
        <v>0</v>
      </c>
      <c r="CJ121" s="243">
        <f t="shared" ca="1" si="260"/>
        <v>0</v>
      </c>
      <c r="CK121" s="243">
        <f t="shared" ca="1" si="260"/>
        <v>0</v>
      </c>
      <c r="CL121" s="243">
        <f t="shared" ca="1" si="260"/>
        <v>0</v>
      </c>
      <c r="CM121" s="243">
        <f t="shared" ca="1" si="260"/>
        <v>0</v>
      </c>
      <c r="CN121" s="243">
        <f t="shared" ca="1" si="260"/>
        <v>0</v>
      </c>
      <c r="CO121" s="243">
        <f t="shared" ca="1" si="260"/>
        <v>0</v>
      </c>
      <c r="CP121" s="243">
        <f t="shared" ca="1" si="260"/>
        <v>0</v>
      </c>
      <c r="CQ121" s="243">
        <f t="shared" ca="1" si="260"/>
        <v>0</v>
      </c>
      <c r="CR121" s="243">
        <f t="shared" ca="1" si="260"/>
        <v>0</v>
      </c>
      <c r="CS121" s="243">
        <f t="shared" ca="1" si="260"/>
        <v>0</v>
      </c>
      <c r="CT121" s="243">
        <f t="shared" ca="1" si="260"/>
        <v>0</v>
      </c>
      <c r="CU121" s="243">
        <f t="shared" ca="1" si="260"/>
        <v>0</v>
      </c>
      <c r="CV121" s="243">
        <f t="shared" ca="1" si="260"/>
        <v>0</v>
      </c>
      <c r="CW121" s="243">
        <f t="shared" ca="1" si="260"/>
        <v>0</v>
      </c>
      <c r="CX121" s="243">
        <f t="shared" ca="1" si="260"/>
        <v>0</v>
      </c>
      <c r="CY121" s="243">
        <f t="shared" ca="1" si="260"/>
        <v>0</v>
      </c>
      <c r="CZ121" s="243">
        <f t="shared" ca="1" si="260"/>
        <v>0</v>
      </c>
      <c r="DA121" s="243">
        <f t="shared" ca="1" si="260"/>
        <v>0</v>
      </c>
      <c r="DB121" s="243">
        <f t="shared" ca="1" si="260"/>
        <v>0</v>
      </c>
      <c r="DC121" s="243">
        <f t="shared" ca="1" si="260"/>
        <v>0</v>
      </c>
      <c r="DD121" s="243">
        <f t="shared" ca="1" si="260"/>
        <v>0</v>
      </c>
      <c r="DE121" s="243">
        <f t="shared" ca="1" si="260"/>
        <v>0</v>
      </c>
      <c r="DF121" s="243">
        <f t="shared" ca="1" si="260"/>
        <v>0</v>
      </c>
      <c r="DG121" s="243">
        <f t="shared" ca="1" si="260"/>
        <v>0</v>
      </c>
      <c r="DH121" s="243">
        <f t="shared" ca="1" si="260"/>
        <v>0</v>
      </c>
      <c r="DI121" s="243">
        <f t="shared" ca="1" si="260"/>
        <v>0</v>
      </c>
      <c r="DJ121" s="243">
        <f t="shared" ca="1" si="260"/>
        <v>0</v>
      </c>
      <c r="DK121" s="243">
        <f t="shared" ca="1" si="260"/>
        <v>0</v>
      </c>
      <c r="DL121" s="243">
        <f t="shared" ca="1" si="260"/>
        <v>0</v>
      </c>
      <c r="DM121" s="243">
        <f t="shared" ca="1" si="260"/>
        <v>0</v>
      </c>
      <c r="DN121" s="243">
        <f t="shared" ca="1" si="260"/>
        <v>0</v>
      </c>
      <c r="DO121" s="243">
        <f t="shared" ca="1" si="260"/>
        <v>0</v>
      </c>
      <c r="DP121" s="243">
        <f t="shared" ca="1" si="260"/>
        <v>0</v>
      </c>
      <c r="DQ121" s="243">
        <f t="shared" ca="1" si="260"/>
        <v>0</v>
      </c>
      <c r="DR121" s="243">
        <f t="shared" ca="1" si="260"/>
        <v>0</v>
      </c>
      <c r="DS121" s="243">
        <f t="shared" ca="1" si="260"/>
        <v>0</v>
      </c>
      <c r="DT121" s="243">
        <f t="shared" ca="1" si="260"/>
        <v>0</v>
      </c>
      <c r="DU121" s="243">
        <f t="shared" ca="1" si="260"/>
        <v>0</v>
      </c>
      <c r="DV121" s="243">
        <f t="shared" ca="1" si="260"/>
        <v>0</v>
      </c>
      <c r="DW121" s="243">
        <f t="shared" ca="1" si="260"/>
        <v>0</v>
      </c>
      <c r="DX121" s="243">
        <f t="shared" ca="1" si="260"/>
        <v>0</v>
      </c>
      <c r="DY121" s="243">
        <f t="shared" ca="1" si="260"/>
        <v>0</v>
      </c>
      <c r="DZ121" s="243">
        <f t="shared" ca="1" si="260"/>
        <v>0</v>
      </c>
      <c r="EA121" s="243">
        <f t="shared" ca="1" si="260"/>
        <v>0</v>
      </c>
      <c r="EB121" s="243">
        <f t="shared" ca="1" si="260"/>
        <v>0</v>
      </c>
      <c r="EC121" s="243">
        <f t="shared" ca="1" si="260"/>
        <v>0</v>
      </c>
      <c r="ED121" s="243">
        <f t="shared" ca="1" si="260"/>
        <v>0</v>
      </c>
      <c r="EE121" s="243">
        <f t="shared" ca="1" si="260"/>
        <v>0</v>
      </c>
      <c r="EF121" s="243">
        <f t="shared" ca="1" si="260"/>
        <v>0</v>
      </c>
      <c r="EG121" s="243">
        <f t="shared" ca="1" si="260"/>
        <v>0</v>
      </c>
      <c r="EH121" s="243">
        <f ca="1">-MIN(EH120,-(EH112-EH116))</f>
        <v>0</v>
      </c>
      <c r="EI121" s="243">
        <f ca="1">-MIN(EI120,-(EI112-EI116))</f>
        <v>0</v>
      </c>
      <c r="EJ121" s="243">
        <f ca="1">-MIN(EJ120,-(EJ112-EJ116))</f>
        <v>0</v>
      </c>
      <c r="FC121" s="182"/>
    </row>
    <row r="122" spans="2:159" outlineLevel="1" x14ac:dyDescent="0.4">
      <c r="B122" s="1" t="s">
        <v>99</v>
      </c>
      <c r="H122" s="244">
        <f ca="1">SUM(H120:H121)</f>
        <v>40000000</v>
      </c>
      <c r="I122" s="244">
        <f ca="1">SUM(I120:I121)</f>
        <v>40000000</v>
      </c>
      <c r="J122" s="244">
        <f t="shared" ref="J122:BU122" ca="1" si="261">SUM(J120:J121)</f>
        <v>40000000</v>
      </c>
      <c r="K122" s="244">
        <f t="shared" ca="1" si="261"/>
        <v>40000000</v>
      </c>
      <c r="L122" s="244">
        <f t="shared" ca="1" si="261"/>
        <v>40000000</v>
      </c>
      <c r="M122" s="244">
        <f t="shared" ca="1" si="261"/>
        <v>40000000</v>
      </c>
      <c r="N122" s="244">
        <f t="shared" ca="1" si="261"/>
        <v>40000000</v>
      </c>
      <c r="O122" s="244">
        <f t="shared" ca="1" si="261"/>
        <v>40000000</v>
      </c>
      <c r="P122" s="244">
        <f t="shared" ca="1" si="261"/>
        <v>40000000</v>
      </c>
      <c r="Q122" s="244">
        <f t="shared" ca="1" si="261"/>
        <v>40000000</v>
      </c>
      <c r="R122" s="244">
        <f t="shared" ca="1" si="261"/>
        <v>38636699.999427788</v>
      </c>
      <c r="S122" s="244">
        <f t="shared" ca="1" si="261"/>
        <v>35489490.051090494</v>
      </c>
      <c r="T122" s="244">
        <f t="shared" ca="1" si="261"/>
        <v>32329138.868434876</v>
      </c>
      <c r="U122" s="244">
        <f t="shared" ca="1" si="261"/>
        <v>29155836.946057659</v>
      </c>
      <c r="V122" s="244">
        <f t="shared" ca="1" si="261"/>
        <v>25973900.562268868</v>
      </c>
      <c r="W122" s="244">
        <f t="shared" ca="1" si="261"/>
        <v>22774760.956922602</v>
      </c>
      <c r="X122" s="244">
        <f t="shared" ca="1" si="261"/>
        <v>19564988.775028806</v>
      </c>
      <c r="Y122" s="244">
        <f t="shared" ca="1" si="261"/>
        <v>16312258.158322847</v>
      </c>
      <c r="Z122" s="244">
        <f t="shared" ca="1" si="261"/>
        <v>13077451.061895667</v>
      </c>
      <c r="AA122" s="244">
        <f t="shared" ca="1" si="261"/>
        <v>9826600.8873844463</v>
      </c>
      <c r="AB122" s="244">
        <f t="shared" ca="1" si="261"/>
        <v>6562778.165438544</v>
      </c>
      <c r="AC122" s="244">
        <f t="shared" ca="1" si="261"/>
        <v>3290197.2329923944</v>
      </c>
      <c r="AD122" s="244">
        <f t="shared" ca="1" si="261"/>
        <v>0</v>
      </c>
      <c r="AE122" s="244">
        <f t="shared" ca="1" si="261"/>
        <v>0</v>
      </c>
      <c r="AF122" s="244">
        <f t="shared" ca="1" si="261"/>
        <v>0</v>
      </c>
      <c r="AG122" s="244">
        <f t="shared" ca="1" si="261"/>
        <v>0</v>
      </c>
      <c r="AH122" s="244">
        <f t="shared" ca="1" si="261"/>
        <v>0</v>
      </c>
      <c r="AI122" s="244">
        <f t="shared" ca="1" si="261"/>
        <v>0</v>
      </c>
      <c r="AJ122" s="244">
        <f t="shared" ca="1" si="261"/>
        <v>0</v>
      </c>
      <c r="AK122" s="244">
        <f t="shared" ca="1" si="261"/>
        <v>0</v>
      </c>
      <c r="AL122" s="244">
        <f t="shared" ca="1" si="261"/>
        <v>0</v>
      </c>
      <c r="AM122" s="244">
        <f t="shared" ca="1" si="261"/>
        <v>0</v>
      </c>
      <c r="AN122" s="244">
        <f t="shared" ca="1" si="261"/>
        <v>0</v>
      </c>
      <c r="AO122" s="244">
        <f t="shared" ca="1" si="261"/>
        <v>0</v>
      </c>
      <c r="AP122" s="244">
        <f t="shared" ca="1" si="261"/>
        <v>0</v>
      </c>
      <c r="AQ122" s="244">
        <f t="shared" ca="1" si="261"/>
        <v>0</v>
      </c>
      <c r="AR122" s="244">
        <f t="shared" ca="1" si="261"/>
        <v>0</v>
      </c>
      <c r="AS122" s="244">
        <f t="shared" ca="1" si="261"/>
        <v>0</v>
      </c>
      <c r="AT122" s="244">
        <f t="shared" ca="1" si="261"/>
        <v>0</v>
      </c>
      <c r="AU122" s="244">
        <f t="shared" ca="1" si="261"/>
        <v>0</v>
      </c>
      <c r="AV122" s="244">
        <f t="shared" ca="1" si="261"/>
        <v>0</v>
      </c>
      <c r="AW122" s="244">
        <f t="shared" ca="1" si="261"/>
        <v>0</v>
      </c>
      <c r="AX122" s="244">
        <f t="shared" ca="1" si="261"/>
        <v>0</v>
      </c>
      <c r="AY122" s="244">
        <f t="shared" ca="1" si="261"/>
        <v>0</v>
      </c>
      <c r="AZ122" s="244">
        <f t="shared" ca="1" si="261"/>
        <v>0</v>
      </c>
      <c r="BA122" s="244">
        <f t="shared" ca="1" si="261"/>
        <v>0</v>
      </c>
      <c r="BB122" s="244">
        <f t="shared" ca="1" si="261"/>
        <v>0</v>
      </c>
      <c r="BC122" s="244">
        <f t="shared" ca="1" si="261"/>
        <v>0</v>
      </c>
      <c r="BD122" s="244">
        <f t="shared" ca="1" si="261"/>
        <v>0</v>
      </c>
      <c r="BE122" s="244">
        <f t="shared" ca="1" si="261"/>
        <v>0</v>
      </c>
      <c r="BF122" s="244">
        <f t="shared" ca="1" si="261"/>
        <v>0</v>
      </c>
      <c r="BG122" s="244">
        <f t="shared" ca="1" si="261"/>
        <v>0</v>
      </c>
      <c r="BH122" s="244">
        <f t="shared" ca="1" si="261"/>
        <v>0</v>
      </c>
      <c r="BI122" s="244">
        <f t="shared" ca="1" si="261"/>
        <v>0</v>
      </c>
      <c r="BJ122" s="244">
        <f t="shared" ca="1" si="261"/>
        <v>0</v>
      </c>
      <c r="BK122" s="244">
        <f t="shared" ca="1" si="261"/>
        <v>0</v>
      </c>
      <c r="BL122" s="244">
        <f t="shared" ca="1" si="261"/>
        <v>0</v>
      </c>
      <c r="BM122" s="244">
        <f t="shared" ca="1" si="261"/>
        <v>0</v>
      </c>
      <c r="BN122" s="244">
        <f t="shared" ca="1" si="261"/>
        <v>0</v>
      </c>
      <c r="BO122" s="244">
        <f t="shared" ca="1" si="261"/>
        <v>0</v>
      </c>
      <c r="BP122" s="244">
        <f t="shared" ca="1" si="261"/>
        <v>0</v>
      </c>
      <c r="BQ122" s="244">
        <f t="shared" ca="1" si="261"/>
        <v>0</v>
      </c>
      <c r="BR122" s="244">
        <f t="shared" ca="1" si="261"/>
        <v>0</v>
      </c>
      <c r="BS122" s="244">
        <f t="shared" ca="1" si="261"/>
        <v>0</v>
      </c>
      <c r="BT122" s="244">
        <f t="shared" ca="1" si="261"/>
        <v>0</v>
      </c>
      <c r="BU122" s="244">
        <f t="shared" ca="1" si="261"/>
        <v>0</v>
      </c>
      <c r="BV122" s="244">
        <f t="shared" ref="BV122:EG122" ca="1" si="262">SUM(BV120:BV121)</f>
        <v>0</v>
      </c>
      <c r="BW122" s="244">
        <f t="shared" ca="1" si="262"/>
        <v>0</v>
      </c>
      <c r="BX122" s="244">
        <f t="shared" ca="1" si="262"/>
        <v>0</v>
      </c>
      <c r="BY122" s="244">
        <f t="shared" ca="1" si="262"/>
        <v>0</v>
      </c>
      <c r="BZ122" s="244">
        <f t="shared" ca="1" si="262"/>
        <v>0</v>
      </c>
      <c r="CA122" s="244">
        <f t="shared" ca="1" si="262"/>
        <v>0</v>
      </c>
      <c r="CB122" s="244">
        <f t="shared" ca="1" si="262"/>
        <v>0</v>
      </c>
      <c r="CC122" s="244">
        <f t="shared" ca="1" si="262"/>
        <v>0</v>
      </c>
      <c r="CD122" s="244">
        <f t="shared" ca="1" si="262"/>
        <v>0</v>
      </c>
      <c r="CE122" s="244">
        <f t="shared" ca="1" si="262"/>
        <v>0</v>
      </c>
      <c r="CF122" s="244">
        <f t="shared" ca="1" si="262"/>
        <v>0</v>
      </c>
      <c r="CG122" s="244">
        <f t="shared" ca="1" si="262"/>
        <v>0</v>
      </c>
      <c r="CH122" s="244">
        <f t="shared" ca="1" si="262"/>
        <v>0</v>
      </c>
      <c r="CI122" s="244">
        <f t="shared" ca="1" si="262"/>
        <v>0</v>
      </c>
      <c r="CJ122" s="244">
        <f t="shared" ca="1" si="262"/>
        <v>0</v>
      </c>
      <c r="CK122" s="244">
        <f t="shared" ca="1" si="262"/>
        <v>0</v>
      </c>
      <c r="CL122" s="244">
        <f t="shared" ca="1" si="262"/>
        <v>0</v>
      </c>
      <c r="CM122" s="244">
        <f t="shared" ca="1" si="262"/>
        <v>0</v>
      </c>
      <c r="CN122" s="244">
        <f t="shared" ca="1" si="262"/>
        <v>0</v>
      </c>
      <c r="CO122" s="244">
        <f t="shared" ca="1" si="262"/>
        <v>0</v>
      </c>
      <c r="CP122" s="244">
        <f t="shared" ca="1" si="262"/>
        <v>0</v>
      </c>
      <c r="CQ122" s="244">
        <f t="shared" ca="1" si="262"/>
        <v>0</v>
      </c>
      <c r="CR122" s="244">
        <f t="shared" ca="1" si="262"/>
        <v>0</v>
      </c>
      <c r="CS122" s="244">
        <f t="shared" ca="1" si="262"/>
        <v>0</v>
      </c>
      <c r="CT122" s="244">
        <f t="shared" ca="1" si="262"/>
        <v>0</v>
      </c>
      <c r="CU122" s="244">
        <f t="shared" ca="1" si="262"/>
        <v>0</v>
      </c>
      <c r="CV122" s="244">
        <f t="shared" ca="1" si="262"/>
        <v>0</v>
      </c>
      <c r="CW122" s="244">
        <f t="shared" ca="1" si="262"/>
        <v>0</v>
      </c>
      <c r="CX122" s="244">
        <f t="shared" ca="1" si="262"/>
        <v>0</v>
      </c>
      <c r="CY122" s="244">
        <f t="shared" ca="1" si="262"/>
        <v>0</v>
      </c>
      <c r="CZ122" s="244">
        <f t="shared" ca="1" si="262"/>
        <v>0</v>
      </c>
      <c r="DA122" s="244">
        <f t="shared" ca="1" si="262"/>
        <v>0</v>
      </c>
      <c r="DB122" s="244">
        <f t="shared" ca="1" si="262"/>
        <v>0</v>
      </c>
      <c r="DC122" s="244">
        <f t="shared" ca="1" si="262"/>
        <v>0</v>
      </c>
      <c r="DD122" s="244">
        <f t="shared" ca="1" si="262"/>
        <v>0</v>
      </c>
      <c r="DE122" s="244">
        <f t="shared" ca="1" si="262"/>
        <v>0</v>
      </c>
      <c r="DF122" s="244">
        <f t="shared" ca="1" si="262"/>
        <v>0</v>
      </c>
      <c r="DG122" s="244">
        <f t="shared" ca="1" si="262"/>
        <v>0</v>
      </c>
      <c r="DH122" s="244">
        <f t="shared" ca="1" si="262"/>
        <v>0</v>
      </c>
      <c r="DI122" s="244">
        <f t="shared" ca="1" si="262"/>
        <v>0</v>
      </c>
      <c r="DJ122" s="244">
        <f t="shared" ca="1" si="262"/>
        <v>0</v>
      </c>
      <c r="DK122" s="244">
        <f t="shared" ca="1" si="262"/>
        <v>0</v>
      </c>
      <c r="DL122" s="244">
        <f t="shared" ca="1" si="262"/>
        <v>0</v>
      </c>
      <c r="DM122" s="244">
        <f t="shared" ca="1" si="262"/>
        <v>0</v>
      </c>
      <c r="DN122" s="244">
        <f t="shared" ca="1" si="262"/>
        <v>0</v>
      </c>
      <c r="DO122" s="244">
        <f t="shared" ca="1" si="262"/>
        <v>0</v>
      </c>
      <c r="DP122" s="244">
        <f t="shared" ca="1" si="262"/>
        <v>0</v>
      </c>
      <c r="DQ122" s="244">
        <f t="shared" ca="1" si="262"/>
        <v>0</v>
      </c>
      <c r="DR122" s="244">
        <f t="shared" ca="1" si="262"/>
        <v>0</v>
      </c>
      <c r="DS122" s="244">
        <f t="shared" ca="1" si="262"/>
        <v>0</v>
      </c>
      <c r="DT122" s="244">
        <f t="shared" ca="1" si="262"/>
        <v>0</v>
      </c>
      <c r="DU122" s="244">
        <f t="shared" ca="1" si="262"/>
        <v>0</v>
      </c>
      <c r="DV122" s="244">
        <f t="shared" ca="1" si="262"/>
        <v>0</v>
      </c>
      <c r="DW122" s="244">
        <f t="shared" ca="1" si="262"/>
        <v>0</v>
      </c>
      <c r="DX122" s="244">
        <f t="shared" ca="1" si="262"/>
        <v>0</v>
      </c>
      <c r="DY122" s="244">
        <f t="shared" ca="1" si="262"/>
        <v>0</v>
      </c>
      <c r="DZ122" s="244">
        <f t="shared" ca="1" si="262"/>
        <v>0</v>
      </c>
      <c r="EA122" s="244">
        <f t="shared" ca="1" si="262"/>
        <v>0</v>
      </c>
      <c r="EB122" s="244">
        <f t="shared" ca="1" si="262"/>
        <v>0</v>
      </c>
      <c r="EC122" s="244">
        <f t="shared" ca="1" si="262"/>
        <v>0</v>
      </c>
      <c r="ED122" s="244">
        <f t="shared" ca="1" si="262"/>
        <v>0</v>
      </c>
      <c r="EE122" s="244">
        <f t="shared" ca="1" si="262"/>
        <v>0</v>
      </c>
      <c r="EF122" s="244">
        <f t="shared" ca="1" si="262"/>
        <v>0</v>
      </c>
      <c r="EG122" s="244">
        <f t="shared" ca="1" si="262"/>
        <v>0</v>
      </c>
      <c r="EH122" s="244">
        <f ca="1">SUM(EH120:EH121)</f>
        <v>0</v>
      </c>
      <c r="EI122" s="244">
        <f ca="1">SUM(EI120:EI121)</f>
        <v>0</v>
      </c>
      <c r="EJ122" s="244">
        <f ca="1">SUM(EJ120:EJ121)</f>
        <v>0</v>
      </c>
      <c r="FC122" s="182"/>
    </row>
    <row r="123" spans="2:159" outlineLevel="1" x14ac:dyDescent="0.4">
      <c r="H123" s="15"/>
      <c r="FC123" s="182"/>
    </row>
    <row r="124" spans="2:159" outlineLevel="1" x14ac:dyDescent="0.4">
      <c r="B124" s="10" t="s">
        <v>292</v>
      </c>
      <c r="H124" s="15"/>
      <c r="FC124" s="182"/>
    </row>
    <row r="125" spans="2:159" outlineLevel="1" x14ac:dyDescent="0.4">
      <c r="H125" s="15"/>
      <c r="FC125" s="182"/>
    </row>
    <row r="126" spans="2:159" outlineLevel="1" x14ac:dyDescent="0.4">
      <c r="B126" s="94" t="s">
        <v>86</v>
      </c>
      <c r="H126" s="15"/>
      <c r="FC126" s="182"/>
    </row>
    <row r="127" spans="2:159" outlineLevel="1" x14ac:dyDescent="0.4">
      <c r="B127" s="1" t="s">
        <v>293</v>
      </c>
      <c r="E127" s="12"/>
      <c r="F127" s="266">
        <f ca="1">-SUM(H127:EO127)</f>
        <v>907885.09888539417</v>
      </c>
      <c r="G127" s="269"/>
      <c r="H127" s="244">
        <f>MIN(MAX(H98+H148+H153,H148+H153),0)</f>
        <v>0</v>
      </c>
      <c r="I127" s="244">
        <f t="shared" ref="I127:BT127" ca="1" si="263">MIN(MAX(I98+I148+I153,I148+I153),0)</f>
        <v>0</v>
      </c>
      <c r="J127" s="244">
        <f t="shared" ca="1" si="263"/>
        <v>0</v>
      </c>
      <c r="K127" s="244">
        <f t="shared" ca="1" si="263"/>
        <v>0</v>
      </c>
      <c r="L127" s="244">
        <f t="shared" ca="1" si="263"/>
        <v>0</v>
      </c>
      <c r="M127" s="244">
        <f t="shared" ca="1" si="263"/>
        <v>0</v>
      </c>
      <c r="N127" s="244">
        <f t="shared" ca="1" si="263"/>
        <v>0</v>
      </c>
      <c r="O127" s="244">
        <f t="shared" ca="1" si="263"/>
        <v>0</v>
      </c>
      <c r="P127" s="244">
        <f t="shared" ca="1" si="263"/>
        <v>0</v>
      </c>
      <c r="Q127" s="244">
        <f t="shared" ca="1" si="263"/>
        <v>0</v>
      </c>
      <c r="R127" s="244">
        <f t="shared" ca="1" si="263"/>
        <v>0</v>
      </c>
      <c r="S127" s="244">
        <f t="shared" ca="1" si="263"/>
        <v>-5459.9483372916811</v>
      </c>
      <c r="T127" s="244">
        <f t="shared" ca="1" si="263"/>
        <v>-18601.182655615725</v>
      </c>
      <c r="U127" s="244">
        <f t="shared" ca="1" si="263"/>
        <v>-31551.922377218212</v>
      </c>
      <c r="V127" s="244">
        <f t="shared" ca="1" si="263"/>
        <v>-40186.383788789935</v>
      </c>
      <c r="W127" s="244">
        <f t="shared" ca="1" si="263"/>
        <v>-57389.605346265089</v>
      </c>
      <c r="X127" s="244">
        <f t="shared" ca="1" si="263"/>
        <v>-68022.181893795234</v>
      </c>
      <c r="Y127" s="244">
        <f t="shared" ca="1" si="263"/>
        <v>-83165.716163562916</v>
      </c>
      <c r="Z127" s="244">
        <f t="shared" ca="1" si="263"/>
        <v>-93057.096427179989</v>
      </c>
      <c r="AA127" s="244">
        <f t="shared" ca="1" si="263"/>
        <v>-109100.17451122074</v>
      </c>
      <c r="AB127" s="244">
        <f t="shared" ca="1" si="263"/>
        <v>-122072.72194590284</v>
      </c>
      <c r="AC127" s="244">
        <f t="shared" ca="1" si="263"/>
        <v>-130830.93244614973</v>
      </c>
      <c r="AD127" s="244">
        <f t="shared" ca="1" si="263"/>
        <v>-148447.23299240202</v>
      </c>
      <c r="AE127" s="244">
        <f t="shared" ca="1" si="263"/>
        <v>0</v>
      </c>
      <c r="AF127" s="244">
        <f t="shared" ca="1" si="263"/>
        <v>0</v>
      </c>
      <c r="AG127" s="244">
        <f t="shared" ca="1" si="263"/>
        <v>0</v>
      </c>
      <c r="AH127" s="244">
        <f t="shared" ca="1" si="263"/>
        <v>0</v>
      </c>
      <c r="AI127" s="244">
        <f t="shared" ca="1" si="263"/>
        <v>0</v>
      </c>
      <c r="AJ127" s="244">
        <f t="shared" ca="1" si="263"/>
        <v>0</v>
      </c>
      <c r="AK127" s="244">
        <f t="shared" ca="1" si="263"/>
        <v>0</v>
      </c>
      <c r="AL127" s="244">
        <f t="shared" ca="1" si="263"/>
        <v>0</v>
      </c>
      <c r="AM127" s="244">
        <f t="shared" ca="1" si="263"/>
        <v>0</v>
      </c>
      <c r="AN127" s="244">
        <f t="shared" ca="1" si="263"/>
        <v>0</v>
      </c>
      <c r="AO127" s="244">
        <f t="shared" ca="1" si="263"/>
        <v>0</v>
      </c>
      <c r="AP127" s="244">
        <f t="shared" ca="1" si="263"/>
        <v>0</v>
      </c>
      <c r="AQ127" s="244">
        <f t="shared" ca="1" si="263"/>
        <v>0</v>
      </c>
      <c r="AR127" s="244">
        <f t="shared" ca="1" si="263"/>
        <v>0</v>
      </c>
      <c r="AS127" s="244">
        <f t="shared" ca="1" si="263"/>
        <v>0</v>
      </c>
      <c r="AT127" s="244">
        <f t="shared" ca="1" si="263"/>
        <v>0</v>
      </c>
      <c r="AU127" s="244">
        <f t="shared" ca="1" si="263"/>
        <v>0</v>
      </c>
      <c r="AV127" s="244">
        <f t="shared" ca="1" si="263"/>
        <v>0</v>
      </c>
      <c r="AW127" s="244">
        <f t="shared" ca="1" si="263"/>
        <v>0</v>
      </c>
      <c r="AX127" s="244">
        <f t="shared" ca="1" si="263"/>
        <v>0</v>
      </c>
      <c r="AY127" s="244">
        <f t="shared" ca="1" si="263"/>
        <v>0</v>
      </c>
      <c r="AZ127" s="244">
        <f t="shared" ca="1" si="263"/>
        <v>0</v>
      </c>
      <c r="BA127" s="244">
        <f t="shared" ca="1" si="263"/>
        <v>0</v>
      </c>
      <c r="BB127" s="244">
        <f t="shared" ca="1" si="263"/>
        <v>0</v>
      </c>
      <c r="BC127" s="244">
        <f t="shared" ca="1" si="263"/>
        <v>0</v>
      </c>
      <c r="BD127" s="244">
        <f t="shared" ca="1" si="263"/>
        <v>0</v>
      </c>
      <c r="BE127" s="244">
        <f t="shared" ca="1" si="263"/>
        <v>0</v>
      </c>
      <c r="BF127" s="244">
        <f t="shared" ca="1" si="263"/>
        <v>0</v>
      </c>
      <c r="BG127" s="244">
        <f t="shared" ca="1" si="263"/>
        <v>0</v>
      </c>
      <c r="BH127" s="244">
        <f t="shared" ca="1" si="263"/>
        <v>0</v>
      </c>
      <c r="BI127" s="244">
        <f t="shared" ca="1" si="263"/>
        <v>0</v>
      </c>
      <c r="BJ127" s="244">
        <f t="shared" ca="1" si="263"/>
        <v>0</v>
      </c>
      <c r="BK127" s="244">
        <f t="shared" ca="1" si="263"/>
        <v>0</v>
      </c>
      <c r="BL127" s="244">
        <f t="shared" ca="1" si="263"/>
        <v>0</v>
      </c>
      <c r="BM127" s="244">
        <f t="shared" ca="1" si="263"/>
        <v>0</v>
      </c>
      <c r="BN127" s="244">
        <f t="shared" ca="1" si="263"/>
        <v>0</v>
      </c>
      <c r="BO127" s="244">
        <f t="shared" ca="1" si="263"/>
        <v>0</v>
      </c>
      <c r="BP127" s="244">
        <f t="shared" ca="1" si="263"/>
        <v>0</v>
      </c>
      <c r="BQ127" s="244">
        <f t="shared" ca="1" si="263"/>
        <v>0</v>
      </c>
      <c r="BR127" s="244">
        <f t="shared" ca="1" si="263"/>
        <v>0</v>
      </c>
      <c r="BS127" s="244">
        <f t="shared" ca="1" si="263"/>
        <v>0</v>
      </c>
      <c r="BT127" s="244">
        <f t="shared" ca="1" si="263"/>
        <v>0</v>
      </c>
      <c r="BU127" s="244">
        <f t="shared" ref="BU127:EF127" ca="1" si="264">MIN(MAX(BU98+BU148+BU153,BU148+BU153),0)</f>
        <v>0</v>
      </c>
      <c r="BV127" s="244">
        <f t="shared" ca="1" si="264"/>
        <v>0</v>
      </c>
      <c r="BW127" s="244">
        <f t="shared" ca="1" si="264"/>
        <v>0</v>
      </c>
      <c r="BX127" s="244">
        <f t="shared" ca="1" si="264"/>
        <v>0</v>
      </c>
      <c r="BY127" s="244">
        <f t="shared" ca="1" si="264"/>
        <v>0</v>
      </c>
      <c r="BZ127" s="244">
        <f t="shared" ca="1" si="264"/>
        <v>0</v>
      </c>
      <c r="CA127" s="244">
        <f t="shared" ca="1" si="264"/>
        <v>0</v>
      </c>
      <c r="CB127" s="244">
        <f t="shared" ca="1" si="264"/>
        <v>0</v>
      </c>
      <c r="CC127" s="244">
        <f t="shared" ca="1" si="264"/>
        <v>0</v>
      </c>
      <c r="CD127" s="244">
        <f t="shared" ca="1" si="264"/>
        <v>0</v>
      </c>
      <c r="CE127" s="244">
        <f t="shared" ca="1" si="264"/>
        <v>0</v>
      </c>
      <c r="CF127" s="244">
        <f t="shared" ca="1" si="264"/>
        <v>0</v>
      </c>
      <c r="CG127" s="244">
        <f t="shared" ca="1" si="264"/>
        <v>0</v>
      </c>
      <c r="CH127" s="244">
        <f t="shared" ca="1" si="264"/>
        <v>0</v>
      </c>
      <c r="CI127" s="244">
        <f t="shared" ca="1" si="264"/>
        <v>0</v>
      </c>
      <c r="CJ127" s="244">
        <f t="shared" ca="1" si="264"/>
        <v>0</v>
      </c>
      <c r="CK127" s="244">
        <f t="shared" ca="1" si="264"/>
        <v>0</v>
      </c>
      <c r="CL127" s="244">
        <f t="shared" ca="1" si="264"/>
        <v>0</v>
      </c>
      <c r="CM127" s="244">
        <f t="shared" ca="1" si="264"/>
        <v>0</v>
      </c>
      <c r="CN127" s="244">
        <f t="shared" ca="1" si="264"/>
        <v>0</v>
      </c>
      <c r="CO127" s="244">
        <f t="shared" ca="1" si="264"/>
        <v>0</v>
      </c>
      <c r="CP127" s="244">
        <f t="shared" ca="1" si="264"/>
        <v>0</v>
      </c>
      <c r="CQ127" s="244">
        <f t="shared" ca="1" si="264"/>
        <v>0</v>
      </c>
      <c r="CR127" s="244">
        <f t="shared" ca="1" si="264"/>
        <v>0</v>
      </c>
      <c r="CS127" s="244">
        <f t="shared" ca="1" si="264"/>
        <v>0</v>
      </c>
      <c r="CT127" s="244">
        <f t="shared" ca="1" si="264"/>
        <v>0</v>
      </c>
      <c r="CU127" s="244">
        <f t="shared" ca="1" si="264"/>
        <v>0</v>
      </c>
      <c r="CV127" s="244">
        <f t="shared" ca="1" si="264"/>
        <v>0</v>
      </c>
      <c r="CW127" s="244">
        <f t="shared" ca="1" si="264"/>
        <v>0</v>
      </c>
      <c r="CX127" s="244">
        <f t="shared" ca="1" si="264"/>
        <v>0</v>
      </c>
      <c r="CY127" s="244">
        <f t="shared" ca="1" si="264"/>
        <v>0</v>
      </c>
      <c r="CZ127" s="244">
        <f t="shared" ca="1" si="264"/>
        <v>0</v>
      </c>
      <c r="DA127" s="244">
        <f t="shared" ca="1" si="264"/>
        <v>0</v>
      </c>
      <c r="DB127" s="244">
        <f t="shared" ca="1" si="264"/>
        <v>0</v>
      </c>
      <c r="DC127" s="244">
        <f t="shared" ca="1" si="264"/>
        <v>0</v>
      </c>
      <c r="DD127" s="244">
        <f t="shared" ca="1" si="264"/>
        <v>0</v>
      </c>
      <c r="DE127" s="244">
        <f t="shared" ca="1" si="264"/>
        <v>0</v>
      </c>
      <c r="DF127" s="244">
        <f t="shared" ca="1" si="264"/>
        <v>0</v>
      </c>
      <c r="DG127" s="244">
        <f t="shared" ca="1" si="264"/>
        <v>0</v>
      </c>
      <c r="DH127" s="244">
        <f t="shared" ca="1" si="264"/>
        <v>0</v>
      </c>
      <c r="DI127" s="244">
        <f t="shared" ca="1" si="264"/>
        <v>0</v>
      </c>
      <c r="DJ127" s="244">
        <f t="shared" ca="1" si="264"/>
        <v>0</v>
      </c>
      <c r="DK127" s="244">
        <f t="shared" ca="1" si="264"/>
        <v>0</v>
      </c>
      <c r="DL127" s="244">
        <f t="shared" ca="1" si="264"/>
        <v>0</v>
      </c>
      <c r="DM127" s="244">
        <f t="shared" ca="1" si="264"/>
        <v>0</v>
      </c>
      <c r="DN127" s="244">
        <f t="shared" ca="1" si="264"/>
        <v>0</v>
      </c>
      <c r="DO127" s="244">
        <f t="shared" ca="1" si="264"/>
        <v>0</v>
      </c>
      <c r="DP127" s="244">
        <f t="shared" ca="1" si="264"/>
        <v>0</v>
      </c>
      <c r="DQ127" s="244">
        <f t="shared" ca="1" si="264"/>
        <v>0</v>
      </c>
      <c r="DR127" s="244">
        <f t="shared" ca="1" si="264"/>
        <v>0</v>
      </c>
      <c r="DS127" s="244">
        <f t="shared" ca="1" si="264"/>
        <v>0</v>
      </c>
      <c r="DT127" s="244">
        <f t="shared" ca="1" si="264"/>
        <v>0</v>
      </c>
      <c r="DU127" s="244">
        <f t="shared" ca="1" si="264"/>
        <v>0</v>
      </c>
      <c r="DV127" s="244">
        <f t="shared" ca="1" si="264"/>
        <v>0</v>
      </c>
      <c r="DW127" s="244">
        <f t="shared" ca="1" si="264"/>
        <v>0</v>
      </c>
      <c r="DX127" s="244">
        <f t="shared" ca="1" si="264"/>
        <v>0</v>
      </c>
      <c r="DY127" s="244">
        <f t="shared" ca="1" si="264"/>
        <v>0</v>
      </c>
      <c r="DZ127" s="244">
        <f t="shared" ca="1" si="264"/>
        <v>0</v>
      </c>
      <c r="EA127" s="244">
        <f t="shared" ca="1" si="264"/>
        <v>0</v>
      </c>
      <c r="EB127" s="244">
        <f t="shared" ca="1" si="264"/>
        <v>0</v>
      </c>
      <c r="EC127" s="244">
        <f t="shared" ca="1" si="264"/>
        <v>0</v>
      </c>
      <c r="ED127" s="244">
        <f t="shared" ca="1" si="264"/>
        <v>0</v>
      </c>
      <c r="EE127" s="244">
        <f t="shared" ca="1" si="264"/>
        <v>0</v>
      </c>
      <c r="EF127" s="244">
        <f t="shared" ca="1" si="264"/>
        <v>0</v>
      </c>
      <c r="EG127" s="244">
        <f ca="1">MIN(MAX(EG98+EG148+EG153,EG148+EG153),0)</f>
        <v>0</v>
      </c>
      <c r="EH127" s="244">
        <f ca="1">MIN(MAX(EH98+EH148+EH153,EH148+EH153),0)</f>
        <v>0</v>
      </c>
      <c r="EI127" s="244">
        <f ca="1">MIN(MAX(EI98+EI148+EI153,EI148+EI153),0)</f>
        <v>0</v>
      </c>
      <c r="EJ127" s="244">
        <f ca="1">MIN(MAX(EJ98+EJ148+EJ153,EJ148+EJ153),0)</f>
        <v>0</v>
      </c>
      <c r="FC127" s="182"/>
    </row>
    <row r="128" spans="2:159" outlineLevel="1" x14ac:dyDescent="0.4">
      <c r="C128" s="22"/>
      <c r="H128" s="15"/>
      <c r="FC128" s="182"/>
    </row>
    <row r="129" spans="2:159" outlineLevel="1" x14ac:dyDescent="0.4">
      <c r="B129" s="1" t="s">
        <v>95</v>
      </c>
      <c r="C129" s="22"/>
      <c r="H129" s="270"/>
      <c r="I129" s="244">
        <f ca="1">H132</f>
        <v>907885.09888539417</v>
      </c>
      <c r="J129" s="244">
        <f ca="1">I132</f>
        <v>907885.09888539417</v>
      </c>
      <c r="K129" s="244">
        <f t="shared" ref="K129:BV129" ca="1" si="265">J132</f>
        <v>907885.09888539417</v>
      </c>
      <c r="L129" s="244">
        <f t="shared" ca="1" si="265"/>
        <v>907885.09888539417</v>
      </c>
      <c r="M129" s="244">
        <f t="shared" ca="1" si="265"/>
        <v>907885.09888539417</v>
      </c>
      <c r="N129" s="244">
        <f t="shared" ca="1" si="265"/>
        <v>907885.09888539417</v>
      </c>
      <c r="O129" s="244">
        <f t="shared" ca="1" si="265"/>
        <v>907885.09888539417</v>
      </c>
      <c r="P129" s="244">
        <f t="shared" ca="1" si="265"/>
        <v>907885.09888539417</v>
      </c>
      <c r="Q129" s="244">
        <f t="shared" ca="1" si="265"/>
        <v>907885.09888539417</v>
      </c>
      <c r="R129" s="244">
        <f t="shared" ca="1" si="265"/>
        <v>907885.09888539417</v>
      </c>
      <c r="S129" s="244">
        <f t="shared" ca="1" si="265"/>
        <v>907885.09888539417</v>
      </c>
      <c r="T129" s="244">
        <f t="shared" ca="1" si="265"/>
        <v>902425.15054810245</v>
      </c>
      <c r="U129" s="244">
        <f t="shared" ca="1" si="265"/>
        <v>883823.96789248672</v>
      </c>
      <c r="V129" s="244">
        <f t="shared" ca="1" si="265"/>
        <v>852272.04551526846</v>
      </c>
      <c r="W129" s="244">
        <f t="shared" ca="1" si="265"/>
        <v>812085.66172647849</v>
      </c>
      <c r="X129" s="244">
        <f t="shared" ca="1" si="265"/>
        <v>754696.05638021335</v>
      </c>
      <c r="Y129" s="244">
        <f t="shared" ca="1" si="265"/>
        <v>686673.87448641809</v>
      </c>
      <c r="Z129" s="244">
        <f t="shared" ca="1" si="265"/>
        <v>603508.15832285513</v>
      </c>
      <c r="AA129" s="244">
        <f t="shared" ca="1" si="265"/>
        <v>510451.06189567514</v>
      </c>
      <c r="AB129" s="244">
        <f t="shared" ca="1" si="265"/>
        <v>401350.88738445437</v>
      </c>
      <c r="AC129" s="244">
        <f t="shared" ca="1" si="265"/>
        <v>279278.16543855151</v>
      </c>
      <c r="AD129" s="244">
        <f t="shared" ca="1" si="265"/>
        <v>148447.23299240178</v>
      </c>
      <c r="AE129" s="244">
        <f t="shared" ca="1" si="265"/>
        <v>0</v>
      </c>
      <c r="AF129" s="244">
        <f t="shared" ca="1" si="265"/>
        <v>0</v>
      </c>
      <c r="AG129" s="244">
        <f t="shared" ca="1" si="265"/>
        <v>0</v>
      </c>
      <c r="AH129" s="244">
        <f t="shared" ca="1" si="265"/>
        <v>0</v>
      </c>
      <c r="AI129" s="244">
        <f t="shared" ca="1" si="265"/>
        <v>0</v>
      </c>
      <c r="AJ129" s="244">
        <f t="shared" ca="1" si="265"/>
        <v>0</v>
      </c>
      <c r="AK129" s="244">
        <f t="shared" ca="1" si="265"/>
        <v>0</v>
      </c>
      <c r="AL129" s="244">
        <f t="shared" ca="1" si="265"/>
        <v>0</v>
      </c>
      <c r="AM129" s="244">
        <f t="shared" ca="1" si="265"/>
        <v>0</v>
      </c>
      <c r="AN129" s="244">
        <f t="shared" ca="1" si="265"/>
        <v>0</v>
      </c>
      <c r="AO129" s="244">
        <f t="shared" ca="1" si="265"/>
        <v>0</v>
      </c>
      <c r="AP129" s="244">
        <f t="shared" ca="1" si="265"/>
        <v>0</v>
      </c>
      <c r="AQ129" s="244">
        <f t="shared" ca="1" si="265"/>
        <v>0</v>
      </c>
      <c r="AR129" s="244">
        <f t="shared" ca="1" si="265"/>
        <v>0</v>
      </c>
      <c r="AS129" s="244">
        <f t="shared" ca="1" si="265"/>
        <v>0</v>
      </c>
      <c r="AT129" s="244">
        <f t="shared" ca="1" si="265"/>
        <v>0</v>
      </c>
      <c r="AU129" s="244">
        <f t="shared" ca="1" si="265"/>
        <v>0</v>
      </c>
      <c r="AV129" s="244">
        <f t="shared" ca="1" si="265"/>
        <v>0</v>
      </c>
      <c r="AW129" s="244">
        <f t="shared" ca="1" si="265"/>
        <v>0</v>
      </c>
      <c r="AX129" s="244">
        <f t="shared" ca="1" si="265"/>
        <v>0</v>
      </c>
      <c r="AY129" s="244">
        <f t="shared" ca="1" si="265"/>
        <v>0</v>
      </c>
      <c r="AZ129" s="244">
        <f t="shared" ca="1" si="265"/>
        <v>0</v>
      </c>
      <c r="BA129" s="244">
        <f t="shared" ca="1" si="265"/>
        <v>0</v>
      </c>
      <c r="BB129" s="244">
        <f t="shared" ca="1" si="265"/>
        <v>0</v>
      </c>
      <c r="BC129" s="244">
        <f t="shared" ca="1" si="265"/>
        <v>0</v>
      </c>
      <c r="BD129" s="244">
        <f t="shared" ca="1" si="265"/>
        <v>0</v>
      </c>
      <c r="BE129" s="244">
        <f t="shared" ca="1" si="265"/>
        <v>0</v>
      </c>
      <c r="BF129" s="244">
        <f t="shared" ca="1" si="265"/>
        <v>0</v>
      </c>
      <c r="BG129" s="244">
        <f t="shared" ca="1" si="265"/>
        <v>0</v>
      </c>
      <c r="BH129" s="244">
        <f t="shared" ca="1" si="265"/>
        <v>0</v>
      </c>
      <c r="BI129" s="244">
        <f t="shared" ca="1" si="265"/>
        <v>0</v>
      </c>
      <c r="BJ129" s="244">
        <f t="shared" ca="1" si="265"/>
        <v>0</v>
      </c>
      <c r="BK129" s="244">
        <f t="shared" ca="1" si="265"/>
        <v>0</v>
      </c>
      <c r="BL129" s="244">
        <f t="shared" ca="1" si="265"/>
        <v>0</v>
      </c>
      <c r="BM129" s="244">
        <f t="shared" ca="1" si="265"/>
        <v>0</v>
      </c>
      <c r="BN129" s="244">
        <f t="shared" ca="1" si="265"/>
        <v>0</v>
      </c>
      <c r="BO129" s="244">
        <f t="shared" ca="1" si="265"/>
        <v>0</v>
      </c>
      <c r="BP129" s="244">
        <f t="shared" ca="1" si="265"/>
        <v>0</v>
      </c>
      <c r="BQ129" s="244">
        <f t="shared" ca="1" si="265"/>
        <v>0</v>
      </c>
      <c r="BR129" s="244">
        <f t="shared" ca="1" si="265"/>
        <v>0</v>
      </c>
      <c r="BS129" s="244">
        <f t="shared" ca="1" si="265"/>
        <v>0</v>
      </c>
      <c r="BT129" s="244">
        <f t="shared" ca="1" si="265"/>
        <v>0</v>
      </c>
      <c r="BU129" s="244">
        <f t="shared" ca="1" si="265"/>
        <v>0</v>
      </c>
      <c r="BV129" s="244">
        <f t="shared" ca="1" si="265"/>
        <v>0</v>
      </c>
      <c r="BW129" s="244">
        <f t="shared" ref="BW129:EH129" ca="1" si="266">BV132</f>
        <v>0</v>
      </c>
      <c r="BX129" s="244">
        <f t="shared" ca="1" si="266"/>
        <v>0</v>
      </c>
      <c r="BY129" s="244">
        <f t="shared" ca="1" si="266"/>
        <v>0</v>
      </c>
      <c r="BZ129" s="244">
        <f t="shared" ca="1" si="266"/>
        <v>0</v>
      </c>
      <c r="CA129" s="244">
        <f t="shared" ca="1" si="266"/>
        <v>0</v>
      </c>
      <c r="CB129" s="244">
        <f t="shared" ca="1" si="266"/>
        <v>0</v>
      </c>
      <c r="CC129" s="244">
        <f t="shared" ca="1" si="266"/>
        <v>0</v>
      </c>
      <c r="CD129" s="244">
        <f t="shared" ca="1" si="266"/>
        <v>0</v>
      </c>
      <c r="CE129" s="244">
        <f t="shared" ca="1" si="266"/>
        <v>0</v>
      </c>
      <c r="CF129" s="244">
        <f t="shared" ca="1" si="266"/>
        <v>0</v>
      </c>
      <c r="CG129" s="244">
        <f t="shared" ca="1" si="266"/>
        <v>0</v>
      </c>
      <c r="CH129" s="244">
        <f t="shared" ca="1" si="266"/>
        <v>0</v>
      </c>
      <c r="CI129" s="244">
        <f t="shared" ca="1" si="266"/>
        <v>0</v>
      </c>
      <c r="CJ129" s="244">
        <f t="shared" ca="1" si="266"/>
        <v>0</v>
      </c>
      <c r="CK129" s="244">
        <f t="shared" ca="1" si="266"/>
        <v>0</v>
      </c>
      <c r="CL129" s="244">
        <f t="shared" ca="1" si="266"/>
        <v>0</v>
      </c>
      <c r="CM129" s="244">
        <f t="shared" ca="1" si="266"/>
        <v>0</v>
      </c>
      <c r="CN129" s="244">
        <f t="shared" ca="1" si="266"/>
        <v>0</v>
      </c>
      <c r="CO129" s="244">
        <f t="shared" ca="1" si="266"/>
        <v>0</v>
      </c>
      <c r="CP129" s="244">
        <f t="shared" ca="1" si="266"/>
        <v>0</v>
      </c>
      <c r="CQ129" s="244">
        <f t="shared" ca="1" si="266"/>
        <v>0</v>
      </c>
      <c r="CR129" s="244">
        <f t="shared" ca="1" si="266"/>
        <v>0</v>
      </c>
      <c r="CS129" s="244">
        <f t="shared" ca="1" si="266"/>
        <v>0</v>
      </c>
      <c r="CT129" s="244">
        <f t="shared" ca="1" si="266"/>
        <v>0</v>
      </c>
      <c r="CU129" s="244">
        <f t="shared" ca="1" si="266"/>
        <v>0</v>
      </c>
      <c r="CV129" s="244">
        <f t="shared" ca="1" si="266"/>
        <v>0</v>
      </c>
      <c r="CW129" s="244">
        <f t="shared" ca="1" si="266"/>
        <v>0</v>
      </c>
      <c r="CX129" s="244">
        <f t="shared" ca="1" si="266"/>
        <v>0</v>
      </c>
      <c r="CY129" s="244">
        <f t="shared" ca="1" si="266"/>
        <v>0</v>
      </c>
      <c r="CZ129" s="244">
        <f t="shared" ca="1" si="266"/>
        <v>0</v>
      </c>
      <c r="DA129" s="244">
        <f t="shared" ca="1" si="266"/>
        <v>0</v>
      </c>
      <c r="DB129" s="244">
        <f t="shared" ca="1" si="266"/>
        <v>0</v>
      </c>
      <c r="DC129" s="244">
        <f t="shared" ca="1" si="266"/>
        <v>0</v>
      </c>
      <c r="DD129" s="244">
        <f t="shared" ca="1" si="266"/>
        <v>0</v>
      </c>
      <c r="DE129" s="244">
        <f t="shared" ca="1" si="266"/>
        <v>0</v>
      </c>
      <c r="DF129" s="244">
        <f t="shared" ca="1" si="266"/>
        <v>0</v>
      </c>
      <c r="DG129" s="244">
        <f t="shared" ca="1" si="266"/>
        <v>0</v>
      </c>
      <c r="DH129" s="244">
        <f t="shared" ca="1" si="266"/>
        <v>0</v>
      </c>
      <c r="DI129" s="244">
        <f t="shared" ca="1" si="266"/>
        <v>0</v>
      </c>
      <c r="DJ129" s="244">
        <f t="shared" ca="1" si="266"/>
        <v>0</v>
      </c>
      <c r="DK129" s="244">
        <f t="shared" ca="1" si="266"/>
        <v>0</v>
      </c>
      <c r="DL129" s="244">
        <f t="shared" ca="1" si="266"/>
        <v>0</v>
      </c>
      <c r="DM129" s="244">
        <f t="shared" ca="1" si="266"/>
        <v>0</v>
      </c>
      <c r="DN129" s="244">
        <f t="shared" ca="1" si="266"/>
        <v>0</v>
      </c>
      <c r="DO129" s="244">
        <f t="shared" ca="1" si="266"/>
        <v>0</v>
      </c>
      <c r="DP129" s="244">
        <f t="shared" ca="1" si="266"/>
        <v>0</v>
      </c>
      <c r="DQ129" s="244">
        <f t="shared" ca="1" si="266"/>
        <v>0</v>
      </c>
      <c r="DR129" s="244">
        <f t="shared" ca="1" si="266"/>
        <v>0</v>
      </c>
      <c r="DS129" s="244">
        <f t="shared" ca="1" si="266"/>
        <v>0</v>
      </c>
      <c r="DT129" s="244">
        <f t="shared" ca="1" si="266"/>
        <v>0</v>
      </c>
      <c r="DU129" s="244">
        <f t="shared" ca="1" si="266"/>
        <v>0</v>
      </c>
      <c r="DV129" s="244">
        <f t="shared" ca="1" si="266"/>
        <v>0</v>
      </c>
      <c r="DW129" s="244">
        <f t="shared" ca="1" si="266"/>
        <v>0</v>
      </c>
      <c r="DX129" s="244">
        <f t="shared" ca="1" si="266"/>
        <v>0</v>
      </c>
      <c r="DY129" s="244">
        <f t="shared" ca="1" si="266"/>
        <v>0</v>
      </c>
      <c r="DZ129" s="244">
        <f t="shared" ca="1" si="266"/>
        <v>0</v>
      </c>
      <c r="EA129" s="244">
        <f t="shared" ca="1" si="266"/>
        <v>0</v>
      </c>
      <c r="EB129" s="244">
        <f t="shared" ca="1" si="266"/>
        <v>0</v>
      </c>
      <c r="EC129" s="244">
        <f t="shared" ca="1" si="266"/>
        <v>0</v>
      </c>
      <c r="ED129" s="244">
        <f t="shared" ca="1" si="266"/>
        <v>0</v>
      </c>
      <c r="EE129" s="244">
        <f t="shared" ca="1" si="266"/>
        <v>0</v>
      </c>
      <c r="EF129" s="244">
        <f t="shared" ca="1" si="266"/>
        <v>0</v>
      </c>
      <c r="EG129" s="244">
        <f t="shared" ca="1" si="266"/>
        <v>0</v>
      </c>
      <c r="EH129" s="244">
        <f t="shared" ca="1" si="266"/>
        <v>0</v>
      </c>
      <c r="EI129" s="244">
        <f ca="1">EH132</f>
        <v>0</v>
      </c>
      <c r="EJ129" s="244">
        <f ca="1">EI132</f>
        <v>0</v>
      </c>
      <c r="FC129" s="182"/>
    </row>
    <row r="130" spans="2:159" outlineLevel="1" x14ac:dyDescent="0.4">
      <c r="B130" s="60" t="s">
        <v>291</v>
      </c>
      <c r="C130" s="22"/>
      <c r="H130" s="253">
        <f ca="1">'Development Budget'!E30</f>
        <v>907885.09888539417</v>
      </c>
      <c r="I130" s="271">
        <v>0</v>
      </c>
      <c r="J130" s="244">
        <f>I130</f>
        <v>0</v>
      </c>
      <c r="K130" s="244">
        <f t="shared" ref="K130:BV130" si="267">J130</f>
        <v>0</v>
      </c>
      <c r="L130" s="244">
        <f t="shared" si="267"/>
        <v>0</v>
      </c>
      <c r="M130" s="244">
        <f t="shared" si="267"/>
        <v>0</v>
      </c>
      <c r="N130" s="244">
        <f t="shared" si="267"/>
        <v>0</v>
      </c>
      <c r="O130" s="244">
        <f t="shared" si="267"/>
        <v>0</v>
      </c>
      <c r="P130" s="244">
        <f t="shared" si="267"/>
        <v>0</v>
      </c>
      <c r="Q130" s="244">
        <f t="shared" si="267"/>
        <v>0</v>
      </c>
      <c r="R130" s="244">
        <f t="shared" si="267"/>
        <v>0</v>
      </c>
      <c r="S130" s="244">
        <f t="shared" si="267"/>
        <v>0</v>
      </c>
      <c r="T130" s="244">
        <f t="shared" si="267"/>
        <v>0</v>
      </c>
      <c r="U130" s="244">
        <f t="shared" si="267"/>
        <v>0</v>
      </c>
      <c r="V130" s="244">
        <f t="shared" si="267"/>
        <v>0</v>
      </c>
      <c r="W130" s="244">
        <f t="shared" si="267"/>
        <v>0</v>
      </c>
      <c r="X130" s="244">
        <f t="shared" si="267"/>
        <v>0</v>
      </c>
      <c r="Y130" s="244">
        <f t="shared" si="267"/>
        <v>0</v>
      </c>
      <c r="Z130" s="244">
        <f t="shared" si="267"/>
        <v>0</v>
      </c>
      <c r="AA130" s="244">
        <f t="shared" si="267"/>
        <v>0</v>
      </c>
      <c r="AB130" s="244">
        <f t="shared" si="267"/>
        <v>0</v>
      </c>
      <c r="AC130" s="244">
        <f t="shared" si="267"/>
        <v>0</v>
      </c>
      <c r="AD130" s="244">
        <f t="shared" si="267"/>
        <v>0</v>
      </c>
      <c r="AE130" s="244">
        <f t="shared" si="267"/>
        <v>0</v>
      </c>
      <c r="AF130" s="244">
        <f t="shared" si="267"/>
        <v>0</v>
      </c>
      <c r="AG130" s="244">
        <f t="shared" si="267"/>
        <v>0</v>
      </c>
      <c r="AH130" s="244">
        <f t="shared" si="267"/>
        <v>0</v>
      </c>
      <c r="AI130" s="244">
        <f t="shared" si="267"/>
        <v>0</v>
      </c>
      <c r="AJ130" s="244">
        <f t="shared" si="267"/>
        <v>0</v>
      </c>
      <c r="AK130" s="244">
        <f t="shared" si="267"/>
        <v>0</v>
      </c>
      <c r="AL130" s="244">
        <f t="shared" si="267"/>
        <v>0</v>
      </c>
      <c r="AM130" s="244">
        <f t="shared" si="267"/>
        <v>0</v>
      </c>
      <c r="AN130" s="244">
        <f t="shared" si="267"/>
        <v>0</v>
      </c>
      <c r="AO130" s="244">
        <f t="shared" si="267"/>
        <v>0</v>
      </c>
      <c r="AP130" s="244">
        <f t="shared" si="267"/>
        <v>0</v>
      </c>
      <c r="AQ130" s="244">
        <f t="shared" si="267"/>
        <v>0</v>
      </c>
      <c r="AR130" s="244">
        <f t="shared" si="267"/>
        <v>0</v>
      </c>
      <c r="AS130" s="244">
        <f t="shared" si="267"/>
        <v>0</v>
      </c>
      <c r="AT130" s="244">
        <f t="shared" si="267"/>
        <v>0</v>
      </c>
      <c r="AU130" s="244">
        <f t="shared" si="267"/>
        <v>0</v>
      </c>
      <c r="AV130" s="244">
        <f t="shared" si="267"/>
        <v>0</v>
      </c>
      <c r="AW130" s="244">
        <f t="shared" si="267"/>
        <v>0</v>
      </c>
      <c r="AX130" s="244">
        <f t="shared" si="267"/>
        <v>0</v>
      </c>
      <c r="AY130" s="244">
        <f t="shared" si="267"/>
        <v>0</v>
      </c>
      <c r="AZ130" s="244">
        <f t="shared" si="267"/>
        <v>0</v>
      </c>
      <c r="BA130" s="244">
        <f t="shared" si="267"/>
        <v>0</v>
      </c>
      <c r="BB130" s="244">
        <f t="shared" si="267"/>
        <v>0</v>
      </c>
      <c r="BC130" s="244">
        <f t="shared" si="267"/>
        <v>0</v>
      </c>
      <c r="BD130" s="244">
        <f t="shared" si="267"/>
        <v>0</v>
      </c>
      <c r="BE130" s="244">
        <f t="shared" si="267"/>
        <v>0</v>
      </c>
      <c r="BF130" s="244">
        <f t="shared" si="267"/>
        <v>0</v>
      </c>
      <c r="BG130" s="244">
        <f t="shared" si="267"/>
        <v>0</v>
      </c>
      <c r="BH130" s="244">
        <f t="shared" si="267"/>
        <v>0</v>
      </c>
      <c r="BI130" s="244">
        <f t="shared" si="267"/>
        <v>0</v>
      </c>
      <c r="BJ130" s="244">
        <f t="shared" si="267"/>
        <v>0</v>
      </c>
      <c r="BK130" s="244">
        <f t="shared" si="267"/>
        <v>0</v>
      </c>
      <c r="BL130" s="244">
        <f t="shared" si="267"/>
        <v>0</v>
      </c>
      <c r="BM130" s="244">
        <f t="shared" si="267"/>
        <v>0</v>
      </c>
      <c r="BN130" s="244">
        <f t="shared" si="267"/>
        <v>0</v>
      </c>
      <c r="BO130" s="244">
        <f t="shared" si="267"/>
        <v>0</v>
      </c>
      <c r="BP130" s="244">
        <f t="shared" si="267"/>
        <v>0</v>
      </c>
      <c r="BQ130" s="244">
        <f t="shared" si="267"/>
        <v>0</v>
      </c>
      <c r="BR130" s="244">
        <f t="shared" si="267"/>
        <v>0</v>
      </c>
      <c r="BS130" s="244">
        <f t="shared" si="267"/>
        <v>0</v>
      </c>
      <c r="BT130" s="244">
        <f t="shared" si="267"/>
        <v>0</v>
      </c>
      <c r="BU130" s="244">
        <f t="shared" si="267"/>
        <v>0</v>
      </c>
      <c r="BV130" s="244">
        <f t="shared" si="267"/>
        <v>0</v>
      </c>
      <c r="BW130" s="244">
        <f t="shared" ref="BW130:EH130" si="268">BV130</f>
        <v>0</v>
      </c>
      <c r="BX130" s="244">
        <f t="shared" si="268"/>
        <v>0</v>
      </c>
      <c r="BY130" s="244">
        <f t="shared" si="268"/>
        <v>0</v>
      </c>
      <c r="BZ130" s="244">
        <f t="shared" si="268"/>
        <v>0</v>
      </c>
      <c r="CA130" s="244">
        <f t="shared" si="268"/>
        <v>0</v>
      </c>
      <c r="CB130" s="244">
        <f t="shared" si="268"/>
        <v>0</v>
      </c>
      <c r="CC130" s="244">
        <f t="shared" si="268"/>
        <v>0</v>
      </c>
      <c r="CD130" s="244">
        <f t="shared" si="268"/>
        <v>0</v>
      </c>
      <c r="CE130" s="244">
        <f t="shared" si="268"/>
        <v>0</v>
      </c>
      <c r="CF130" s="244">
        <f t="shared" si="268"/>
        <v>0</v>
      </c>
      <c r="CG130" s="244">
        <f t="shared" si="268"/>
        <v>0</v>
      </c>
      <c r="CH130" s="244">
        <f t="shared" si="268"/>
        <v>0</v>
      </c>
      <c r="CI130" s="244">
        <f t="shared" si="268"/>
        <v>0</v>
      </c>
      <c r="CJ130" s="244">
        <f t="shared" si="268"/>
        <v>0</v>
      </c>
      <c r="CK130" s="244">
        <f t="shared" si="268"/>
        <v>0</v>
      </c>
      <c r="CL130" s="244">
        <f t="shared" si="268"/>
        <v>0</v>
      </c>
      <c r="CM130" s="244">
        <f t="shared" si="268"/>
        <v>0</v>
      </c>
      <c r="CN130" s="244">
        <f t="shared" si="268"/>
        <v>0</v>
      </c>
      <c r="CO130" s="244">
        <f t="shared" si="268"/>
        <v>0</v>
      </c>
      <c r="CP130" s="244">
        <f t="shared" si="268"/>
        <v>0</v>
      </c>
      <c r="CQ130" s="244">
        <f t="shared" si="268"/>
        <v>0</v>
      </c>
      <c r="CR130" s="244">
        <f t="shared" si="268"/>
        <v>0</v>
      </c>
      <c r="CS130" s="244">
        <f t="shared" si="268"/>
        <v>0</v>
      </c>
      <c r="CT130" s="244">
        <f t="shared" si="268"/>
        <v>0</v>
      </c>
      <c r="CU130" s="244">
        <f t="shared" si="268"/>
        <v>0</v>
      </c>
      <c r="CV130" s="244">
        <f t="shared" si="268"/>
        <v>0</v>
      </c>
      <c r="CW130" s="244">
        <f t="shared" si="268"/>
        <v>0</v>
      </c>
      <c r="CX130" s="244">
        <f t="shared" si="268"/>
        <v>0</v>
      </c>
      <c r="CY130" s="244">
        <f t="shared" si="268"/>
        <v>0</v>
      </c>
      <c r="CZ130" s="244">
        <f t="shared" si="268"/>
        <v>0</v>
      </c>
      <c r="DA130" s="244">
        <f t="shared" si="268"/>
        <v>0</v>
      </c>
      <c r="DB130" s="244">
        <f t="shared" si="268"/>
        <v>0</v>
      </c>
      <c r="DC130" s="244">
        <f t="shared" si="268"/>
        <v>0</v>
      </c>
      <c r="DD130" s="244">
        <f t="shared" si="268"/>
        <v>0</v>
      </c>
      <c r="DE130" s="244">
        <f t="shared" si="268"/>
        <v>0</v>
      </c>
      <c r="DF130" s="244">
        <f t="shared" si="268"/>
        <v>0</v>
      </c>
      <c r="DG130" s="244">
        <f t="shared" si="268"/>
        <v>0</v>
      </c>
      <c r="DH130" s="244">
        <f t="shared" si="268"/>
        <v>0</v>
      </c>
      <c r="DI130" s="244">
        <f t="shared" si="268"/>
        <v>0</v>
      </c>
      <c r="DJ130" s="244">
        <f t="shared" si="268"/>
        <v>0</v>
      </c>
      <c r="DK130" s="244">
        <f t="shared" si="268"/>
        <v>0</v>
      </c>
      <c r="DL130" s="244">
        <f t="shared" si="268"/>
        <v>0</v>
      </c>
      <c r="DM130" s="244">
        <f t="shared" si="268"/>
        <v>0</v>
      </c>
      <c r="DN130" s="244">
        <f t="shared" si="268"/>
        <v>0</v>
      </c>
      <c r="DO130" s="244">
        <f t="shared" si="268"/>
        <v>0</v>
      </c>
      <c r="DP130" s="244">
        <f t="shared" si="268"/>
        <v>0</v>
      </c>
      <c r="DQ130" s="244">
        <f t="shared" si="268"/>
        <v>0</v>
      </c>
      <c r="DR130" s="244">
        <f t="shared" si="268"/>
        <v>0</v>
      </c>
      <c r="DS130" s="244">
        <f t="shared" si="268"/>
        <v>0</v>
      </c>
      <c r="DT130" s="244">
        <f t="shared" si="268"/>
        <v>0</v>
      </c>
      <c r="DU130" s="244">
        <f t="shared" si="268"/>
        <v>0</v>
      </c>
      <c r="DV130" s="244">
        <f t="shared" si="268"/>
        <v>0</v>
      </c>
      <c r="DW130" s="244">
        <f t="shared" si="268"/>
        <v>0</v>
      </c>
      <c r="DX130" s="244">
        <f t="shared" si="268"/>
        <v>0</v>
      </c>
      <c r="DY130" s="244">
        <f t="shared" si="268"/>
        <v>0</v>
      </c>
      <c r="DZ130" s="244">
        <f t="shared" si="268"/>
        <v>0</v>
      </c>
      <c r="EA130" s="244">
        <f t="shared" si="268"/>
        <v>0</v>
      </c>
      <c r="EB130" s="244">
        <f t="shared" si="268"/>
        <v>0</v>
      </c>
      <c r="EC130" s="244">
        <f t="shared" si="268"/>
        <v>0</v>
      </c>
      <c r="ED130" s="244">
        <f t="shared" si="268"/>
        <v>0</v>
      </c>
      <c r="EE130" s="244">
        <f t="shared" si="268"/>
        <v>0</v>
      </c>
      <c r="EF130" s="244">
        <f t="shared" si="268"/>
        <v>0</v>
      </c>
      <c r="EG130" s="244">
        <f t="shared" si="268"/>
        <v>0</v>
      </c>
      <c r="EH130" s="244">
        <f t="shared" si="268"/>
        <v>0</v>
      </c>
      <c r="EI130" s="244">
        <f>EH130</f>
        <v>0</v>
      </c>
      <c r="EJ130" s="244">
        <f>EI130</f>
        <v>0</v>
      </c>
      <c r="FC130" s="182"/>
    </row>
    <row r="131" spans="2:159" outlineLevel="1" x14ac:dyDescent="0.4">
      <c r="B131" s="60" t="s">
        <v>289</v>
      </c>
      <c r="C131" s="22"/>
      <c r="F131" s="266">
        <f ca="1">SUM(H131:BL131)</f>
        <v>-907885.09888539393</v>
      </c>
      <c r="G131" s="269"/>
      <c r="H131" s="243">
        <f>-MIN(-H127,H129)</f>
        <v>0</v>
      </c>
      <c r="I131" s="243">
        <f t="shared" ref="I131:BT131" ca="1" si="269">-MIN(-I127,I129)</f>
        <v>0</v>
      </c>
      <c r="J131" s="243">
        <f t="shared" ca="1" si="269"/>
        <v>0</v>
      </c>
      <c r="K131" s="243">
        <f t="shared" ca="1" si="269"/>
        <v>0</v>
      </c>
      <c r="L131" s="243">
        <f t="shared" ca="1" si="269"/>
        <v>0</v>
      </c>
      <c r="M131" s="243">
        <f t="shared" ca="1" si="269"/>
        <v>0</v>
      </c>
      <c r="N131" s="243">
        <f t="shared" ca="1" si="269"/>
        <v>0</v>
      </c>
      <c r="O131" s="243">
        <f t="shared" ca="1" si="269"/>
        <v>0</v>
      </c>
      <c r="P131" s="243">
        <f t="shared" ca="1" si="269"/>
        <v>0</v>
      </c>
      <c r="Q131" s="243">
        <f t="shared" ca="1" si="269"/>
        <v>0</v>
      </c>
      <c r="R131" s="243">
        <f t="shared" ca="1" si="269"/>
        <v>0</v>
      </c>
      <c r="S131" s="243">
        <f t="shared" ca="1" si="269"/>
        <v>-5459.9483372916811</v>
      </c>
      <c r="T131" s="243">
        <f t="shared" ca="1" si="269"/>
        <v>-18601.182655615725</v>
      </c>
      <c r="U131" s="243">
        <f t="shared" ca="1" si="269"/>
        <v>-31551.922377218212</v>
      </c>
      <c r="V131" s="243">
        <f t="shared" ca="1" si="269"/>
        <v>-40186.383788789935</v>
      </c>
      <c r="W131" s="243">
        <f t="shared" ca="1" si="269"/>
        <v>-57389.605346265089</v>
      </c>
      <c r="X131" s="243">
        <f t="shared" ca="1" si="269"/>
        <v>-68022.181893795234</v>
      </c>
      <c r="Y131" s="243">
        <f t="shared" ca="1" si="269"/>
        <v>-83165.716163562916</v>
      </c>
      <c r="Z131" s="243">
        <f t="shared" ca="1" si="269"/>
        <v>-93057.096427179989</v>
      </c>
      <c r="AA131" s="243">
        <f t="shared" ca="1" si="269"/>
        <v>-109100.17451122074</v>
      </c>
      <c r="AB131" s="243">
        <f t="shared" ca="1" si="269"/>
        <v>-122072.72194590284</v>
      </c>
      <c r="AC131" s="243">
        <f t="shared" ca="1" si="269"/>
        <v>-130830.93244614973</v>
      </c>
      <c r="AD131" s="243">
        <f t="shared" ca="1" si="269"/>
        <v>-148447.23299240178</v>
      </c>
      <c r="AE131" s="243">
        <f t="shared" ca="1" si="269"/>
        <v>0</v>
      </c>
      <c r="AF131" s="243">
        <f t="shared" ca="1" si="269"/>
        <v>0</v>
      </c>
      <c r="AG131" s="243">
        <f t="shared" ca="1" si="269"/>
        <v>0</v>
      </c>
      <c r="AH131" s="243">
        <f t="shared" ca="1" si="269"/>
        <v>0</v>
      </c>
      <c r="AI131" s="243">
        <f t="shared" ca="1" si="269"/>
        <v>0</v>
      </c>
      <c r="AJ131" s="243">
        <f t="shared" ca="1" si="269"/>
        <v>0</v>
      </c>
      <c r="AK131" s="243">
        <f t="shared" ca="1" si="269"/>
        <v>0</v>
      </c>
      <c r="AL131" s="243">
        <f t="shared" ca="1" si="269"/>
        <v>0</v>
      </c>
      <c r="AM131" s="243">
        <f t="shared" ca="1" si="269"/>
        <v>0</v>
      </c>
      <c r="AN131" s="243">
        <f t="shared" ca="1" si="269"/>
        <v>0</v>
      </c>
      <c r="AO131" s="243">
        <f t="shared" ca="1" si="269"/>
        <v>0</v>
      </c>
      <c r="AP131" s="243">
        <f t="shared" ca="1" si="269"/>
        <v>0</v>
      </c>
      <c r="AQ131" s="243">
        <f t="shared" ca="1" si="269"/>
        <v>0</v>
      </c>
      <c r="AR131" s="243">
        <f t="shared" ca="1" si="269"/>
        <v>0</v>
      </c>
      <c r="AS131" s="243">
        <f t="shared" ca="1" si="269"/>
        <v>0</v>
      </c>
      <c r="AT131" s="243">
        <f t="shared" ca="1" si="269"/>
        <v>0</v>
      </c>
      <c r="AU131" s="243">
        <f t="shared" ca="1" si="269"/>
        <v>0</v>
      </c>
      <c r="AV131" s="243">
        <f t="shared" ca="1" si="269"/>
        <v>0</v>
      </c>
      <c r="AW131" s="243">
        <f t="shared" ca="1" si="269"/>
        <v>0</v>
      </c>
      <c r="AX131" s="243">
        <f t="shared" ca="1" si="269"/>
        <v>0</v>
      </c>
      <c r="AY131" s="243">
        <f t="shared" ca="1" si="269"/>
        <v>0</v>
      </c>
      <c r="AZ131" s="243">
        <f t="shared" ca="1" si="269"/>
        <v>0</v>
      </c>
      <c r="BA131" s="243">
        <f t="shared" ca="1" si="269"/>
        <v>0</v>
      </c>
      <c r="BB131" s="243">
        <f t="shared" ca="1" si="269"/>
        <v>0</v>
      </c>
      <c r="BC131" s="243">
        <f t="shared" ca="1" si="269"/>
        <v>0</v>
      </c>
      <c r="BD131" s="243">
        <f t="shared" ca="1" si="269"/>
        <v>0</v>
      </c>
      <c r="BE131" s="243">
        <f t="shared" ca="1" si="269"/>
        <v>0</v>
      </c>
      <c r="BF131" s="243">
        <f t="shared" ca="1" si="269"/>
        <v>0</v>
      </c>
      <c r="BG131" s="243">
        <f t="shared" ca="1" si="269"/>
        <v>0</v>
      </c>
      <c r="BH131" s="243">
        <f t="shared" ca="1" si="269"/>
        <v>0</v>
      </c>
      <c r="BI131" s="243">
        <f t="shared" ca="1" si="269"/>
        <v>0</v>
      </c>
      <c r="BJ131" s="243">
        <f t="shared" ca="1" si="269"/>
        <v>0</v>
      </c>
      <c r="BK131" s="243">
        <f t="shared" ca="1" si="269"/>
        <v>0</v>
      </c>
      <c r="BL131" s="243">
        <f t="shared" ca="1" si="269"/>
        <v>0</v>
      </c>
      <c r="BM131" s="243">
        <f t="shared" ca="1" si="269"/>
        <v>0</v>
      </c>
      <c r="BN131" s="243">
        <f t="shared" ca="1" si="269"/>
        <v>0</v>
      </c>
      <c r="BO131" s="243">
        <f t="shared" ca="1" si="269"/>
        <v>0</v>
      </c>
      <c r="BP131" s="243">
        <f t="shared" ca="1" si="269"/>
        <v>0</v>
      </c>
      <c r="BQ131" s="243">
        <f t="shared" ca="1" si="269"/>
        <v>0</v>
      </c>
      <c r="BR131" s="243">
        <f t="shared" ca="1" si="269"/>
        <v>0</v>
      </c>
      <c r="BS131" s="243">
        <f t="shared" ca="1" si="269"/>
        <v>0</v>
      </c>
      <c r="BT131" s="243">
        <f t="shared" ca="1" si="269"/>
        <v>0</v>
      </c>
      <c r="BU131" s="243">
        <f t="shared" ref="BU131:EF131" ca="1" si="270">-MIN(-BU127,BU129)</f>
        <v>0</v>
      </c>
      <c r="BV131" s="243">
        <f t="shared" ca="1" si="270"/>
        <v>0</v>
      </c>
      <c r="BW131" s="243">
        <f t="shared" ca="1" si="270"/>
        <v>0</v>
      </c>
      <c r="BX131" s="243">
        <f t="shared" ca="1" si="270"/>
        <v>0</v>
      </c>
      <c r="BY131" s="243">
        <f t="shared" ca="1" si="270"/>
        <v>0</v>
      </c>
      <c r="BZ131" s="243">
        <f t="shared" ca="1" si="270"/>
        <v>0</v>
      </c>
      <c r="CA131" s="243">
        <f t="shared" ca="1" si="270"/>
        <v>0</v>
      </c>
      <c r="CB131" s="243">
        <f t="shared" ca="1" si="270"/>
        <v>0</v>
      </c>
      <c r="CC131" s="243">
        <f t="shared" ca="1" si="270"/>
        <v>0</v>
      </c>
      <c r="CD131" s="243">
        <f t="shared" ca="1" si="270"/>
        <v>0</v>
      </c>
      <c r="CE131" s="243">
        <f t="shared" ca="1" si="270"/>
        <v>0</v>
      </c>
      <c r="CF131" s="243">
        <f t="shared" ca="1" si="270"/>
        <v>0</v>
      </c>
      <c r="CG131" s="243">
        <f t="shared" ca="1" si="270"/>
        <v>0</v>
      </c>
      <c r="CH131" s="243">
        <f t="shared" ca="1" si="270"/>
        <v>0</v>
      </c>
      <c r="CI131" s="243">
        <f t="shared" ca="1" si="270"/>
        <v>0</v>
      </c>
      <c r="CJ131" s="243">
        <f t="shared" ca="1" si="270"/>
        <v>0</v>
      </c>
      <c r="CK131" s="243">
        <f t="shared" ca="1" si="270"/>
        <v>0</v>
      </c>
      <c r="CL131" s="243">
        <f t="shared" ca="1" si="270"/>
        <v>0</v>
      </c>
      <c r="CM131" s="243">
        <f t="shared" ca="1" si="270"/>
        <v>0</v>
      </c>
      <c r="CN131" s="243">
        <f t="shared" ca="1" si="270"/>
        <v>0</v>
      </c>
      <c r="CO131" s="243">
        <f t="shared" ca="1" si="270"/>
        <v>0</v>
      </c>
      <c r="CP131" s="243">
        <f t="shared" ca="1" si="270"/>
        <v>0</v>
      </c>
      <c r="CQ131" s="243">
        <f t="shared" ca="1" si="270"/>
        <v>0</v>
      </c>
      <c r="CR131" s="243">
        <f t="shared" ca="1" si="270"/>
        <v>0</v>
      </c>
      <c r="CS131" s="243">
        <f t="shared" ca="1" si="270"/>
        <v>0</v>
      </c>
      <c r="CT131" s="243">
        <f t="shared" ca="1" si="270"/>
        <v>0</v>
      </c>
      <c r="CU131" s="243">
        <f t="shared" ca="1" si="270"/>
        <v>0</v>
      </c>
      <c r="CV131" s="243">
        <f t="shared" ca="1" si="270"/>
        <v>0</v>
      </c>
      <c r="CW131" s="243">
        <f t="shared" ca="1" si="270"/>
        <v>0</v>
      </c>
      <c r="CX131" s="243">
        <f t="shared" ca="1" si="270"/>
        <v>0</v>
      </c>
      <c r="CY131" s="243">
        <f t="shared" ca="1" si="270"/>
        <v>0</v>
      </c>
      <c r="CZ131" s="243">
        <f t="shared" ca="1" si="270"/>
        <v>0</v>
      </c>
      <c r="DA131" s="243">
        <f t="shared" ca="1" si="270"/>
        <v>0</v>
      </c>
      <c r="DB131" s="243">
        <f t="shared" ca="1" si="270"/>
        <v>0</v>
      </c>
      <c r="DC131" s="243">
        <f t="shared" ca="1" si="270"/>
        <v>0</v>
      </c>
      <c r="DD131" s="243">
        <f t="shared" ca="1" si="270"/>
        <v>0</v>
      </c>
      <c r="DE131" s="243">
        <f t="shared" ca="1" si="270"/>
        <v>0</v>
      </c>
      <c r="DF131" s="243">
        <f t="shared" ca="1" si="270"/>
        <v>0</v>
      </c>
      <c r="DG131" s="243">
        <f t="shared" ca="1" si="270"/>
        <v>0</v>
      </c>
      <c r="DH131" s="243">
        <f t="shared" ca="1" si="270"/>
        <v>0</v>
      </c>
      <c r="DI131" s="243">
        <f t="shared" ca="1" si="270"/>
        <v>0</v>
      </c>
      <c r="DJ131" s="243">
        <f t="shared" ca="1" si="270"/>
        <v>0</v>
      </c>
      <c r="DK131" s="243">
        <f t="shared" ca="1" si="270"/>
        <v>0</v>
      </c>
      <c r="DL131" s="243">
        <f t="shared" ca="1" si="270"/>
        <v>0</v>
      </c>
      <c r="DM131" s="243">
        <f t="shared" ca="1" si="270"/>
        <v>0</v>
      </c>
      <c r="DN131" s="243">
        <f t="shared" ca="1" si="270"/>
        <v>0</v>
      </c>
      <c r="DO131" s="243">
        <f t="shared" ca="1" si="270"/>
        <v>0</v>
      </c>
      <c r="DP131" s="243">
        <f t="shared" ca="1" si="270"/>
        <v>0</v>
      </c>
      <c r="DQ131" s="243">
        <f t="shared" ca="1" si="270"/>
        <v>0</v>
      </c>
      <c r="DR131" s="243">
        <f t="shared" ca="1" si="270"/>
        <v>0</v>
      </c>
      <c r="DS131" s="243">
        <f t="shared" ca="1" si="270"/>
        <v>0</v>
      </c>
      <c r="DT131" s="243">
        <f t="shared" ca="1" si="270"/>
        <v>0</v>
      </c>
      <c r="DU131" s="243">
        <f t="shared" ca="1" si="270"/>
        <v>0</v>
      </c>
      <c r="DV131" s="243">
        <f t="shared" ca="1" si="270"/>
        <v>0</v>
      </c>
      <c r="DW131" s="243">
        <f t="shared" ca="1" si="270"/>
        <v>0</v>
      </c>
      <c r="DX131" s="243">
        <f t="shared" ca="1" si="270"/>
        <v>0</v>
      </c>
      <c r="DY131" s="243">
        <f t="shared" ca="1" si="270"/>
        <v>0</v>
      </c>
      <c r="DZ131" s="243">
        <f t="shared" ca="1" si="270"/>
        <v>0</v>
      </c>
      <c r="EA131" s="243">
        <f t="shared" ca="1" si="270"/>
        <v>0</v>
      </c>
      <c r="EB131" s="243">
        <f t="shared" ca="1" si="270"/>
        <v>0</v>
      </c>
      <c r="EC131" s="243">
        <f t="shared" ca="1" si="270"/>
        <v>0</v>
      </c>
      <c r="ED131" s="243">
        <f t="shared" ca="1" si="270"/>
        <v>0</v>
      </c>
      <c r="EE131" s="243">
        <f t="shared" ca="1" si="270"/>
        <v>0</v>
      </c>
      <c r="EF131" s="243">
        <f t="shared" ca="1" si="270"/>
        <v>0</v>
      </c>
      <c r="EG131" s="243">
        <f ca="1">MIN(-EG127,EG129)</f>
        <v>0</v>
      </c>
      <c r="EH131" s="243">
        <f ca="1">MIN(-EH127,EH129)</f>
        <v>0</v>
      </c>
      <c r="EI131" s="243">
        <f ca="1">MIN(-EI127,EI129)</f>
        <v>0</v>
      </c>
      <c r="EJ131" s="243">
        <f ca="1">MIN(-EJ127,EJ129)</f>
        <v>0</v>
      </c>
      <c r="FC131" s="182"/>
    </row>
    <row r="132" spans="2:159" outlineLevel="1" x14ac:dyDescent="0.4">
      <c r="B132" s="1" t="s">
        <v>99</v>
      </c>
      <c r="C132" s="22"/>
      <c r="H132" s="244">
        <f ca="1">SUM(H129:H131)</f>
        <v>907885.09888539417</v>
      </c>
      <c r="I132" s="244">
        <f ca="1">SUM(I129:I131)</f>
        <v>907885.09888539417</v>
      </c>
      <c r="J132" s="244">
        <f ca="1">SUM(J129:J131)</f>
        <v>907885.09888539417</v>
      </c>
      <c r="K132" s="244">
        <f t="shared" ref="K132:BV132" ca="1" si="271">SUM(K129:K131)</f>
        <v>907885.09888539417</v>
      </c>
      <c r="L132" s="244">
        <f t="shared" ca="1" si="271"/>
        <v>907885.09888539417</v>
      </c>
      <c r="M132" s="244">
        <f t="shared" ca="1" si="271"/>
        <v>907885.09888539417</v>
      </c>
      <c r="N132" s="244">
        <f t="shared" ca="1" si="271"/>
        <v>907885.09888539417</v>
      </c>
      <c r="O132" s="244">
        <f t="shared" ca="1" si="271"/>
        <v>907885.09888539417</v>
      </c>
      <c r="P132" s="244">
        <f t="shared" ca="1" si="271"/>
        <v>907885.09888539417</v>
      </c>
      <c r="Q132" s="244">
        <f t="shared" ca="1" si="271"/>
        <v>907885.09888539417</v>
      </c>
      <c r="R132" s="244">
        <f t="shared" ca="1" si="271"/>
        <v>907885.09888539417</v>
      </c>
      <c r="S132" s="244">
        <f t="shared" ca="1" si="271"/>
        <v>902425.15054810245</v>
      </c>
      <c r="T132" s="244">
        <f t="shared" ca="1" si="271"/>
        <v>883823.96789248672</v>
      </c>
      <c r="U132" s="244">
        <f t="shared" ca="1" si="271"/>
        <v>852272.04551526846</v>
      </c>
      <c r="V132" s="244">
        <f t="shared" ca="1" si="271"/>
        <v>812085.66172647849</v>
      </c>
      <c r="W132" s="244">
        <f t="shared" ca="1" si="271"/>
        <v>754696.05638021335</v>
      </c>
      <c r="X132" s="244">
        <f t="shared" ca="1" si="271"/>
        <v>686673.87448641809</v>
      </c>
      <c r="Y132" s="244">
        <f t="shared" ca="1" si="271"/>
        <v>603508.15832285513</v>
      </c>
      <c r="Z132" s="244">
        <f t="shared" ca="1" si="271"/>
        <v>510451.06189567514</v>
      </c>
      <c r="AA132" s="244">
        <f t="shared" ca="1" si="271"/>
        <v>401350.88738445437</v>
      </c>
      <c r="AB132" s="244">
        <f t="shared" ca="1" si="271"/>
        <v>279278.16543855151</v>
      </c>
      <c r="AC132" s="244">
        <f t="shared" ca="1" si="271"/>
        <v>148447.23299240178</v>
      </c>
      <c r="AD132" s="244">
        <f t="shared" ca="1" si="271"/>
        <v>0</v>
      </c>
      <c r="AE132" s="244">
        <f t="shared" ca="1" si="271"/>
        <v>0</v>
      </c>
      <c r="AF132" s="244">
        <f t="shared" ca="1" si="271"/>
        <v>0</v>
      </c>
      <c r="AG132" s="244">
        <f t="shared" ca="1" si="271"/>
        <v>0</v>
      </c>
      <c r="AH132" s="244">
        <f t="shared" ca="1" si="271"/>
        <v>0</v>
      </c>
      <c r="AI132" s="244">
        <f t="shared" ca="1" si="271"/>
        <v>0</v>
      </c>
      <c r="AJ132" s="244">
        <f t="shared" ca="1" si="271"/>
        <v>0</v>
      </c>
      <c r="AK132" s="244">
        <f t="shared" ca="1" si="271"/>
        <v>0</v>
      </c>
      <c r="AL132" s="244">
        <f t="shared" ca="1" si="271"/>
        <v>0</v>
      </c>
      <c r="AM132" s="244">
        <f t="shared" ca="1" si="271"/>
        <v>0</v>
      </c>
      <c r="AN132" s="244">
        <f t="shared" ca="1" si="271"/>
        <v>0</v>
      </c>
      <c r="AO132" s="244">
        <f t="shared" ca="1" si="271"/>
        <v>0</v>
      </c>
      <c r="AP132" s="244">
        <f t="shared" ca="1" si="271"/>
        <v>0</v>
      </c>
      <c r="AQ132" s="244">
        <f t="shared" ca="1" si="271"/>
        <v>0</v>
      </c>
      <c r="AR132" s="244">
        <f t="shared" ca="1" si="271"/>
        <v>0</v>
      </c>
      <c r="AS132" s="244">
        <f t="shared" ca="1" si="271"/>
        <v>0</v>
      </c>
      <c r="AT132" s="244">
        <f t="shared" ca="1" si="271"/>
        <v>0</v>
      </c>
      <c r="AU132" s="244">
        <f t="shared" ca="1" si="271"/>
        <v>0</v>
      </c>
      <c r="AV132" s="244">
        <f t="shared" ca="1" si="271"/>
        <v>0</v>
      </c>
      <c r="AW132" s="244">
        <f t="shared" ca="1" si="271"/>
        <v>0</v>
      </c>
      <c r="AX132" s="244">
        <f t="shared" ca="1" si="271"/>
        <v>0</v>
      </c>
      <c r="AY132" s="244">
        <f t="shared" ca="1" si="271"/>
        <v>0</v>
      </c>
      <c r="AZ132" s="244">
        <f t="shared" ca="1" si="271"/>
        <v>0</v>
      </c>
      <c r="BA132" s="244">
        <f t="shared" ca="1" si="271"/>
        <v>0</v>
      </c>
      <c r="BB132" s="244">
        <f t="shared" ca="1" si="271"/>
        <v>0</v>
      </c>
      <c r="BC132" s="244">
        <f t="shared" ca="1" si="271"/>
        <v>0</v>
      </c>
      <c r="BD132" s="244">
        <f t="shared" ca="1" si="271"/>
        <v>0</v>
      </c>
      <c r="BE132" s="244">
        <f t="shared" ca="1" si="271"/>
        <v>0</v>
      </c>
      <c r="BF132" s="244">
        <f t="shared" ca="1" si="271"/>
        <v>0</v>
      </c>
      <c r="BG132" s="244">
        <f t="shared" ca="1" si="271"/>
        <v>0</v>
      </c>
      <c r="BH132" s="244">
        <f t="shared" ca="1" si="271"/>
        <v>0</v>
      </c>
      <c r="BI132" s="244">
        <f t="shared" ca="1" si="271"/>
        <v>0</v>
      </c>
      <c r="BJ132" s="244">
        <f t="shared" ca="1" si="271"/>
        <v>0</v>
      </c>
      <c r="BK132" s="244">
        <f t="shared" ca="1" si="271"/>
        <v>0</v>
      </c>
      <c r="BL132" s="244">
        <f t="shared" ca="1" si="271"/>
        <v>0</v>
      </c>
      <c r="BM132" s="244">
        <f t="shared" ca="1" si="271"/>
        <v>0</v>
      </c>
      <c r="BN132" s="244">
        <f t="shared" ca="1" si="271"/>
        <v>0</v>
      </c>
      <c r="BO132" s="244">
        <f t="shared" ca="1" si="271"/>
        <v>0</v>
      </c>
      <c r="BP132" s="244">
        <f t="shared" ca="1" si="271"/>
        <v>0</v>
      </c>
      <c r="BQ132" s="244">
        <f t="shared" ca="1" si="271"/>
        <v>0</v>
      </c>
      <c r="BR132" s="244">
        <f t="shared" ca="1" si="271"/>
        <v>0</v>
      </c>
      <c r="BS132" s="244">
        <f t="shared" ca="1" si="271"/>
        <v>0</v>
      </c>
      <c r="BT132" s="244">
        <f t="shared" ca="1" si="271"/>
        <v>0</v>
      </c>
      <c r="BU132" s="244">
        <f t="shared" ca="1" si="271"/>
        <v>0</v>
      </c>
      <c r="BV132" s="244">
        <f t="shared" ca="1" si="271"/>
        <v>0</v>
      </c>
      <c r="BW132" s="244">
        <f t="shared" ref="BW132:EH132" ca="1" si="272">SUM(BW129:BW131)</f>
        <v>0</v>
      </c>
      <c r="BX132" s="244">
        <f t="shared" ca="1" si="272"/>
        <v>0</v>
      </c>
      <c r="BY132" s="244">
        <f t="shared" ca="1" si="272"/>
        <v>0</v>
      </c>
      <c r="BZ132" s="244">
        <f t="shared" ca="1" si="272"/>
        <v>0</v>
      </c>
      <c r="CA132" s="244">
        <f t="shared" ca="1" si="272"/>
        <v>0</v>
      </c>
      <c r="CB132" s="244">
        <f t="shared" ca="1" si="272"/>
        <v>0</v>
      </c>
      <c r="CC132" s="244">
        <f t="shared" ca="1" si="272"/>
        <v>0</v>
      </c>
      <c r="CD132" s="244">
        <f t="shared" ca="1" si="272"/>
        <v>0</v>
      </c>
      <c r="CE132" s="244">
        <f t="shared" ca="1" si="272"/>
        <v>0</v>
      </c>
      <c r="CF132" s="244">
        <f t="shared" ca="1" si="272"/>
        <v>0</v>
      </c>
      <c r="CG132" s="244">
        <f t="shared" ca="1" si="272"/>
        <v>0</v>
      </c>
      <c r="CH132" s="244">
        <f t="shared" ca="1" si="272"/>
        <v>0</v>
      </c>
      <c r="CI132" s="244">
        <f t="shared" ca="1" si="272"/>
        <v>0</v>
      </c>
      <c r="CJ132" s="244">
        <f t="shared" ca="1" si="272"/>
        <v>0</v>
      </c>
      <c r="CK132" s="244">
        <f t="shared" ca="1" si="272"/>
        <v>0</v>
      </c>
      <c r="CL132" s="244">
        <f t="shared" ca="1" si="272"/>
        <v>0</v>
      </c>
      <c r="CM132" s="244">
        <f t="shared" ca="1" si="272"/>
        <v>0</v>
      </c>
      <c r="CN132" s="244">
        <f t="shared" ca="1" si="272"/>
        <v>0</v>
      </c>
      <c r="CO132" s="244">
        <f t="shared" ca="1" si="272"/>
        <v>0</v>
      </c>
      <c r="CP132" s="244">
        <f t="shared" ca="1" si="272"/>
        <v>0</v>
      </c>
      <c r="CQ132" s="244">
        <f t="shared" ca="1" si="272"/>
        <v>0</v>
      </c>
      <c r="CR132" s="244">
        <f t="shared" ca="1" si="272"/>
        <v>0</v>
      </c>
      <c r="CS132" s="244">
        <f t="shared" ca="1" si="272"/>
        <v>0</v>
      </c>
      <c r="CT132" s="244">
        <f t="shared" ca="1" si="272"/>
        <v>0</v>
      </c>
      <c r="CU132" s="244">
        <f t="shared" ca="1" si="272"/>
        <v>0</v>
      </c>
      <c r="CV132" s="244">
        <f t="shared" ca="1" si="272"/>
        <v>0</v>
      </c>
      <c r="CW132" s="244">
        <f t="shared" ca="1" si="272"/>
        <v>0</v>
      </c>
      <c r="CX132" s="244">
        <f t="shared" ca="1" si="272"/>
        <v>0</v>
      </c>
      <c r="CY132" s="244">
        <f t="shared" ca="1" si="272"/>
        <v>0</v>
      </c>
      <c r="CZ132" s="244">
        <f t="shared" ca="1" si="272"/>
        <v>0</v>
      </c>
      <c r="DA132" s="244">
        <f t="shared" ca="1" si="272"/>
        <v>0</v>
      </c>
      <c r="DB132" s="244">
        <f t="shared" ca="1" si="272"/>
        <v>0</v>
      </c>
      <c r="DC132" s="244">
        <f t="shared" ca="1" si="272"/>
        <v>0</v>
      </c>
      <c r="DD132" s="244">
        <f t="shared" ca="1" si="272"/>
        <v>0</v>
      </c>
      <c r="DE132" s="244">
        <f t="shared" ca="1" si="272"/>
        <v>0</v>
      </c>
      <c r="DF132" s="244">
        <f t="shared" ca="1" si="272"/>
        <v>0</v>
      </c>
      <c r="DG132" s="244">
        <f t="shared" ca="1" si="272"/>
        <v>0</v>
      </c>
      <c r="DH132" s="244">
        <f t="shared" ca="1" si="272"/>
        <v>0</v>
      </c>
      <c r="DI132" s="244">
        <f t="shared" ca="1" si="272"/>
        <v>0</v>
      </c>
      <c r="DJ132" s="244">
        <f t="shared" ca="1" si="272"/>
        <v>0</v>
      </c>
      <c r="DK132" s="244">
        <f t="shared" ca="1" si="272"/>
        <v>0</v>
      </c>
      <c r="DL132" s="244">
        <f t="shared" ca="1" si="272"/>
        <v>0</v>
      </c>
      <c r="DM132" s="244">
        <f t="shared" ca="1" si="272"/>
        <v>0</v>
      </c>
      <c r="DN132" s="244">
        <f t="shared" ca="1" si="272"/>
        <v>0</v>
      </c>
      <c r="DO132" s="244">
        <f t="shared" ca="1" si="272"/>
        <v>0</v>
      </c>
      <c r="DP132" s="244">
        <f t="shared" ca="1" si="272"/>
        <v>0</v>
      </c>
      <c r="DQ132" s="244">
        <f t="shared" ca="1" si="272"/>
        <v>0</v>
      </c>
      <c r="DR132" s="244">
        <f t="shared" ca="1" si="272"/>
        <v>0</v>
      </c>
      <c r="DS132" s="244">
        <f t="shared" ca="1" si="272"/>
        <v>0</v>
      </c>
      <c r="DT132" s="244">
        <f t="shared" ca="1" si="272"/>
        <v>0</v>
      </c>
      <c r="DU132" s="244">
        <f t="shared" ca="1" si="272"/>
        <v>0</v>
      </c>
      <c r="DV132" s="244">
        <f t="shared" ca="1" si="272"/>
        <v>0</v>
      </c>
      <c r="DW132" s="244">
        <f t="shared" ca="1" si="272"/>
        <v>0</v>
      </c>
      <c r="DX132" s="244">
        <f t="shared" ca="1" si="272"/>
        <v>0</v>
      </c>
      <c r="DY132" s="244">
        <f t="shared" ca="1" si="272"/>
        <v>0</v>
      </c>
      <c r="DZ132" s="244">
        <f t="shared" ca="1" si="272"/>
        <v>0</v>
      </c>
      <c r="EA132" s="244">
        <f t="shared" ca="1" si="272"/>
        <v>0</v>
      </c>
      <c r="EB132" s="244">
        <f t="shared" ca="1" si="272"/>
        <v>0</v>
      </c>
      <c r="EC132" s="244">
        <f t="shared" ca="1" si="272"/>
        <v>0</v>
      </c>
      <c r="ED132" s="244">
        <f t="shared" ca="1" si="272"/>
        <v>0</v>
      </c>
      <c r="EE132" s="244">
        <f t="shared" ca="1" si="272"/>
        <v>0</v>
      </c>
      <c r="EF132" s="244">
        <f t="shared" ca="1" si="272"/>
        <v>0</v>
      </c>
      <c r="EG132" s="244">
        <f t="shared" ca="1" si="272"/>
        <v>0</v>
      </c>
      <c r="EH132" s="244">
        <f t="shared" ca="1" si="272"/>
        <v>0</v>
      </c>
      <c r="EI132" s="244">
        <f ca="1">SUM(EI129:EI131)</f>
        <v>0</v>
      </c>
      <c r="EJ132" s="244">
        <f ca="1">SUM(EJ129:EJ131)</f>
        <v>0</v>
      </c>
      <c r="FC132" s="182"/>
    </row>
    <row r="133" spans="2:159" outlineLevel="1" x14ac:dyDescent="0.4">
      <c r="C133" s="22"/>
      <c r="H133" s="15"/>
      <c r="FC133" s="182"/>
    </row>
    <row r="134" spans="2:159" outlineLevel="1" x14ac:dyDescent="0.4">
      <c r="B134" s="94" t="s">
        <v>295</v>
      </c>
      <c r="C134" s="22"/>
      <c r="H134" s="15"/>
      <c r="FC134" s="182"/>
    </row>
    <row r="135" spans="2:159" outlineLevel="1" x14ac:dyDescent="0.4">
      <c r="B135" s="1" t="s">
        <v>293</v>
      </c>
      <c r="E135" s="12"/>
      <c r="F135" s="266">
        <f>-SUM(H135:AS135)</f>
        <v>27814.900542396259</v>
      </c>
      <c r="G135" s="269"/>
      <c r="H135" s="244">
        <f t="shared" ref="H135:AS135" si="273">H80*(H80&lt;0)*(H$5&lt;$C$5)</f>
        <v>0</v>
      </c>
      <c r="I135" s="244">
        <f t="shared" si="273"/>
        <v>0</v>
      </c>
      <c r="J135" s="244">
        <f t="shared" si="273"/>
        <v>0</v>
      </c>
      <c r="K135" s="244">
        <f t="shared" si="273"/>
        <v>0</v>
      </c>
      <c r="L135" s="244">
        <f t="shared" si="273"/>
        <v>0</v>
      </c>
      <c r="M135" s="244">
        <f t="shared" si="273"/>
        <v>0</v>
      </c>
      <c r="N135" s="244">
        <f t="shared" si="273"/>
        <v>0</v>
      </c>
      <c r="O135" s="244">
        <f t="shared" si="273"/>
        <v>0</v>
      </c>
      <c r="P135" s="244">
        <f t="shared" si="273"/>
        <v>0</v>
      </c>
      <c r="Q135" s="244">
        <f t="shared" si="273"/>
        <v>0</v>
      </c>
      <c r="R135" s="244">
        <f t="shared" si="273"/>
        <v>0</v>
      </c>
      <c r="S135" s="244">
        <f t="shared" si="273"/>
        <v>0</v>
      </c>
      <c r="T135" s="244">
        <f t="shared" si="273"/>
        <v>0</v>
      </c>
      <c r="U135" s="244">
        <f t="shared" si="273"/>
        <v>0</v>
      </c>
      <c r="V135" s="244">
        <f t="shared" si="273"/>
        <v>0</v>
      </c>
      <c r="W135" s="244">
        <f t="shared" si="273"/>
        <v>0</v>
      </c>
      <c r="X135" s="244">
        <f t="shared" si="273"/>
        <v>0</v>
      </c>
      <c r="Y135" s="244">
        <f t="shared" si="273"/>
        <v>-27814.900542396259</v>
      </c>
      <c r="Z135" s="244">
        <f t="shared" si="273"/>
        <v>0</v>
      </c>
      <c r="AA135" s="244">
        <f t="shared" si="273"/>
        <v>0</v>
      </c>
      <c r="AB135" s="244">
        <f t="shared" si="273"/>
        <v>0</v>
      </c>
      <c r="AC135" s="244">
        <f t="shared" si="273"/>
        <v>0</v>
      </c>
      <c r="AD135" s="244">
        <f t="shared" si="273"/>
        <v>0</v>
      </c>
      <c r="AE135" s="244">
        <f t="shared" si="273"/>
        <v>0</v>
      </c>
      <c r="AF135" s="244">
        <f t="shared" si="273"/>
        <v>0</v>
      </c>
      <c r="AG135" s="244">
        <f t="shared" si="273"/>
        <v>0</v>
      </c>
      <c r="AH135" s="244">
        <f t="shared" si="273"/>
        <v>0</v>
      </c>
      <c r="AI135" s="244">
        <f t="shared" si="273"/>
        <v>0</v>
      </c>
      <c r="AJ135" s="244">
        <f t="shared" si="273"/>
        <v>0</v>
      </c>
      <c r="AK135" s="244">
        <f t="shared" si="273"/>
        <v>0</v>
      </c>
      <c r="AL135" s="244">
        <f t="shared" si="273"/>
        <v>0</v>
      </c>
      <c r="AM135" s="244">
        <f t="shared" si="273"/>
        <v>0</v>
      </c>
      <c r="AN135" s="244">
        <f t="shared" si="273"/>
        <v>0</v>
      </c>
      <c r="AO135" s="244">
        <f t="shared" si="273"/>
        <v>0</v>
      </c>
      <c r="AP135" s="244">
        <f t="shared" si="273"/>
        <v>0</v>
      </c>
      <c r="AQ135" s="244">
        <f t="shared" si="273"/>
        <v>0</v>
      </c>
      <c r="AR135" s="244">
        <f t="shared" si="273"/>
        <v>0</v>
      </c>
      <c r="AS135" s="244">
        <f t="shared" si="273"/>
        <v>0</v>
      </c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FC135" s="182"/>
    </row>
    <row r="136" spans="2:159" outlineLevel="1" x14ac:dyDescent="0.4">
      <c r="H136" s="15"/>
      <c r="FC136" s="182"/>
    </row>
    <row r="137" spans="2:159" outlineLevel="1" x14ac:dyDescent="0.4">
      <c r="B137" s="1" t="s">
        <v>95</v>
      </c>
      <c r="H137" s="270"/>
      <c r="I137" s="244">
        <f>H140</f>
        <v>27814.900542396259</v>
      </c>
      <c r="J137" s="244">
        <f>I140</f>
        <v>27814.900542396259</v>
      </c>
      <c r="K137" s="244">
        <f t="shared" ref="K137:BV137" si="274">J140</f>
        <v>27814.900542396259</v>
      </c>
      <c r="L137" s="244">
        <f t="shared" si="274"/>
        <v>27814.900542396259</v>
      </c>
      <c r="M137" s="244">
        <f t="shared" si="274"/>
        <v>27814.900542396259</v>
      </c>
      <c r="N137" s="244">
        <f t="shared" si="274"/>
        <v>27814.900542396259</v>
      </c>
      <c r="O137" s="244">
        <f t="shared" si="274"/>
        <v>27814.900542396259</v>
      </c>
      <c r="P137" s="244">
        <f t="shared" si="274"/>
        <v>27814.900542396259</v>
      </c>
      <c r="Q137" s="244">
        <f t="shared" si="274"/>
        <v>27814.900542396259</v>
      </c>
      <c r="R137" s="244">
        <f t="shared" si="274"/>
        <v>27814.900542396259</v>
      </c>
      <c r="S137" s="244">
        <f t="shared" si="274"/>
        <v>27814.900542396259</v>
      </c>
      <c r="T137" s="244">
        <f t="shared" si="274"/>
        <v>27814.900542396259</v>
      </c>
      <c r="U137" s="244">
        <f t="shared" si="274"/>
        <v>27814.900542396259</v>
      </c>
      <c r="V137" s="244">
        <f t="shared" si="274"/>
        <v>27814.900542396259</v>
      </c>
      <c r="W137" s="244">
        <f t="shared" si="274"/>
        <v>27814.900542396259</v>
      </c>
      <c r="X137" s="244">
        <f t="shared" si="274"/>
        <v>27814.900542396259</v>
      </c>
      <c r="Y137" s="244">
        <f t="shared" si="274"/>
        <v>27814.900542396259</v>
      </c>
      <c r="Z137" s="244">
        <f t="shared" si="274"/>
        <v>0</v>
      </c>
      <c r="AA137" s="244">
        <f t="shared" si="274"/>
        <v>0</v>
      </c>
      <c r="AB137" s="244">
        <f t="shared" si="274"/>
        <v>0</v>
      </c>
      <c r="AC137" s="244">
        <f t="shared" si="274"/>
        <v>0</v>
      </c>
      <c r="AD137" s="244">
        <f t="shared" si="274"/>
        <v>0</v>
      </c>
      <c r="AE137" s="244">
        <f t="shared" si="274"/>
        <v>0</v>
      </c>
      <c r="AF137" s="244">
        <f t="shared" si="274"/>
        <v>0</v>
      </c>
      <c r="AG137" s="244">
        <f t="shared" si="274"/>
        <v>0</v>
      </c>
      <c r="AH137" s="244">
        <f t="shared" si="274"/>
        <v>0</v>
      </c>
      <c r="AI137" s="244">
        <f t="shared" si="274"/>
        <v>0</v>
      </c>
      <c r="AJ137" s="244">
        <f t="shared" si="274"/>
        <v>0</v>
      </c>
      <c r="AK137" s="244">
        <f t="shared" si="274"/>
        <v>0</v>
      </c>
      <c r="AL137" s="244">
        <f t="shared" si="274"/>
        <v>0</v>
      </c>
      <c r="AM137" s="244">
        <f t="shared" si="274"/>
        <v>0</v>
      </c>
      <c r="AN137" s="244">
        <f t="shared" si="274"/>
        <v>0</v>
      </c>
      <c r="AO137" s="244">
        <f t="shared" si="274"/>
        <v>0</v>
      </c>
      <c r="AP137" s="244">
        <f t="shared" si="274"/>
        <v>0</v>
      </c>
      <c r="AQ137" s="244">
        <f t="shared" si="274"/>
        <v>0</v>
      </c>
      <c r="AR137" s="244">
        <f t="shared" si="274"/>
        <v>0</v>
      </c>
      <c r="AS137" s="244">
        <f t="shared" si="274"/>
        <v>0</v>
      </c>
      <c r="AT137" s="244">
        <f t="shared" si="274"/>
        <v>0</v>
      </c>
      <c r="AU137" s="244">
        <f t="shared" si="274"/>
        <v>0</v>
      </c>
      <c r="AV137" s="244">
        <f t="shared" si="274"/>
        <v>0</v>
      </c>
      <c r="AW137" s="244">
        <f t="shared" si="274"/>
        <v>0</v>
      </c>
      <c r="AX137" s="244">
        <f t="shared" si="274"/>
        <v>0</v>
      </c>
      <c r="AY137" s="244">
        <f t="shared" si="274"/>
        <v>0</v>
      </c>
      <c r="AZ137" s="244">
        <f t="shared" si="274"/>
        <v>0</v>
      </c>
      <c r="BA137" s="244">
        <f t="shared" si="274"/>
        <v>0</v>
      </c>
      <c r="BB137" s="244">
        <f t="shared" si="274"/>
        <v>0</v>
      </c>
      <c r="BC137" s="244">
        <f t="shared" si="274"/>
        <v>0</v>
      </c>
      <c r="BD137" s="244">
        <f t="shared" si="274"/>
        <v>0</v>
      </c>
      <c r="BE137" s="244">
        <f t="shared" si="274"/>
        <v>0</v>
      </c>
      <c r="BF137" s="244">
        <f t="shared" si="274"/>
        <v>0</v>
      </c>
      <c r="BG137" s="244">
        <f t="shared" si="274"/>
        <v>0</v>
      </c>
      <c r="BH137" s="244">
        <f t="shared" si="274"/>
        <v>0</v>
      </c>
      <c r="BI137" s="244">
        <f t="shared" si="274"/>
        <v>0</v>
      </c>
      <c r="BJ137" s="244">
        <f t="shared" si="274"/>
        <v>0</v>
      </c>
      <c r="BK137" s="244">
        <f t="shared" si="274"/>
        <v>0</v>
      </c>
      <c r="BL137" s="244">
        <f t="shared" si="274"/>
        <v>0</v>
      </c>
      <c r="BM137" s="244">
        <f t="shared" si="274"/>
        <v>0</v>
      </c>
      <c r="BN137" s="244">
        <f t="shared" si="274"/>
        <v>0</v>
      </c>
      <c r="BO137" s="244">
        <f t="shared" si="274"/>
        <v>0</v>
      </c>
      <c r="BP137" s="244">
        <f t="shared" si="274"/>
        <v>0</v>
      </c>
      <c r="BQ137" s="244">
        <f t="shared" si="274"/>
        <v>0</v>
      </c>
      <c r="BR137" s="244">
        <f t="shared" si="274"/>
        <v>0</v>
      </c>
      <c r="BS137" s="244">
        <f t="shared" si="274"/>
        <v>0</v>
      </c>
      <c r="BT137" s="244">
        <f t="shared" si="274"/>
        <v>0</v>
      </c>
      <c r="BU137" s="244">
        <f t="shared" si="274"/>
        <v>0</v>
      </c>
      <c r="BV137" s="244">
        <f t="shared" si="274"/>
        <v>0</v>
      </c>
      <c r="BW137" s="244">
        <f t="shared" ref="BW137:EH137" si="275">BV140</f>
        <v>0</v>
      </c>
      <c r="BX137" s="244">
        <f t="shared" si="275"/>
        <v>0</v>
      </c>
      <c r="BY137" s="244">
        <f t="shared" si="275"/>
        <v>0</v>
      </c>
      <c r="BZ137" s="244">
        <f t="shared" si="275"/>
        <v>0</v>
      </c>
      <c r="CA137" s="244">
        <f t="shared" si="275"/>
        <v>0</v>
      </c>
      <c r="CB137" s="244">
        <f t="shared" si="275"/>
        <v>0</v>
      </c>
      <c r="CC137" s="244">
        <f t="shared" si="275"/>
        <v>0</v>
      </c>
      <c r="CD137" s="244">
        <f t="shared" si="275"/>
        <v>0</v>
      </c>
      <c r="CE137" s="244">
        <f t="shared" si="275"/>
        <v>0</v>
      </c>
      <c r="CF137" s="244">
        <f t="shared" si="275"/>
        <v>0</v>
      </c>
      <c r="CG137" s="244">
        <f t="shared" si="275"/>
        <v>0</v>
      </c>
      <c r="CH137" s="244">
        <f t="shared" si="275"/>
        <v>0</v>
      </c>
      <c r="CI137" s="244">
        <f t="shared" si="275"/>
        <v>0</v>
      </c>
      <c r="CJ137" s="244">
        <f t="shared" si="275"/>
        <v>0</v>
      </c>
      <c r="CK137" s="244">
        <f t="shared" si="275"/>
        <v>0</v>
      </c>
      <c r="CL137" s="244">
        <f t="shared" si="275"/>
        <v>0</v>
      </c>
      <c r="CM137" s="244">
        <f t="shared" si="275"/>
        <v>0</v>
      </c>
      <c r="CN137" s="244">
        <f t="shared" si="275"/>
        <v>0</v>
      </c>
      <c r="CO137" s="244">
        <f t="shared" si="275"/>
        <v>0</v>
      </c>
      <c r="CP137" s="244">
        <f t="shared" si="275"/>
        <v>0</v>
      </c>
      <c r="CQ137" s="244">
        <f t="shared" si="275"/>
        <v>0</v>
      </c>
      <c r="CR137" s="244">
        <f t="shared" si="275"/>
        <v>0</v>
      </c>
      <c r="CS137" s="244">
        <f t="shared" si="275"/>
        <v>0</v>
      </c>
      <c r="CT137" s="244">
        <f t="shared" si="275"/>
        <v>0</v>
      </c>
      <c r="CU137" s="244">
        <f t="shared" si="275"/>
        <v>0</v>
      </c>
      <c r="CV137" s="244">
        <f t="shared" si="275"/>
        <v>0</v>
      </c>
      <c r="CW137" s="244">
        <f t="shared" si="275"/>
        <v>0</v>
      </c>
      <c r="CX137" s="244">
        <f t="shared" si="275"/>
        <v>0</v>
      </c>
      <c r="CY137" s="244">
        <f t="shared" si="275"/>
        <v>0</v>
      </c>
      <c r="CZ137" s="244">
        <f t="shared" si="275"/>
        <v>0</v>
      </c>
      <c r="DA137" s="244">
        <f t="shared" si="275"/>
        <v>0</v>
      </c>
      <c r="DB137" s="244">
        <f t="shared" si="275"/>
        <v>0</v>
      </c>
      <c r="DC137" s="244">
        <f t="shared" si="275"/>
        <v>0</v>
      </c>
      <c r="DD137" s="244">
        <f t="shared" si="275"/>
        <v>0</v>
      </c>
      <c r="DE137" s="244">
        <f t="shared" si="275"/>
        <v>0</v>
      </c>
      <c r="DF137" s="244">
        <f t="shared" si="275"/>
        <v>0</v>
      </c>
      <c r="DG137" s="244">
        <f t="shared" si="275"/>
        <v>0</v>
      </c>
      <c r="DH137" s="244">
        <f t="shared" si="275"/>
        <v>0</v>
      </c>
      <c r="DI137" s="244">
        <f t="shared" si="275"/>
        <v>0</v>
      </c>
      <c r="DJ137" s="244">
        <f t="shared" si="275"/>
        <v>0</v>
      </c>
      <c r="DK137" s="244">
        <f t="shared" si="275"/>
        <v>0</v>
      </c>
      <c r="DL137" s="244">
        <f t="shared" si="275"/>
        <v>0</v>
      </c>
      <c r="DM137" s="244">
        <f t="shared" si="275"/>
        <v>0</v>
      </c>
      <c r="DN137" s="244">
        <f t="shared" si="275"/>
        <v>0</v>
      </c>
      <c r="DO137" s="244">
        <f t="shared" si="275"/>
        <v>0</v>
      </c>
      <c r="DP137" s="244">
        <f t="shared" si="275"/>
        <v>0</v>
      </c>
      <c r="DQ137" s="244">
        <f t="shared" si="275"/>
        <v>0</v>
      </c>
      <c r="DR137" s="244">
        <f t="shared" si="275"/>
        <v>0</v>
      </c>
      <c r="DS137" s="244">
        <f t="shared" si="275"/>
        <v>0</v>
      </c>
      <c r="DT137" s="244">
        <f t="shared" si="275"/>
        <v>0</v>
      </c>
      <c r="DU137" s="244">
        <f t="shared" si="275"/>
        <v>0</v>
      </c>
      <c r="DV137" s="244">
        <f t="shared" si="275"/>
        <v>0</v>
      </c>
      <c r="DW137" s="244">
        <f t="shared" si="275"/>
        <v>0</v>
      </c>
      <c r="DX137" s="244">
        <f t="shared" si="275"/>
        <v>0</v>
      </c>
      <c r="DY137" s="244">
        <f t="shared" si="275"/>
        <v>0</v>
      </c>
      <c r="DZ137" s="244">
        <f t="shared" si="275"/>
        <v>0</v>
      </c>
      <c r="EA137" s="244">
        <f t="shared" si="275"/>
        <v>0</v>
      </c>
      <c r="EB137" s="244">
        <f t="shared" si="275"/>
        <v>0</v>
      </c>
      <c r="EC137" s="244">
        <f t="shared" si="275"/>
        <v>0</v>
      </c>
      <c r="ED137" s="244">
        <f t="shared" si="275"/>
        <v>0</v>
      </c>
      <c r="EE137" s="244">
        <f t="shared" si="275"/>
        <v>0</v>
      </c>
      <c r="EF137" s="244">
        <f t="shared" si="275"/>
        <v>0</v>
      </c>
      <c r="EG137" s="244">
        <f t="shared" si="275"/>
        <v>0</v>
      </c>
      <c r="EH137" s="244">
        <f t="shared" si="275"/>
        <v>0</v>
      </c>
      <c r="EI137" s="244">
        <f t="shared" ref="EI137:EJ137" si="276">EH140</f>
        <v>0</v>
      </c>
      <c r="EJ137" s="244">
        <f t="shared" si="276"/>
        <v>0</v>
      </c>
      <c r="EK137" s="244"/>
      <c r="EL137" s="244"/>
      <c r="EM137" s="244"/>
      <c r="EN137" s="244"/>
      <c r="EO137" s="244"/>
      <c r="EP137" s="244"/>
      <c r="EQ137" s="244"/>
      <c r="ER137" s="244"/>
      <c r="FC137" s="182"/>
    </row>
    <row r="138" spans="2:159" outlineLevel="1" x14ac:dyDescent="0.4">
      <c r="B138" s="60" t="s">
        <v>291</v>
      </c>
      <c r="H138" s="253">
        <f>'Development Budget'!E31</f>
        <v>27814.900542396259</v>
      </c>
      <c r="I138" s="272">
        <v>0</v>
      </c>
      <c r="J138" s="272">
        <f>I138</f>
        <v>0</v>
      </c>
      <c r="K138" s="272">
        <f t="shared" ref="K138:BV138" si="277">J138</f>
        <v>0</v>
      </c>
      <c r="L138" s="272">
        <f t="shared" si="277"/>
        <v>0</v>
      </c>
      <c r="M138" s="272">
        <f t="shared" si="277"/>
        <v>0</v>
      </c>
      <c r="N138" s="272">
        <f t="shared" si="277"/>
        <v>0</v>
      </c>
      <c r="O138" s="272">
        <f t="shared" si="277"/>
        <v>0</v>
      </c>
      <c r="P138" s="272">
        <f t="shared" si="277"/>
        <v>0</v>
      </c>
      <c r="Q138" s="272">
        <f t="shared" si="277"/>
        <v>0</v>
      </c>
      <c r="R138" s="272">
        <f t="shared" si="277"/>
        <v>0</v>
      </c>
      <c r="S138" s="272">
        <f t="shared" si="277"/>
        <v>0</v>
      </c>
      <c r="T138" s="272">
        <f t="shared" si="277"/>
        <v>0</v>
      </c>
      <c r="U138" s="272">
        <f t="shared" si="277"/>
        <v>0</v>
      </c>
      <c r="V138" s="272">
        <f t="shared" si="277"/>
        <v>0</v>
      </c>
      <c r="W138" s="272">
        <f t="shared" si="277"/>
        <v>0</v>
      </c>
      <c r="X138" s="272">
        <f t="shared" si="277"/>
        <v>0</v>
      </c>
      <c r="Y138" s="272">
        <f t="shared" si="277"/>
        <v>0</v>
      </c>
      <c r="Z138" s="272">
        <f t="shared" si="277"/>
        <v>0</v>
      </c>
      <c r="AA138" s="272">
        <f t="shared" si="277"/>
        <v>0</v>
      </c>
      <c r="AB138" s="272">
        <f t="shared" si="277"/>
        <v>0</v>
      </c>
      <c r="AC138" s="272">
        <f t="shared" si="277"/>
        <v>0</v>
      </c>
      <c r="AD138" s="272">
        <f t="shared" si="277"/>
        <v>0</v>
      </c>
      <c r="AE138" s="272">
        <f t="shared" si="277"/>
        <v>0</v>
      </c>
      <c r="AF138" s="272">
        <f t="shared" si="277"/>
        <v>0</v>
      </c>
      <c r="AG138" s="272">
        <f t="shared" si="277"/>
        <v>0</v>
      </c>
      <c r="AH138" s="272">
        <f t="shared" si="277"/>
        <v>0</v>
      </c>
      <c r="AI138" s="272">
        <f t="shared" si="277"/>
        <v>0</v>
      </c>
      <c r="AJ138" s="272">
        <f t="shared" si="277"/>
        <v>0</v>
      </c>
      <c r="AK138" s="272">
        <f t="shared" si="277"/>
        <v>0</v>
      </c>
      <c r="AL138" s="272">
        <f t="shared" si="277"/>
        <v>0</v>
      </c>
      <c r="AM138" s="272">
        <f t="shared" si="277"/>
        <v>0</v>
      </c>
      <c r="AN138" s="272">
        <f t="shared" si="277"/>
        <v>0</v>
      </c>
      <c r="AO138" s="272">
        <f t="shared" si="277"/>
        <v>0</v>
      </c>
      <c r="AP138" s="272">
        <f t="shared" si="277"/>
        <v>0</v>
      </c>
      <c r="AQ138" s="272">
        <f t="shared" si="277"/>
        <v>0</v>
      </c>
      <c r="AR138" s="272">
        <f t="shared" si="277"/>
        <v>0</v>
      </c>
      <c r="AS138" s="272">
        <f t="shared" si="277"/>
        <v>0</v>
      </c>
      <c r="AT138" s="272">
        <f t="shared" si="277"/>
        <v>0</v>
      </c>
      <c r="AU138" s="272">
        <f t="shared" si="277"/>
        <v>0</v>
      </c>
      <c r="AV138" s="272">
        <f t="shared" si="277"/>
        <v>0</v>
      </c>
      <c r="AW138" s="272">
        <f t="shared" si="277"/>
        <v>0</v>
      </c>
      <c r="AX138" s="272">
        <f t="shared" si="277"/>
        <v>0</v>
      </c>
      <c r="AY138" s="272">
        <f t="shared" si="277"/>
        <v>0</v>
      </c>
      <c r="AZ138" s="272">
        <f t="shared" si="277"/>
        <v>0</v>
      </c>
      <c r="BA138" s="272">
        <f t="shared" si="277"/>
        <v>0</v>
      </c>
      <c r="BB138" s="272">
        <f t="shared" si="277"/>
        <v>0</v>
      </c>
      <c r="BC138" s="272">
        <f t="shared" si="277"/>
        <v>0</v>
      </c>
      <c r="BD138" s="272">
        <f t="shared" si="277"/>
        <v>0</v>
      </c>
      <c r="BE138" s="272">
        <f t="shared" si="277"/>
        <v>0</v>
      </c>
      <c r="BF138" s="272">
        <f t="shared" si="277"/>
        <v>0</v>
      </c>
      <c r="BG138" s="272">
        <f t="shared" si="277"/>
        <v>0</v>
      </c>
      <c r="BH138" s="272">
        <f t="shared" si="277"/>
        <v>0</v>
      </c>
      <c r="BI138" s="272">
        <f t="shared" si="277"/>
        <v>0</v>
      </c>
      <c r="BJ138" s="272">
        <f t="shared" si="277"/>
        <v>0</v>
      </c>
      <c r="BK138" s="272">
        <f t="shared" si="277"/>
        <v>0</v>
      </c>
      <c r="BL138" s="272">
        <f t="shared" si="277"/>
        <v>0</v>
      </c>
      <c r="BM138" s="272">
        <f t="shared" si="277"/>
        <v>0</v>
      </c>
      <c r="BN138" s="272">
        <f t="shared" si="277"/>
        <v>0</v>
      </c>
      <c r="BO138" s="272">
        <f t="shared" si="277"/>
        <v>0</v>
      </c>
      <c r="BP138" s="272">
        <f t="shared" si="277"/>
        <v>0</v>
      </c>
      <c r="BQ138" s="272">
        <f t="shared" si="277"/>
        <v>0</v>
      </c>
      <c r="BR138" s="272">
        <f t="shared" si="277"/>
        <v>0</v>
      </c>
      <c r="BS138" s="272">
        <f t="shared" si="277"/>
        <v>0</v>
      </c>
      <c r="BT138" s="272">
        <f t="shared" si="277"/>
        <v>0</v>
      </c>
      <c r="BU138" s="272">
        <f t="shared" si="277"/>
        <v>0</v>
      </c>
      <c r="BV138" s="272">
        <f t="shared" si="277"/>
        <v>0</v>
      </c>
      <c r="BW138" s="272">
        <f t="shared" ref="BW138:EH138" si="278">BV138</f>
        <v>0</v>
      </c>
      <c r="BX138" s="272">
        <f t="shared" si="278"/>
        <v>0</v>
      </c>
      <c r="BY138" s="272">
        <f t="shared" si="278"/>
        <v>0</v>
      </c>
      <c r="BZ138" s="272">
        <f t="shared" si="278"/>
        <v>0</v>
      </c>
      <c r="CA138" s="272">
        <f t="shared" si="278"/>
        <v>0</v>
      </c>
      <c r="CB138" s="272">
        <f t="shared" si="278"/>
        <v>0</v>
      </c>
      <c r="CC138" s="272">
        <f t="shared" si="278"/>
        <v>0</v>
      </c>
      <c r="CD138" s="272">
        <f t="shared" si="278"/>
        <v>0</v>
      </c>
      <c r="CE138" s="272">
        <f t="shared" si="278"/>
        <v>0</v>
      </c>
      <c r="CF138" s="272">
        <f t="shared" si="278"/>
        <v>0</v>
      </c>
      <c r="CG138" s="272">
        <f t="shared" si="278"/>
        <v>0</v>
      </c>
      <c r="CH138" s="272">
        <f t="shared" si="278"/>
        <v>0</v>
      </c>
      <c r="CI138" s="272">
        <f t="shared" si="278"/>
        <v>0</v>
      </c>
      <c r="CJ138" s="272">
        <f t="shared" si="278"/>
        <v>0</v>
      </c>
      <c r="CK138" s="272">
        <f t="shared" si="278"/>
        <v>0</v>
      </c>
      <c r="CL138" s="272">
        <f t="shared" si="278"/>
        <v>0</v>
      </c>
      <c r="CM138" s="272">
        <f t="shared" si="278"/>
        <v>0</v>
      </c>
      <c r="CN138" s="272">
        <f t="shared" si="278"/>
        <v>0</v>
      </c>
      <c r="CO138" s="272">
        <f t="shared" si="278"/>
        <v>0</v>
      </c>
      <c r="CP138" s="272">
        <f t="shared" si="278"/>
        <v>0</v>
      </c>
      <c r="CQ138" s="272">
        <f t="shared" si="278"/>
        <v>0</v>
      </c>
      <c r="CR138" s="272">
        <f t="shared" si="278"/>
        <v>0</v>
      </c>
      <c r="CS138" s="272">
        <f t="shared" si="278"/>
        <v>0</v>
      </c>
      <c r="CT138" s="272">
        <f t="shared" si="278"/>
        <v>0</v>
      </c>
      <c r="CU138" s="272">
        <f t="shared" si="278"/>
        <v>0</v>
      </c>
      <c r="CV138" s="272">
        <f t="shared" si="278"/>
        <v>0</v>
      </c>
      <c r="CW138" s="272">
        <f t="shared" si="278"/>
        <v>0</v>
      </c>
      <c r="CX138" s="272">
        <f t="shared" si="278"/>
        <v>0</v>
      </c>
      <c r="CY138" s="272">
        <f t="shared" si="278"/>
        <v>0</v>
      </c>
      <c r="CZ138" s="272">
        <f t="shared" si="278"/>
        <v>0</v>
      </c>
      <c r="DA138" s="272">
        <f t="shared" si="278"/>
        <v>0</v>
      </c>
      <c r="DB138" s="272">
        <f t="shared" si="278"/>
        <v>0</v>
      </c>
      <c r="DC138" s="272">
        <f t="shared" si="278"/>
        <v>0</v>
      </c>
      <c r="DD138" s="272">
        <f t="shared" si="278"/>
        <v>0</v>
      </c>
      <c r="DE138" s="272">
        <f t="shared" si="278"/>
        <v>0</v>
      </c>
      <c r="DF138" s="272">
        <f t="shared" si="278"/>
        <v>0</v>
      </c>
      <c r="DG138" s="272">
        <f t="shared" si="278"/>
        <v>0</v>
      </c>
      <c r="DH138" s="272">
        <f t="shared" si="278"/>
        <v>0</v>
      </c>
      <c r="DI138" s="272">
        <f t="shared" si="278"/>
        <v>0</v>
      </c>
      <c r="DJ138" s="272">
        <f t="shared" si="278"/>
        <v>0</v>
      </c>
      <c r="DK138" s="272">
        <f t="shared" si="278"/>
        <v>0</v>
      </c>
      <c r="DL138" s="272">
        <f t="shared" si="278"/>
        <v>0</v>
      </c>
      <c r="DM138" s="272">
        <f t="shared" si="278"/>
        <v>0</v>
      </c>
      <c r="DN138" s="272">
        <f t="shared" si="278"/>
        <v>0</v>
      </c>
      <c r="DO138" s="272">
        <f t="shared" si="278"/>
        <v>0</v>
      </c>
      <c r="DP138" s="272">
        <f t="shared" si="278"/>
        <v>0</v>
      </c>
      <c r="DQ138" s="272">
        <f t="shared" si="278"/>
        <v>0</v>
      </c>
      <c r="DR138" s="272">
        <f t="shared" si="278"/>
        <v>0</v>
      </c>
      <c r="DS138" s="272">
        <f t="shared" si="278"/>
        <v>0</v>
      </c>
      <c r="DT138" s="272">
        <f t="shared" si="278"/>
        <v>0</v>
      </c>
      <c r="DU138" s="272">
        <f t="shared" si="278"/>
        <v>0</v>
      </c>
      <c r="DV138" s="272">
        <f t="shared" si="278"/>
        <v>0</v>
      </c>
      <c r="DW138" s="272">
        <f t="shared" si="278"/>
        <v>0</v>
      </c>
      <c r="DX138" s="272">
        <f t="shared" si="278"/>
        <v>0</v>
      </c>
      <c r="DY138" s="272">
        <f t="shared" si="278"/>
        <v>0</v>
      </c>
      <c r="DZ138" s="272">
        <f t="shared" si="278"/>
        <v>0</v>
      </c>
      <c r="EA138" s="272">
        <f t="shared" si="278"/>
        <v>0</v>
      </c>
      <c r="EB138" s="272">
        <f t="shared" si="278"/>
        <v>0</v>
      </c>
      <c r="EC138" s="272">
        <f t="shared" si="278"/>
        <v>0</v>
      </c>
      <c r="ED138" s="272">
        <f t="shared" si="278"/>
        <v>0</v>
      </c>
      <c r="EE138" s="272">
        <f t="shared" si="278"/>
        <v>0</v>
      </c>
      <c r="EF138" s="272">
        <f t="shared" si="278"/>
        <v>0</v>
      </c>
      <c r="EG138" s="272">
        <f t="shared" si="278"/>
        <v>0</v>
      </c>
      <c r="EH138" s="272">
        <f t="shared" si="278"/>
        <v>0</v>
      </c>
      <c r="EI138" s="272">
        <f t="shared" ref="EI138:EJ138" si="279">EH138</f>
        <v>0</v>
      </c>
      <c r="EJ138" s="272">
        <f t="shared" si="279"/>
        <v>0</v>
      </c>
      <c r="EK138" s="272"/>
      <c r="EL138" s="272"/>
      <c r="EM138" s="272"/>
      <c r="EN138" s="272"/>
      <c r="EO138" s="272"/>
      <c r="EP138" s="272"/>
      <c r="EQ138" s="272"/>
      <c r="ER138" s="272"/>
      <c r="FC138" s="182"/>
    </row>
    <row r="139" spans="2:159" outlineLevel="1" x14ac:dyDescent="0.4">
      <c r="B139" s="60" t="s">
        <v>289</v>
      </c>
      <c r="F139" s="266">
        <f>SUM(H139:AL139)</f>
        <v>-27814.900542396259</v>
      </c>
      <c r="G139" s="269"/>
      <c r="H139" s="243">
        <f>-MIN(-H135,H137)</f>
        <v>0</v>
      </c>
      <c r="I139" s="243">
        <f>-MIN(-I135,I137)</f>
        <v>0</v>
      </c>
      <c r="J139" s="243">
        <f>-MIN(-J135,J137)</f>
        <v>0</v>
      </c>
      <c r="K139" s="243">
        <f t="shared" ref="K139:BV139" si="280">-MIN(-K135,K137)</f>
        <v>0</v>
      </c>
      <c r="L139" s="243">
        <f t="shared" si="280"/>
        <v>0</v>
      </c>
      <c r="M139" s="243">
        <f t="shared" si="280"/>
        <v>0</v>
      </c>
      <c r="N139" s="243">
        <f t="shared" si="280"/>
        <v>0</v>
      </c>
      <c r="O139" s="243">
        <f t="shared" si="280"/>
        <v>0</v>
      </c>
      <c r="P139" s="243">
        <f t="shared" si="280"/>
        <v>0</v>
      </c>
      <c r="Q139" s="243">
        <f t="shared" si="280"/>
        <v>0</v>
      </c>
      <c r="R139" s="243">
        <f t="shared" si="280"/>
        <v>0</v>
      </c>
      <c r="S139" s="243">
        <f t="shared" si="280"/>
        <v>0</v>
      </c>
      <c r="T139" s="243">
        <f t="shared" si="280"/>
        <v>0</v>
      </c>
      <c r="U139" s="243">
        <f t="shared" si="280"/>
        <v>0</v>
      </c>
      <c r="V139" s="243">
        <f t="shared" si="280"/>
        <v>0</v>
      </c>
      <c r="W139" s="243">
        <f t="shared" si="280"/>
        <v>0</v>
      </c>
      <c r="X139" s="243">
        <f t="shared" si="280"/>
        <v>0</v>
      </c>
      <c r="Y139" s="243">
        <f t="shared" si="280"/>
        <v>-27814.900542396259</v>
      </c>
      <c r="Z139" s="243">
        <f t="shared" si="280"/>
        <v>0</v>
      </c>
      <c r="AA139" s="243">
        <f t="shared" si="280"/>
        <v>0</v>
      </c>
      <c r="AB139" s="243">
        <f t="shared" si="280"/>
        <v>0</v>
      </c>
      <c r="AC139" s="243">
        <f t="shared" si="280"/>
        <v>0</v>
      </c>
      <c r="AD139" s="243">
        <f t="shared" si="280"/>
        <v>0</v>
      </c>
      <c r="AE139" s="243">
        <f t="shared" si="280"/>
        <v>0</v>
      </c>
      <c r="AF139" s="243">
        <f t="shared" si="280"/>
        <v>0</v>
      </c>
      <c r="AG139" s="243">
        <f t="shared" si="280"/>
        <v>0</v>
      </c>
      <c r="AH139" s="243">
        <f t="shared" si="280"/>
        <v>0</v>
      </c>
      <c r="AI139" s="243">
        <f t="shared" si="280"/>
        <v>0</v>
      </c>
      <c r="AJ139" s="243">
        <f t="shared" si="280"/>
        <v>0</v>
      </c>
      <c r="AK139" s="243">
        <f t="shared" si="280"/>
        <v>0</v>
      </c>
      <c r="AL139" s="243">
        <f t="shared" si="280"/>
        <v>0</v>
      </c>
      <c r="AM139" s="243">
        <f t="shared" si="280"/>
        <v>0</v>
      </c>
      <c r="AN139" s="243">
        <f t="shared" si="280"/>
        <v>0</v>
      </c>
      <c r="AO139" s="243">
        <f t="shared" si="280"/>
        <v>0</v>
      </c>
      <c r="AP139" s="243">
        <f t="shared" si="280"/>
        <v>0</v>
      </c>
      <c r="AQ139" s="243">
        <f t="shared" si="280"/>
        <v>0</v>
      </c>
      <c r="AR139" s="243">
        <f t="shared" si="280"/>
        <v>0</v>
      </c>
      <c r="AS139" s="243">
        <f t="shared" si="280"/>
        <v>0</v>
      </c>
      <c r="AT139" s="243">
        <f t="shared" si="280"/>
        <v>0</v>
      </c>
      <c r="AU139" s="243">
        <f t="shared" si="280"/>
        <v>0</v>
      </c>
      <c r="AV139" s="243">
        <f t="shared" si="280"/>
        <v>0</v>
      </c>
      <c r="AW139" s="243">
        <f t="shared" si="280"/>
        <v>0</v>
      </c>
      <c r="AX139" s="243">
        <f t="shared" si="280"/>
        <v>0</v>
      </c>
      <c r="AY139" s="243">
        <f t="shared" si="280"/>
        <v>0</v>
      </c>
      <c r="AZ139" s="243">
        <f t="shared" si="280"/>
        <v>0</v>
      </c>
      <c r="BA139" s="243">
        <f t="shared" si="280"/>
        <v>0</v>
      </c>
      <c r="BB139" s="243">
        <f t="shared" si="280"/>
        <v>0</v>
      </c>
      <c r="BC139" s="243">
        <f t="shared" si="280"/>
        <v>0</v>
      </c>
      <c r="BD139" s="243">
        <f t="shared" si="280"/>
        <v>0</v>
      </c>
      <c r="BE139" s="243">
        <f t="shared" si="280"/>
        <v>0</v>
      </c>
      <c r="BF139" s="243">
        <f t="shared" si="280"/>
        <v>0</v>
      </c>
      <c r="BG139" s="243">
        <f t="shared" si="280"/>
        <v>0</v>
      </c>
      <c r="BH139" s="243">
        <f t="shared" si="280"/>
        <v>0</v>
      </c>
      <c r="BI139" s="243">
        <f t="shared" si="280"/>
        <v>0</v>
      </c>
      <c r="BJ139" s="243">
        <f t="shared" si="280"/>
        <v>0</v>
      </c>
      <c r="BK139" s="243">
        <f t="shared" si="280"/>
        <v>0</v>
      </c>
      <c r="BL139" s="243">
        <f t="shared" si="280"/>
        <v>0</v>
      </c>
      <c r="BM139" s="243">
        <f t="shared" si="280"/>
        <v>0</v>
      </c>
      <c r="BN139" s="243">
        <f t="shared" si="280"/>
        <v>0</v>
      </c>
      <c r="BO139" s="243">
        <f t="shared" si="280"/>
        <v>0</v>
      </c>
      <c r="BP139" s="243">
        <f t="shared" si="280"/>
        <v>0</v>
      </c>
      <c r="BQ139" s="243">
        <f t="shared" si="280"/>
        <v>0</v>
      </c>
      <c r="BR139" s="243">
        <f t="shared" si="280"/>
        <v>0</v>
      </c>
      <c r="BS139" s="243">
        <f t="shared" si="280"/>
        <v>0</v>
      </c>
      <c r="BT139" s="243">
        <f t="shared" si="280"/>
        <v>0</v>
      </c>
      <c r="BU139" s="243">
        <f t="shared" si="280"/>
        <v>0</v>
      </c>
      <c r="BV139" s="243">
        <f t="shared" si="280"/>
        <v>0</v>
      </c>
      <c r="BW139" s="243">
        <f t="shared" ref="BW139:EH139" si="281">-MIN(-BW135,BW137)</f>
        <v>0</v>
      </c>
      <c r="BX139" s="243">
        <f t="shared" si="281"/>
        <v>0</v>
      </c>
      <c r="BY139" s="243">
        <f t="shared" si="281"/>
        <v>0</v>
      </c>
      <c r="BZ139" s="243">
        <f t="shared" si="281"/>
        <v>0</v>
      </c>
      <c r="CA139" s="243">
        <f t="shared" si="281"/>
        <v>0</v>
      </c>
      <c r="CB139" s="243">
        <f t="shared" si="281"/>
        <v>0</v>
      </c>
      <c r="CC139" s="243">
        <f t="shared" si="281"/>
        <v>0</v>
      </c>
      <c r="CD139" s="243">
        <f t="shared" si="281"/>
        <v>0</v>
      </c>
      <c r="CE139" s="243">
        <f t="shared" si="281"/>
        <v>0</v>
      </c>
      <c r="CF139" s="243">
        <f t="shared" si="281"/>
        <v>0</v>
      </c>
      <c r="CG139" s="243">
        <f t="shared" si="281"/>
        <v>0</v>
      </c>
      <c r="CH139" s="243">
        <f t="shared" si="281"/>
        <v>0</v>
      </c>
      <c r="CI139" s="243">
        <f t="shared" si="281"/>
        <v>0</v>
      </c>
      <c r="CJ139" s="243">
        <f t="shared" si="281"/>
        <v>0</v>
      </c>
      <c r="CK139" s="243">
        <f t="shared" si="281"/>
        <v>0</v>
      </c>
      <c r="CL139" s="243">
        <f t="shared" si="281"/>
        <v>0</v>
      </c>
      <c r="CM139" s="243">
        <f t="shared" si="281"/>
        <v>0</v>
      </c>
      <c r="CN139" s="243">
        <f t="shared" si="281"/>
        <v>0</v>
      </c>
      <c r="CO139" s="243">
        <f t="shared" si="281"/>
        <v>0</v>
      </c>
      <c r="CP139" s="243">
        <f t="shared" si="281"/>
        <v>0</v>
      </c>
      <c r="CQ139" s="243">
        <f t="shared" si="281"/>
        <v>0</v>
      </c>
      <c r="CR139" s="243">
        <f t="shared" si="281"/>
        <v>0</v>
      </c>
      <c r="CS139" s="243">
        <f t="shared" si="281"/>
        <v>0</v>
      </c>
      <c r="CT139" s="243">
        <f t="shared" si="281"/>
        <v>0</v>
      </c>
      <c r="CU139" s="243">
        <f t="shared" si="281"/>
        <v>0</v>
      </c>
      <c r="CV139" s="243">
        <f t="shared" si="281"/>
        <v>0</v>
      </c>
      <c r="CW139" s="243">
        <f t="shared" si="281"/>
        <v>0</v>
      </c>
      <c r="CX139" s="243">
        <f t="shared" si="281"/>
        <v>0</v>
      </c>
      <c r="CY139" s="243">
        <f t="shared" si="281"/>
        <v>0</v>
      </c>
      <c r="CZ139" s="243">
        <f t="shared" si="281"/>
        <v>0</v>
      </c>
      <c r="DA139" s="243">
        <f t="shared" si="281"/>
        <v>0</v>
      </c>
      <c r="DB139" s="243">
        <f t="shared" si="281"/>
        <v>0</v>
      </c>
      <c r="DC139" s="243">
        <f t="shared" si="281"/>
        <v>0</v>
      </c>
      <c r="DD139" s="243">
        <f t="shared" si="281"/>
        <v>0</v>
      </c>
      <c r="DE139" s="243">
        <f t="shared" si="281"/>
        <v>0</v>
      </c>
      <c r="DF139" s="243">
        <f t="shared" si="281"/>
        <v>0</v>
      </c>
      <c r="DG139" s="243">
        <f t="shared" si="281"/>
        <v>0</v>
      </c>
      <c r="DH139" s="243">
        <f t="shared" si="281"/>
        <v>0</v>
      </c>
      <c r="DI139" s="243">
        <f t="shared" si="281"/>
        <v>0</v>
      </c>
      <c r="DJ139" s="243">
        <f t="shared" si="281"/>
        <v>0</v>
      </c>
      <c r="DK139" s="243">
        <f t="shared" si="281"/>
        <v>0</v>
      </c>
      <c r="DL139" s="243">
        <f t="shared" si="281"/>
        <v>0</v>
      </c>
      <c r="DM139" s="243">
        <f t="shared" si="281"/>
        <v>0</v>
      </c>
      <c r="DN139" s="243">
        <f t="shared" si="281"/>
        <v>0</v>
      </c>
      <c r="DO139" s="243">
        <f t="shared" si="281"/>
        <v>0</v>
      </c>
      <c r="DP139" s="243">
        <f t="shared" si="281"/>
        <v>0</v>
      </c>
      <c r="DQ139" s="243">
        <f t="shared" si="281"/>
        <v>0</v>
      </c>
      <c r="DR139" s="243">
        <f t="shared" si="281"/>
        <v>0</v>
      </c>
      <c r="DS139" s="243">
        <f t="shared" si="281"/>
        <v>0</v>
      </c>
      <c r="DT139" s="243">
        <f t="shared" si="281"/>
        <v>0</v>
      </c>
      <c r="DU139" s="243">
        <f t="shared" si="281"/>
        <v>0</v>
      </c>
      <c r="DV139" s="243">
        <f t="shared" si="281"/>
        <v>0</v>
      </c>
      <c r="DW139" s="243">
        <f t="shared" si="281"/>
        <v>0</v>
      </c>
      <c r="DX139" s="243">
        <f t="shared" si="281"/>
        <v>0</v>
      </c>
      <c r="DY139" s="243">
        <f t="shared" si="281"/>
        <v>0</v>
      </c>
      <c r="DZ139" s="243">
        <f t="shared" si="281"/>
        <v>0</v>
      </c>
      <c r="EA139" s="243">
        <f t="shared" si="281"/>
        <v>0</v>
      </c>
      <c r="EB139" s="243">
        <f t="shared" si="281"/>
        <v>0</v>
      </c>
      <c r="EC139" s="243">
        <f t="shared" si="281"/>
        <v>0</v>
      </c>
      <c r="ED139" s="243">
        <f t="shared" si="281"/>
        <v>0</v>
      </c>
      <c r="EE139" s="243">
        <f t="shared" si="281"/>
        <v>0</v>
      </c>
      <c r="EF139" s="243">
        <f t="shared" si="281"/>
        <v>0</v>
      </c>
      <c r="EG139" s="243">
        <f t="shared" si="281"/>
        <v>0</v>
      </c>
      <c r="EH139" s="243">
        <f t="shared" si="281"/>
        <v>0</v>
      </c>
      <c r="EI139" s="243">
        <f t="shared" ref="EI139:EJ139" si="282">-MIN(-EI135,EI137)</f>
        <v>0</v>
      </c>
      <c r="EJ139" s="243">
        <f t="shared" si="282"/>
        <v>0</v>
      </c>
      <c r="EK139" s="243"/>
      <c r="EL139" s="243"/>
      <c r="EM139" s="243"/>
      <c r="EN139" s="243"/>
      <c r="EO139" s="243"/>
      <c r="EP139" s="243"/>
      <c r="EQ139" s="243"/>
      <c r="ER139" s="243"/>
      <c r="FC139" s="182"/>
    </row>
    <row r="140" spans="2:159" outlineLevel="1" x14ac:dyDescent="0.4">
      <c r="B140" s="1" t="s">
        <v>99</v>
      </c>
      <c r="H140" s="244">
        <f t="shared" ref="H140:AM140" si="283">SUM(H137:H139)</f>
        <v>27814.900542396259</v>
      </c>
      <c r="I140" s="244">
        <f t="shared" si="283"/>
        <v>27814.900542396259</v>
      </c>
      <c r="J140" s="244">
        <f t="shared" si="283"/>
        <v>27814.900542396259</v>
      </c>
      <c r="K140" s="244">
        <f t="shared" si="283"/>
        <v>27814.900542396259</v>
      </c>
      <c r="L140" s="244">
        <f t="shared" si="283"/>
        <v>27814.900542396259</v>
      </c>
      <c r="M140" s="244">
        <f t="shared" si="283"/>
        <v>27814.900542396259</v>
      </c>
      <c r="N140" s="244">
        <f t="shared" si="283"/>
        <v>27814.900542396259</v>
      </c>
      <c r="O140" s="244">
        <f t="shared" si="283"/>
        <v>27814.900542396259</v>
      </c>
      <c r="P140" s="244">
        <f t="shared" si="283"/>
        <v>27814.900542396259</v>
      </c>
      <c r="Q140" s="244">
        <f t="shared" si="283"/>
        <v>27814.900542396259</v>
      </c>
      <c r="R140" s="244">
        <f t="shared" si="283"/>
        <v>27814.900542396259</v>
      </c>
      <c r="S140" s="244">
        <f t="shared" si="283"/>
        <v>27814.900542396259</v>
      </c>
      <c r="T140" s="244">
        <f t="shared" si="283"/>
        <v>27814.900542396259</v>
      </c>
      <c r="U140" s="244">
        <f t="shared" si="283"/>
        <v>27814.900542396259</v>
      </c>
      <c r="V140" s="244">
        <f t="shared" si="283"/>
        <v>27814.900542396259</v>
      </c>
      <c r="W140" s="244">
        <f t="shared" si="283"/>
        <v>27814.900542396259</v>
      </c>
      <c r="X140" s="244">
        <f t="shared" si="283"/>
        <v>27814.900542396259</v>
      </c>
      <c r="Y140" s="244">
        <f t="shared" si="283"/>
        <v>0</v>
      </c>
      <c r="Z140" s="244">
        <f t="shared" si="283"/>
        <v>0</v>
      </c>
      <c r="AA140" s="244">
        <f t="shared" si="283"/>
        <v>0</v>
      </c>
      <c r="AB140" s="244">
        <f t="shared" si="283"/>
        <v>0</v>
      </c>
      <c r="AC140" s="244">
        <f t="shared" si="283"/>
        <v>0</v>
      </c>
      <c r="AD140" s="244">
        <f t="shared" si="283"/>
        <v>0</v>
      </c>
      <c r="AE140" s="244">
        <f t="shared" si="283"/>
        <v>0</v>
      </c>
      <c r="AF140" s="244">
        <f t="shared" si="283"/>
        <v>0</v>
      </c>
      <c r="AG140" s="244">
        <f t="shared" si="283"/>
        <v>0</v>
      </c>
      <c r="AH140" s="244">
        <f t="shared" si="283"/>
        <v>0</v>
      </c>
      <c r="AI140" s="244">
        <f t="shared" si="283"/>
        <v>0</v>
      </c>
      <c r="AJ140" s="244">
        <f t="shared" si="283"/>
        <v>0</v>
      </c>
      <c r="AK140" s="244">
        <f t="shared" si="283"/>
        <v>0</v>
      </c>
      <c r="AL140" s="244">
        <f t="shared" si="283"/>
        <v>0</v>
      </c>
      <c r="AM140" s="244">
        <f t="shared" si="283"/>
        <v>0</v>
      </c>
      <c r="AN140" s="244">
        <f t="shared" ref="AN140:BS140" si="284">SUM(AN137:AN139)</f>
        <v>0</v>
      </c>
      <c r="AO140" s="244">
        <f t="shared" si="284"/>
        <v>0</v>
      </c>
      <c r="AP140" s="244">
        <f t="shared" si="284"/>
        <v>0</v>
      </c>
      <c r="AQ140" s="244">
        <f t="shared" si="284"/>
        <v>0</v>
      </c>
      <c r="AR140" s="244">
        <f t="shared" si="284"/>
        <v>0</v>
      </c>
      <c r="AS140" s="244">
        <f t="shared" si="284"/>
        <v>0</v>
      </c>
      <c r="AT140" s="244">
        <f t="shared" si="284"/>
        <v>0</v>
      </c>
      <c r="AU140" s="244">
        <f t="shared" si="284"/>
        <v>0</v>
      </c>
      <c r="AV140" s="244">
        <f t="shared" si="284"/>
        <v>0</v>
      </c>
      <c r="AW140" s="244">
        <f t="shared" si="284"/>
        <v>0</v>
      </c>
      <c r="AX140" s="244">
        <f t="shared" si="284"/>
        <v>0</v>
      </c>
      <c r="AY140" s="244">
        <f t="shared" si="284"/>
        <v>0</v>
      </c>
      <c r="AZ140" s="244">
        <f t="shared" si="284"/>
        <v>0</v>
      </c>
      <c r="BA140" s="244">
        <f t="shared" si="284"/>
        <v>0</v>
      </c>
      <c r="BB140" s="244">
        <f t="shared" si="284"/>
        <v>0</v>
      </c>
      <c r="BC140" s="244">
        <f t="shared" si="284"/>
        <v>0</v>
      </c>
      <c r="BD140" s="244">
        <f t="shared" si="284"/>
        <v>0</v>
      </c>
      <c r="BE140" s="244">
        <f t="shared" si="284"/>
        <v>0</v>
      </c>
      <c r="BF140" s="244">
        <f t="shared" si="284"/>
        <v>0</v>
      </c>
      <c r="BG140" s="244">
        <f t="shared" si="284"/>
        <v>0</v>
      </c>
      <c r="BH140" s="244">
        <f t="shared" si="284"/>
        <v>0</v>
      </c>
      <c r="BI140" s="244">
        <f t="shared" si="284"/>
        <v>0</v>
      </c>
      <c r="BJ140" s="244">
        <f t="shared" si="284"/>
        <v>0</v>
      </c>
      <c r="BK140" s="244">
        <f t="shared" si="284"/>
        <v>0</v>
      </c>
      <c r="BL140" s="244">
        <f t="shared" si="284"/>
        <v>0</v>
      </c>
      <c r="BM140" s="244">
        <f t="shared" si="284"/>
        <v>0</v>
      </c>
      <c r="BN140" s="244">
        <f t="shared" si="284"/>
        <v>0</v>
      </c>
      <c r="BO140" s="244">
        <f t="shared" si="284"/>
        <v>0</v>
      </c>
      <c r="BP140" s="244">
        <f t="shared" si="284"/>
        <v>0</v>
      </c>
      <c r="BQ140" s="244">
        <f t="shared" si="284"/>
        <v>0</v>
      </c>
      <c r="BR140" s="244">
        <f t="shared" si="284"/>
        <v>0</v>
      </c>
      <c r="BS140" s="244">
        <f t="shared" si="284"/>
        <v>0</v>
      </c>
      <c r="BT140" s="244">
        <f t="shared" ref="BT140:CY140" si="285">SUM(BT137:BT139)</f>
        <v>0</v>
      </c>
      <c r="BU140" s="244">
        <f t="shared" si="285"/>
        <v>0</v>
      </c>
      <c r="BV140" s="244">
        <f t="shared" si="285"/>
        <v>0</v>
      </c>
      <c r="BW140" s="244">
        <f t="shared" si="285"/>
        <v>0</v>
      </c>
      <c r="BX140" s="244">
        <f t="shared" si="285"/>
        <v>0</v>
      </c>
      <c r="BY140" s="244">
        <f t="shared" si="285"/>
        <v>0</v>
      </c>
      <c r="BZ140" s="244">
        <f t="shared" si="285"/>
        <v>0</v>
      </c>
      <c r="CA140" s="244">
        <f t="shared" si="285"/>
        <v>0</v>
      </c>
      <c r="CB140" s="244">
        <f t="shared" si="285"/>
        <v>0</v>
      </c>
      <c r="CC140" s="244">
        <f t="shared" si="285"/>
        <v>0</v>
      </c>
      <c r="CD140" s="244">
        <f t="shared" si="285"/>
        <v>0</v>
      </c>
      <c r="CE140" s="244">
        <f t="shared" si="285"/>
        <v>0</v>
      </c>
      <c r="CF140" s="244">
        <f t="shared" si="285"/>
        <v>0</v>
      </c>
      <c r="CG140" s="244">
        <f t="shared" si="285"/>
        <v>0</v>
      </c>
      <c r="CH140" s="244">
        <f t="shared" si="285"/>
        <v>0</v>
      </c>
      <c r="CI140" s="244">
        <f t="shared" si="285"/>
        <v>0</v>
      </c>
      <c r="CJ140" s="244">
        <f t="shared" si="285"/>
        <v>0</v>
      </c>
      <c r="CK140" s="244">
        <f t="shared" si="285"/>
        <v>0</v>
      </c>
      <c r="CL140" s="244">
        <f t="shared" si="285"/>
        <v>0</v>
      </c>
      <c r="CM140" s="244">
        <f t="shared" si="285"/>
        <v>0</v>
      </c>
      <c r="CN140" s="244">
        <f t="shared" si="285"/>
        <v>0</v>
      </c>
      <c r="CO140" s="244">
        <f t="shared" si="285"/>
        <v>0</v>
      </c>
      <c r="CP140" s="244">
        <f t="shared" si="285"/>
        <v>0</v>
      </c>
      <c r="CQ140" s="244">
        <f t="shared" si="285"/>
        <v>0</v>
      </c>
      <c r="CR140" s="244">
        <f t="shared" si="285"/>
        <v>0</v>
      </c>
      <c r="CS140" s="244">
        <f t="shared" si="285"/>
        <v>0</v>
      </c>
      <c r="CT140" s="244">
        <f t="shared" si="285"/>
        <v>0</v>
      </c>
      <c r="CU140" s="244">
        <f t="shared" si="285"/>
        <v>0</v>
      </c>
      <c r="CV140" s="244">
        <f t="shared" si="285"/>
        <v>0</v>
      </c>
      <c r="CW140" s="244">
        <f t="shared" si="285"/>
        <v>0</v>
      </c>
      <c r="CX140" s="244">
        <f t="shared" si="285"/>
        <v>0</v>
      </c>
      <c r="CY140" s="244">
        <f t="shared" si="285"/>
        <v>0</v>
      </c>
      <c r="CZ140" s="244">
        <f t="shared" ref="CZ140:EE140" si="286">SUM(CZ137:CZ139)</f>
        <v>0</v>
      </c>
      <c r="DA140" s="244">
        <f t="shared" si="286"/>
        <v>0</v>
      </c>
      <c r="DB140" s="244">
        <f t="shared" si="286"/>
        <v>0</v>
      </c>
      <c r="DC140" s="244">
        <f t="shared" si="286"/>
        <v>0</v>
      </c>
      <c r="DD140" s="244">
        <f t="shared" si="286"/>
        <v>0</v>
      </c>
      <c r="DE140" s="244">
        <f t="shared" si="286"/>
        <v>0</v>
      </c>
      <c r="DF140" s="244">
        <f t="shared" si="286"/>
        <v>0</v>
      </c>
      <c r="DG140" s="244">
        <f t="shared" si="286"/>
        <v>0</v>
      </c>
      <c r="DH140" s="244">
        <f t="shared" si="286"/>
        <v>0</v>
      </c>
      <c r="DI140" s="244">
        <f t="shared" si="286"/>
        <v>0</v>
      </c>
      <c r="DJ140" s="244">
        <f t="shared" si="286"/>
        <v>0</v>
      </c>
      <c r="DK140" s="244">
        <f t="shared" si="286"/>
        <v>0</v>
      </c>
      <c r="DL140" s="244">
        <f t="shared" si="286"/>
        <v>0</v>
      </c>
      <c r="DM140" s="244">
        <f t="shared" si="286"/>
        <v>0</v>
      </c>
      <c r="DN140" s="244">
        <f t="shared" si="286"/>
        <v>0</v>
      </c>
      <c r="DO140" s="244">
        <f t="shared" si="286"/>
        <v>0</v>
      </c>
      <c r="DP140" s="244">
        <f t="shared" si="286"/>
        <v>0</v>
      </c>
      <c r="DQ140" s="244">
        <f t="shared" si="286"/>
        <v>0</v>
      </c>
      <c r="DR140" s="244">
        <f t="shared" si="286"/>
        <v>0</v>
      </c>
      <c r="DS140" s="244">
        <f t="shared" si="286"/>
        <v>0</v>
      </c>
      <c r="DT140" s="244">
        <f t="shared" si="286"/>
        <v>0</v>
      </c>
      <c r="DU140" s="244">
        <f t="shared" si="286"/>
        <v>0</v>
      </c>
      <c r="DV140" s="244">
        <f t="shared" si="286"/>
        <v>0</v>
      </c>
      <c r="DW140" s="244">
        <f t="shared" si="286"/>
        <v>0</v>
      </c>
      <c r="DX140" s="244">
        <f t="shared" si="286"/>
        <v>0</v>
      </c>
      <c r="DY140" s="244">
        <f t="shared" si="286"/>
        <v>0</v>
      </c>
      <c r="DZ140" s="244">
        <f t="shared" si="286"/>
        <v>0</v>
      </c>
      <c r="EA140" s="244">
        <f t="shared" si="286"/>
        <v>0</v>
      </c>
      <c r="EB140" s="244">
        <f t="shared" si="286"/>
        <v>0</v>
      </c>
      <c r="EC140" s="244">
        <f t="shared" si="286"/>
        <v>0</v>
      </c>
      <c r="ED140" s="244">
        <f t="shared" si="286"/>
        <v>0</v>
      </c>
      <c r="EE140" s="244">
        <f t="shared" si="286"/>
        <v>0</v>
      </c>
      <c r="EF140" s="244">
        <f t="shared" ref="EF140:FK140" si="287">SUM(EF137:EF139)</f>
        <v>0</v>
      </c>
      <c r="EG140" s="244">
        <f t="shared" si="287"/>
        <v>0</v>
      </c>
      <c r="EH140" s="244">
        <f t="shared" si="287"/>
        <v>0</v>
      </c>
      <c r="EI140" s="244">
        <f t="shared" si="287"/>
        <v>0</v>
      </c>
      <c r="EJ140" s="244">
        <f t="shared" si="287"/>
        <v>0</v>
      </c>
      <c r="EK140" s="244"/>
      <c r="EL140" s="244"/>
      <c r="EM140" s="244"/>
      <c r="EN140" s="244"/>
      <c r="EO140" s="244"/>
      <c r="EP140" s="244"/>
      <c r="EQ140" s="244"/>
      <c r="ER140" s="244"/>
      <c r="FC140" s="182"/>
    </row>
    <row r="141" spans="2:159" outlineLevel="1" x14ac:dyDescent="0.4">
      <c r="H141" s="12"/>
      <c r="I141" s="12"/>
      <c r="J141" s="12"/>
      <c r="K141" s="12"/>
      <c r="L141" s="12"/>
      <c r="FC141" s="182"/>
    </row>
    <row r="142" spans="2:159" outlineLevel="1" x14ac:dyDescent="0.4">
      <c r="H142" s="15"/>
      <c r="FC142" s="182"/>
    </row>
    <row r="143" spans="2:159" x14ac:dyDescent="0.4">
      <c r="B143" s="10" t="s">
        <v>92</v>
      </c>
    </row>
    <row r="144" spans="2:159" x14ac:dyDescent="0.4">
      <c r="B144" s="1" t="s">
        <v>79</v>
      </c>
      <c r="F144" s="85"/>
      <c r="G144" s="85"/>
      <c r="H144" s="85"/>
      <c r="I144" s="85">
        <f>INDEX('Inputs &amp; Drivers'!$Q$7:$Q$127,MATCH(Model!I$6,'Inputs &amp; Drivers'!$P$7:$P$127))</f>
        <v>1.6266300000000001E-2</v>
      </c>
      <c r="J144" s="85">
        <f>INDEX('Inputs &amp; Drivers'!$Q$7:$Q$127,MATCH(Model!J$6,'Inputs &amp; Drivers'!$P$7:$P$127))</f>
        <v>1.5963999999999999E-2</v>
      </c>
      <c r="K144" s="85">
        <f>INDEX('Inputs &amp; Drivers'!$Q$7:$Q$127,MATCH(Model!K$6,'Inputs &amp; Drivers'!$P$7:$P$127))</f>
        <v>1.5610199999999999E-2</v>
      </c>
      <c r="L144" s="85">
        <f>INDEX('Inputs &amp; Drivers'!$Q$7:$Q$127,MATCH(Model!L$6,'Inputs &amp; Drivers'!$P$7:$P$127))</f>
        <v>1.5249199999999999E-2</v>
      </c>
      <c r="M144" s="85">
        <f>INDEX('Inputs &amp; Drivers'!$Q$7:$Q$127,MATCH(Model!M$6,'Inputs &amp; Drivers'!$P$7:$P$127))</f>
        <v>1.4936400000000001E-2</v>
      </c>
      <c r="N144" s="85">
        <f>INDEX('Inputs &amp; Drivers'!$Q$7:$Q$127,MATCH(Model!N$6,'Inputs &amp; Drivers'!$P$7:$P$127))</f>
        <v>1.4556899999999999E-2</v>
      </c>
      <c r="O144" s="85">
        <f>INDEX('Inputs &amp; Drivers'!$Q$7:$Q$127,MATCH(Model!O$6,'Inputs &amp; Drivers'!$P$7:$P$127))</f>
        <v>1.4193300000000001E-2</v>
      </c>
      <c r="P144" s="85">
        <f>INDEX('Inputs &amp; Drivers'!$Q$7:$Q$127,MATCH(Model!P$6,'Inputs &amp; Drivers'!$P$7:$P$127))</f>
        <v>1.38616E-2</v>
      </c>
      <c r="Q144" s="85">
        <f>INDEX('Inputs &amp; Drivers'!$Q$7:$Q$127,MATCH(Model!Q$6,'Inputs &amp; Drivers'!$P$7:$P$127))</f>
        <v>1.35342E-2</v>
      </c>
      <c r="R144" s="85">
        <f>INDEX('Inputs &amp; Drivers'!$Q$7:$Q$127,MATCH(Model!R$6,'Inputs &amp; Drivers'!$P$7:$P$127))</f>
        <v>1.32701E-2</v>
      </c>
      <c r="S144" s="85">
        <f>INDEX('Inputs &amp; Drivers'!$Q$7:$Q$127,MATCH(Model!S$6,'Inputs &amp; Drivers'!$P$7:$P$127))</f>
        <v>1.3059400000000001E-2</v>
      </c>
      <c r="T144" s="85">
        <f>INDEX('Inputs &amp; Drivers'!$Q$7:$Q$127,MATCH(Model!T$6,'Inputs &amp; Drivers'!$P$7:$P$127))</f>
        <v>1.28912E-2</v>
      </c>
      <c r="U144" s="85">
        <f>INDEX('Inputs &amp; Drivers'!$Q$7:$Q$127,MATCH(Model!U$6,'Inputs &amp; Drivers'!$P$7:$P$127))</f>
        <v>1.2766400000000001E-2</v>
      </c>
      <c r="V144" s="85">
        <f>INDEX('Inputs &amp; Drivers'!$Q$7:$Q$127,MATCH(Model!V$6,'Inputs &amp; Drivers'!$P$7:$P$127))</f>
        <v>1.26461E-2</v>
      </c>
      <c r="W144" s="85">
        <f>INDEX('Inputs &amp; Drivers'!$Q$7:$Q$127,MATCH(Model!W$6,'Inputs &amp; Drivers'!$P$7:$P$127))</f>
        <v>1.2515699999999999E-2</v>
      </c>
      <c r="X144" s="85">
        <f>INDEX('Inputs &amp; Drivers'!$Q$7:$Q$127,MATCH(Model!X$6,'Inputs &amp; Drivers'!$P$7:$P$127))</f>
        <v>1.2387799999999999E-2</v>
      </c>
      <c r="Y144" s="85">
        <f>INDEX('Inputs &amp; Drivers'!$Q$7:$Q$127,MATCH(Model!Y$6,'Inputs &amp; Drivers'!$P$7:$P$127))</f>
        <v>1.22618E-2</v>
      </c>
      <c r="Z144" s="85">
        <f>INDEX('Inputs &amp; Drivers'!$Q$7:$Q$127,MATCH(Model!Z$6,'Inputs &amp; Drivers'!$P$7:$P$127))</f>
        <v>1.2141900000000001E-2</v>
      </c>
      <c r="AA144" s="85">
        <f>INDEX('Inputs &amp; Drivers'!$Q$7:$Q$127,MATCH(Model!AA$6,'Inputs &amp; Drivers'!$P$7:$P$127))</f>
        <v>1.2059800000000001E-2</v>
      </c>
      <c r="AB144" s="85">
        <f>INDEX('Inputs &amp; Drivers'!$Q$7:$Q$127,MATCH(Model!AB$6,'Inputs &amp; Drivers'!$P$7:$P$127))</f>
        <v>1.1982400000000001E-2</v>
      </c>
      <c r="AC144" s="85">
        <f>INDEX('Inputs &amp; Drivers'!$Q$7:$Q$127,MATCH(Model!AC$6,'Inputs &amp; Drivers'!$P$7:$P$127))</f>
        <v>1.19528E-2</v>
      </c>
      <c r="AD144" s="85">
        <f>INDEX('Inputs &amp; Drivers'!$Q$7:$Q$127,MATCH(Model!AD$6,'Inputs &amp; Drivers'!$P$7:$P$127))</f>
        <v>1.19603E-2</v>
      </c>
      <c r="AE144" s="85">
        <f>INDEX('Inputs &amp; Drivers'!$Q$7:$Q$127,MATCH(Model!AE$6,'Inputs &amp; Drivers'!$P$7:$P$127))</f>
        <v>1.1979399999999999E-2</v>
      </c>
      <c r="AF144" s="85">
        <f>INDEX('Inputs &amp; Drivers'!$Q$7:$Q$127,MATCH(Model!AF$6,'Inputs &amp; Drivers'!$P$7:$P$127))</f>
        <v>1.20267E-2</v>
      </c>
      <c r="AG144" s="85">
        <f>INDEX('Inputs &amp; Drivers'!$Q$7:$Q$127,MATCH(Model!AG$6,'Inputs &amp; Drivers'!$P$7:$P$127))</f>
        <v>1.2083999999999999E-2</v>
      </c>
      <c r="AH144" s="85">
        <f>INDEX('Inputs &amp; Drivers'!$Q$7:$Q$127,MATCH(Model!AH$6,'Inputs &amp; Drivers'!$P$7:$P$127))</f>
        <v>1.2124899999999999E-2</v>
      </c>
      <c r="AI144" s="85">
        <f>INDEX('Inputs &amp; Drivers'!$Q$7:$Q$127,MATCH(Model!AI$6,'Inputs &amp; Drivers'!$P$7:$P$127))</f>
        <v>1.2174000000000001E-2</v>
      </c>
      <c r="AJ144" s="85">
        <f>INDEX('Inputs &amp; Drivers'!$Q$7:$Q$127,MATCH(Model!AJ$6,'Inputs &amp; Drivers'!$P$7:$P$127))</f>
        <v>1.22224E-2</v>
      </c>
      <c r="AK144" s="85">
        <f>INDEX('Inputs &amp; Drivers'!$Q$7:$Q$127,MATCH(Model!AK$6,'Inputs &amp; Drivers'!$P$7:$P$127))</f>
        <v>1.2254900000000001E-2</v>
      </c>
      <c r="AL144" s="85">
        <f>INDEX('Inputs &amp; Drivers'!$Q$7:$Q$127,MATCH(Model!AL$6,'Inputs &amp; Drivers'!$P$7:$P$127))</f>
        <v>1.22909E-2</v>
      </c>
      <c r="AM144" s="85">
        <f>INDEX('Inputs &amp; Drivers'!$Q$7:$Q$127,MATCH(Model!AM$6,'Inputs &amp; Drivers'!$P$7:$P$127))</f>
        <v>1.23245E-2</v>
      </c>
      <c r="AN144" s="85">
        <f>INDEX('Inputs &amp; Drivers'!$Q$7:$Q$127,MATCH(Model!AN$6,'Inputs &amp; Drivers'!$P$7:$P$127))</f>
        <v>1.2345099999999999E-2</v>
      </c>
      <c r="AO144" s="85">
        <f>INDEX('Inputs &amp; Drivers'!$Q$7:$Q$127,MATCH(Model!AO$6,'Inputs &amp; Drivers'!$P$7:$P$127))</f>
        <v>1.2371800000000001E-2</v>
      </c>
      <c r="AP144" s="85">
        <f>INDEX('Inputs &amp; Drivers'!$Q$7:$Q$127,MATCH(Model!AP$6,'Inputs &amp; Drivers'!$P$7:$P$127))</f>
        <v>1.24011E-2</v>
      </c>
      <c r="AQ144" s="85">
        <f>INDEX('Inputs &amp; Drivers'!$Q$7:$Q$127,MATCH(Model!AQ$6,'Inputs &amp; Drivers'!$P$7:$P$127))</f>
        <v>1.24186E-2</v>
      </c>
      <c r="AR144" s="85">
        <f>INDEX('Inputs &amp; Drivers'!$Q$7:$Q$127,MATCH(Model!AR$6,'Inputs &amp; Drivers'!$P$7:$P$127))</f>
        <v>1.2442399999999999E-2</v>
      </c>
      <c r="AS144" s="85">
        <f>INDEX('Inputs &amp; Drivers'!$Q$7:$Q$127,MATCH(Model!AS$6,'Inputs &amp; Drivers'!$P$7:$P$127))</f>
        <v>1.2476599999999999E-2</v>
      </c>
      <c r="AT144" s="85">
        <f>INDEX('Inputs &amp; Drivers'!$Q$7:$Q$127,MATCH(Model!AT$6,'Inputs &amp; Drivers'!$P$7:$P$127))</f>
        <v>1.24993E-2</v>
      </c>
      <c r="AU144" s="85">
        <f>INDEX('Inputs &amp; Drivers'!$Q$7:$Q$127,MATCH(Model!AU$6,'Inputs &amp; Drivers'!$P$7:$P$127))</f>
        <v>1.2534099999999999E-2</v>
      </c>
      <c r="AV144" s="85">
        <f>INDEX('Inputs &amp; Drivers'!$Q$7:$Q$127,MATCH(Model!AV$6,'Inputs &amp; Drivers'!$P$7:$P$127))</f>
        <v>1.25729E-2</v>
      </c>
      <c r="AW144" s="85">
        <f>INDEX('Inputs &amp; Drivers'!$Q$7:$Q$127,MATCH(Model!AW$6,'Inputs &amp; Drivers'!$P$7:$P$127))</f>
        <v>1.2604300000000001E-2</v>
      </c>
      <c r="AX144" s="85">
        <f>INDEX('Inputs &amp; Drivers'!$Q$7:$Q$127,MATCH(Model!AX$6,'Inputs &amp; Drivers'!$P$7:$P$127))</f>
        <v>1.2647200000000001E-2</v>
      </c>
      <c r="AY144" s="85">
        <f>INDEX('Inputs &amp; Drivers'!$Q$7:$Q$127,MATCH(Model!AY$6,'Inputs &amp; Drivers'!$P$7:$P$127))</f>
        <v>1.26952E-2</v>
      </c>
      <c r="AZ144" s="85">
        <f>INDEX('Inputs &amp; Drivers'!$Q$7:$Q$127,MATCH(Model!AZ$6,'Inputs &amp; Drivers'!$P$7:$P$127))</f>
        <v>1.27308E-2</v>
      </c>
      <c r="BA144" s="85">
        <f>INDEX('Inputs &amp; Drivers'!$Q$7:$Q$127,MATCH(Model!BA$6,'Inputs &amp; Drivers'!$P$7:$P$127))</f>
        <v>1.27724E-2</v>
      </c>
      <c r="BB144" s="85">
        <f>INDEX('Inputs &amp; Drivers'!$Q$7:$Q$127,MATCH(Model!BB$6,'Inputs &amp; Drivers'!$P$7:$P$127))</f>
        <v>1.2825899999999999E-2</v>
      </c>
      <c r="BC144" s="85">
        <f>INDEX('Inputs &amp; Drivers'!$Q$7:$Q$127,MATCH(Model!BC$6,'Inputs &amp; Drivers'!$P$7:$P$127))</f>
        <v>1.2863299999999999E-2</v>
      </c>
      <c r="BD144" s="85">
        <f>INDEX('Inputs &amp; Drivers'!$Q$7:$Q$127,MATCH(Model!BD$6,'Inputs &amp; Drivers'!$P$7:$P$127))</f>
        <v>1.2903400000000001E-2</v>
      </c>
      <c r="BE144" s="85">
        <f>INDEX('Inputs &amp; Drivers'!$Q$7:$Q$127,MATCH(Model!BE$6,'Inputs &amp; Drivers'!$P$7:$P$127))</f>
        <v>1.29587E-2</v>
      </c>
      <c r="BF144" s="85">
        <f>INDEX('Inputs &amp; Drivers'!$Q$7:$Q$127,MATCH(Model!BF$6,'Inputs &amp; Drivers'!$P$7:$P$127))</f>
        <v>1.30048E-2</v>
      </c>
      <c r="BG144" s="85">
        <f>INDEX('Inputs &amp; Drivers'!$Q$7:$Q$127,MATCH(Model!BG$6,'Inputs &amp; Drivers'!$P$7:$P$127))</f>
        <v>1.30543E-2</v>
      </c>
      <c r="BH144" s="85">
        <f>INDEX('Inputs &amp; Drivers'!$Q$7:$Q$127,MATCH(Model!BH$6,'Inputs &amp; Drivers'!$P$7:$P$127))</f>
        <v>1.3128300000000001E-2</v>
      </c>
      <c r="BI144" s="85">
        <f>INDEX('Inputs &amp; Drivers'!$Q$7:$Q$127,MATCH(Model!BI$6,'Inputs &amp; Drivers'!$P$7:$P$127))</f>
        <v>1.31903E-2</v>
      </c>
      <c r="BJ144" s="85">
        <f>INDEX('Inputs &amp; Drivers'!$Q$7:$Q$127,MATCH(Model!BJ$6,'Inputs &amp; Drivers'!$P$7:$P$127))</f>
        <v>1.3255299999999999E-2</v>
      </c>
      <c r="BK144" s="85">
        <f>INDEX('Inputs &amp; Drivers'!$Q$7:$Q$127,MATCH(Model!BK$6,'Inputs &amp; Drivers'!$P$7:$P$127))</f>
        <v>1.3341199999999999E-2</v>
      </c>
      <c r="BL144" s="85">
        <f>INDEX('Inputs &amp; Drivers'!$Q$7:$Q$127,MATCH(Model!BL$6,'Inputs &amp; Drivers'!$P$7:$P$127))</f>
        <v>1.34138E-2</v>
      </c>
      <c r="BM144" s="85">
        <f>INDEX('Inputs &amp; Drivers'!$Q$7:$Q$127,MATCH(Model!BM$6,'Inputs &amp; Drivers'!$P$7:$P$127))</f>
        <v>1.34936E-2</v>
      </c>
      <c r="BN144" s="85">
        <f>INDEX('Inputs &amp; Drivers'!$Q$7:$Q$127,MATCH(Model!BN$6,'Inputs &amp; Drivers'!$P$7:$P$127))</f>
        <v>1.35849E-2</v>
      </c>
      <c r="BO144" s="85">
        <f>INDEX('Inputs &amp; Drivers'!$Q$7:$Q$127,MATCH(Model!BO$6,'Inputs &amp; Drivers'!$P$7:$P$127))</f>
        <v>1.3657300000000001E-2</v>
      </c>
      <c r="BP144" s="85">
        <f>INDEX('Inputs &amp; Drivers'!$Q$7:$Q$127,MATCH(Model!BP$6,'Inputs &amp; Drivers'!$P$7:$P$127))</f>
        <v>1.37494E-2</v>
      </c>
      <c r="BQ144" s="85">
        <f>INDEX('Inputs &amp; Drivers'!$Q$7:$Q$127,MATCH(Model!BQ$6,'Inputs &amp; Drivers'!$P$7:$P$127))</f>
        <v>1.3839199999999999E-2</v>
      </c>
      <c r="BR144" s="85">
        <f>INDEX('Inputs &amp; Drivers'!$Q$7:$Q$127,MATCH(Model!BR$6,'Inputs &amp; Drivers'!$P$7:$P$127))</f>
        <v>1.39057E-2</v>
      </c>
      <c r="BS144" s="85">
        <f>INDEX('Inputs &amp; Drivers'!$Q$7:$Q$127,MATCH(Model!BS$6,'Inputs &amp; Drivers'!$P$7:$P$127))</f>
        <v>1.39878E-2</v>
      </c>
      <c r="BT144" s="85">
        <f>INDEX('Inputs &amp; Drivers'!$Q$7:$Q$127,MATCH(Model!BT$6,'Inputs &amp; Drivers'!$P$7:$P$127))</f>
        <v>1.4070600000000001E-2</v>
      </c>
      <c r="BU144" s="85">
        <f>INDEX('Inputs &amp; Drivers'!$Q$7:$Q$127,MATCH(Model!BU$6,'Inputs &amp; Drivers'!$P$7:$P$127))</f>
        <v>1.41327E-2</v>
      </c>
      <c r="BV144" s="85">
        <f>INDEX('Inputs &amp; Drivers'!$Q$7:$Q$127,MATCH(Model!BV$6,'Inputs &amp; Drivers'!$P$7:$P$127))</f>
        <v>1.41966E-2</v>
      </c>
      <c r="BW144" s="85">
        <f>INDEX('Inputs &amp; Drivers'!$Q$7:$Q$127,MATCH(Model!BW$6,'Inputs &amp; Drivers'!$P$7:$P$127))</f>
        <v>1.42705E-2</v>
      </c>
      <c r="BX144" s="85">
        <f>INDEX('Inputs &amp; Drivers'!$Q$7:$Q$127,MATCH(Model!BX$6,'Inputs &amp; Drivers'!$P$7:$P$127))</f>
        <v>1.43158E-2</v>
      </c>
      <c r="BY144" s="85">
        <f>INDEX('Inputs &amp; Drivers'!$Q$7:$Q$127,MATCH(Model!BY$6,'Inputs &amp; Drivers'!$P$7:$P$127))</f>
        <v>1.4377600000000001E-2</v>
      </c>
      <c r="BZ144" s="85">
        <f>INDEX('Inputs &amp; Drivers'!$Q$7:$Q$127,MATCH(Model!BZ$6,'Inputs &amp; Drivers'!$P$7:$P$127))</f>
        <v>1.44425E-2</v>
      </c>
      <c r="CA144" s="85">
        <f>INDEX('Inputs &amp; Drivers'!$Q$7:$Q$127,MATCH(Model!CA$6,'Inputs &amp; Drivers'!$P$7:$P$127))</f>
        <v>1.4482699999999999E-2</v>
      </c>
      <c r="CB144" s="85">
        <f>INDEX('Inputs &amp; Drivers'!$Q$7:$Q$127,MATCH(Model!CB$6,'Inputs &amp; Drivers'!$P$7:$P$127))</f>
        <v>1.4535899999999999E-2</v>
      </c>
      <c r="CC144" s="85">
        <f>INDEX('Inputs &amp; Drivers'!$Q$7:$Q$127,MATCH(Model!CC$6,'Inputs &amp; Drivers'!$P$7:$P$127))</f>
        <v>1.4591700000000001E-2</v>
      </c>
      <c r="CD144" s="85">
        <f>INDEX('Inputs &amp; Drivers'!$Q$7:$Q$127,MATCH(Model!CD$6,'Inputs &amp; Drivers'!$P$7:$P$127))</f>
        <v>1.46295E-2</v>
      </c>
      <c r="CE144" s="85">
        <f>INDEX('Inputs &amp; Drivers'!$Q$7:$Q$127,MATCH(Model!CE$6,'Inputs &amp; Drivers'!$P$7:$P$127))</f>
        <v>1.46818E-2</v>
      </c>
      <c r="CF144" s="85">
        <f>INDEX('Inputs &amp; Drivers'!$Q$7:$Q$127,MATCH(Model!CF$6,'Inputs &amp; Drivers'!$P$7:$P$127))</f>
        <v>1.4741799999999999E-2</v>
      </c>
      <c r="CG144" s="85">
        <f>INDEX('Inputs &amp; Drivers'!$Q$7:$Q$127,MATCH(Model!CG$6,'Inputs &amp; Drivers'!$P$7:$P$127))</f>
        <v>1.47793E-2</v>
      </c>
      <c r="CH144" s="85">
        <f>INDEX('Inputs &amp; Drivers'!$Q$7:$Q$127,MATCH(Model!CH$6,'Inputs &amp; Drivers'!$P$7:$P$127))</f>
        <v>1.48361E-2</v>
      </c>
      <c r="CI144" s="85">
        <f>INDEX('Inputs &amp; Drivers'!$Q$7:$Q$127,MATCH(Model!CI$6,'Inputs &amp; Drivers'!$P$7:$P$127))</f>
        <v>1.48997E-2</v>
      </c>
      <c r="CJ144" s="85">
        <f>INDEX('Inputs &amp; Drivers'!$Q$7:$Q$127,MATCH(Model!CJ$6,'Inputs &amp; Drivers'!$P$7:$P$127))</f>
        <v>1.49441E-2</v>
      </c>
      <c r="CK144" s="85">
        <f>INDEX('Inputs &amp; Drivers'!$Q$7:$Q$127,MATCH(Model!CK$6,'Inputs &amp; Drivers'!$P$7:$P$127))</f>
        <v>1.5003300000000001E-2</v>
      </c>
      <c r="CL144" s="85">
        <f>INDEX('Inputs &amp; Drivers'!$Q$7:$Q$127,MATCH(Model!CL$6,'Inputs &amp; Drivers'!$P$7:$P$127))</f>
        <v>1.5069600000000001E-2</v>
      </c>
      <c r="CM144" s="85">
        <f>INDEX('Inputs &amp; Drivers'!$Q$7:$Q$127,MATCH(Model!CM$6,'Inputs &amp; Drivers'!$P$7:$P$127))</f>
        <v>1.51176E-2</v>
      </c>
      <c r="CN144" s="85">
        <f>INDEX('Inputs &amp; Drivers'!$Q$7:$Q$127,MATCH(Model!CN$6,'Inputs &amp; Drivers'!$P$7:$P$127))</f>
        <v>1.5181E-2</v>
      </c>
      <c r="CO144" s="85">
        <f>INDEX('Inputs &amp; Drivers'!$Q$7:$Q$127,MATCH(Model!CO$6,'Inputs &amp; Drivers'!$P$7:$P$127))</f>
        <v>1.52432E-2</v>
      </c>
      <c r="CP144" s="85">
        <f>INDEX('Inputs &amp; Drivers'!$Q$7:$Q$127,MATCH(Model!CP$6,'Inputs &amp; Drivers'!$P$7:$P$127))</f>
        <v>1.52873E-2</v>
      </c>
      <c r="CQ144" s="85">
        <f>INDEX('Inputs &amp; Drivers'!$Q$7:$Q$127,MATCH(Model!CQ$6,'Inputs &amp; Drivers'!$P$7:$P$127))</f>
        <v>1.5346200000000001E-2</v>
      </c>
      <c r="CR144" s="85">
        <f>INDEX('Inputs &amp; Drivers'!$Q$7:$Q$127,MATCH(Model!CR$6,'Inputs &amp; Drivers'!$P$7:$P$127))</f>
        <v>1.5412500000000001E-2</v>
      </c>
      <c r="CS144" s="85">
        <f>INDEX('Inputs &amp; Drivers'!$Q$7:$Q$127,MATCH(Model!CS$6,'Inputs &amp; Drivers'!$P$7:$P$127))</f>
        <v>1.5458400000000001E-2</v>
      </c>
      <c r="CT144" s="85">
        <f>INDEX('Inputs &amp; Drivers'!$Q$7:$Q$127,MATCH(Model!CT$6,'Inputs &amp; Drivers'!$P$7:$P$127))</f>
        <v>1.5518799999999999E-2</v>
      </c>
      <c r="CU144" s="85">
        <f>INDEX('Inputs &amp; Drivers'!$Q$7:$Q$127,MATCH(Model!CU$6,'Inputs &amp; Drivers'!$P$7:$P$127))</f>
        <v>1.55826E-2</v>
      </c>
      <c r="CV144" s="85">
        <f>INDEX('Inputs &amp; Drivers'!$Q$7:$Q$127,MATCH(Model!CV$6,'Inputs &amp; Drivers'!$P$7:$P$127))</f>
        <v>1.56361E-2</v>
      </c>
      <c r="CW144" s="85">
        <f>INDEX('Inputs &amp; Drivers'!$Q$7:$Q$127,MATCH(Model!CW$6,'Inputs &amp; Drivers'!$P$7:$P$127))</f>
        <v>1.56992E-2</v>
      </c>
      <c r="CX144" s="85">
        <f>INDEX('Inputs &amp; Drivers'!$Q$7:$Q$127,MATCH(Model!CX$6,'Inputs &amp; Drivers'!$P$7:$P$127))</f>
        <v>1.5758299999999999E-2</v>
      </c>
      <c r="CY144" s="85">
        <f>INDEX('Inputs &amp; Drivers'!$Q$7:$Q$127,MATCH(Model!CY$6,'Inputs &amp; Drivers'!$P$7:$P$127))</f>
        <v>1.58114E-2</v>
      </c>
      <c r="CZ144" s="85">
        <f>INDEX('Inputs &amp; Drivers'!$Q$7:$Q$127,MATCH(Model!CZ$6,'Inputs &amp; Drivers'!$P$7:$P$127))</f>
        <v>1.58716E-2</v>
      </c>
      <c r="DA144" s="85">
        <f>INDEX('Inputs &amp; Drivers'!$Q$7:$Q$127,MATCH(Model!DA$6,'Inputs &amp; Drivers'!$P$7:$P$127))</f>
        <v>1.5931000000000001E-2</v>
      </c>
      <c r="DB144" s="85">
        <f>INDEX('Inputs &amp; Drivers'!$Q$7:$Q$127,MATCH(Model!DB$6,'Inputs &amp; Drivers'!$P$7:$P$127))</f>
        <v>1.5981800000000001E-2</v>
      </c>
      <c r="DC144" s="85">
        <f>INDEX('Inputs &amp; Drivers'!$Q$7:$Q$127,MATCH(Model!DC$6,'Inputs &amp; Drivers'!$P$7:$P$127))</f>
        <v>1.6041300000000001E-2</v>
      </c>
      <c r="DD144" s="85">
        <f>INDEX('Inputs &amp; Drivers'!$Q$7:$Q$127,MATCH(Model!DD$6,'Inputs &amp; Drivers'!$P$7:$P$127))</f>
        <v>1.60988E-2</v>
      </c>
      <c r="DE144" s="85">
        <f>INDEX('Inputs &amp; Drivers'!$Q$7:$Q$127,MATCH(Model!DE$6,'Inputs &amp; Drivers'!$P$7:$P$127))</f>
        <v>1.6147100000000001E-2</v>
      </c>
      <c r="DF144" s="85">
        <f>INDEX('Inputs &amp; Drivers'!$Q$7:$Q$127,MATCH(Model!DF$6,'Inputs &amp; Drivers'!$P$7:$P$127))</f>
        <v>1.6205399999999998E-2</v>
      </c>
      <c r="DG144" s="85">
        <f>INDEX('Inputs &amp; Drivers'!$Q$7:$Q$127,MATCH(Model!DG$6,'Inputs &amp; Drivers'!$P$7:$P$127))</f>
        <v>1.6267299999999998E-2</v>
      </c>
      <c r="DH144" s="85">
        <f>INDEX('Inputs &amp; Drivers'!$Q$7:$Q$127,MATCH(Model!DH$6,'Inputs &amp; Drivers'!$P$7:$P$127))</f>
        <v>1.6316000000000001E-2</v>
      </c>
      <c r="DI144" s="85">
        <f>INDEX('Inputs &amp; Drivers'!$Q$7:$Q$127,MATCH(Model!DI$6,'Inputs &amp; Drivers'!$P$7:$P$127))</f>
        <v>1.6370599999999999E-2</v>
      </c>
      <c r="DJ144" s="85">
        <f>INDEX('Inputs &amp; Drivers'!$Q$7:$Q$127,MATCH(Model!DJ$6,'Inputs &amp; Drivers'!$P$7:$P$127))</f>
        <v>1.6439599999999999E-2</v>
      </c>
      <c r="DK144" s="85">
        <f>INDEX('Inputs &amp; Drivers'!$Q$7:$Q$127,MATCH(Model!DK$6,'Inputs &amp; Drivers'!$P$7:$P$127))</f>
        <v>1.6491499999999999E-2</v>
      </c>
      <c r="DL144" s="85">
        <f>INDEX('Inputs &amp; Drivers'!$Q$7:$Q$127,MATCH(Model!DL$6,'Inputs &amp; Drivers'!$P$7:$P$127))</f>
        <v>1.6542100000000001E-2</v>
      </c>
      <c r="DM144" s="85">
        <f>INDEX('Inputs &amp; Drivers'!$Q$7:$Q$127,MATCH(Model!DM$6,'Inputs &amp; Drivers'!$P$7:$P$127))</f>
        <v>1.6601899999999999E-2</v>
      </c>
      <c r="DN144" s="85">
        <f>INDEX('Inputs &amp; Drivers'!$Q$7:$Q$127,MATCH(Model!DN$6,'Inputs &amp; Drivers'!$P$7:$P$127))</f>
        <v>1.6643700000000001E-2</v>
      </c>
      <c r="DO144" s="85">
        <f>INDEX('Inputs &amp; Drivers'!$Q$7:$Q$127,MATCH(Model!DO$6,'Inputs &amp; Drivers'!$P$7:$P$127))</f>
        <v>1.66912E-2</v>
      </c>
      <c r="DP144" s="85">
        <f>INDEX('Inputs &amp; Drivers'!$Q$7:$Q$127,MATCH(Model!DP$6,'Inputs &amp; Drivers'!$P$7:$P$127))</f>
        <v>1.6739500000000001E-2</v>
      </c>
      <c r="DQ144" s="85">
        <f>INDEX('Inputs &amp; Drivers'!$Q$7:$Q$127,MATCH(Model!DQ$6,'Inputs &amp; Drivers'!$P$7:$P$127))</f>
        <v>1.6771000000000001E-2</v>
      </c>
      <c r="DR144" s="85">
        <f>INDEX('Inputs &amp; Drivers'!$Q$7:$Q$127,MATCH(Model!DR$6,'Inputs &amp; Drivers'!$P$7:$P$127))</f>
        <v>1.6806100000000001E-2</v>
      </c>
      <c r="DS144" s="85">
        <f>INDEX('Inputs &amp; Drivers'!$Q$7:$Q$127,MATCH(Model!DS$6,'Inputs &amp; Drivers'!$P$7:$P$127))</f>
        <v>1.6849099999999999E-2</v>
      </c>
      <c r="DT144" s="85">
        <f>INDEX('Inputs &amp; Drivers'!$Q$7:$Q$127,MATCH(Model!DT$6,'Inputs &amp; Drivers'!$P$7:$P$127))</f>
        <v>1.6870599999999999E-2</v>
      </c>
      <c r="DU144" s="85">
        <f>INDEX('Inputs &amp; Drivers'!$Q$7:$Q$127,MATCH(Model!DU$6,'Inputs &amp; Drivers'!$P$7:$P$127))</f>
        <v>1.6892399999999998E-2</v>
      </c>
      <c r="DV144" s="85">
        <f>INDEX('Inputs &amp; Drivers'!$Q$7:$Q$127,MATCH(Model!DV$6,'Inputs &amp; Drivers'!$P$7:$P$127))</f>
        <v>1.6918800000000001E-2</v>
      </c>
      <c r="DW144" s="85">
        <f>INDEX('Inputs &amp; Drivers'!$Q$7:$Q$127,MATCH(Model!DW$6,'Inputs &amp; Drivers'!$P$7:$P$127))</f>
        <v>1.6924399999999999E-2</v>
      </c>
      <c r="DX144" s="85">
        <f>INDEX('Inputs &amp; Drivers'!$Q$7:$Q$127,MATCH(Model!DX$6,'Inputs &amp; Drivers'!$P$7:$P$127))</f>
        <v>1.6935100000000002E-2</v>
      </c>
      <c r="DY144" s="85">
        <f>INDEX('Inputs &amp; Drivers'!$Q$7:$Q$127,MATCH(Model!DY$6,'Inputs &amp; Drivers'!$P$7:$P$127))</f>
        <v>1.6935100000000002E-2</v>
      </c>
      <c r="DZ144" s="85">
        <f>INDEX('Inputs &amp; Drivers'!$Q$7:$Q$127,MATCH(Model!DZ$6,'Inputs &amp; Drivers'!$P$7:$P$127))</f>
        <v>1.6935100000000002E-2</v>
      </c>
      <c r="EA144" s="85">
        <f>INDEX('Inputs &amp; Drivers'!$Q$7:$Q$127,MATCH(Model!EA$6,'Inputs &amp; Drivers'!$P$7:$P$127))</f>
        <v>1.6935100000000002E-2</v>
      </c>
      <c r="EB144" s="85">
        <f>INDEX('Inputs &amp; Drivers'!$Q$7:$Q$127,MATCH(Model!EB$6,'Inputs &amp; Drivers'!$P$7:$P$127))</f>
        <v>1.6935100000000002E-2</v>
      </c>
      <c r="EC144" s="85">
        <f>INDEX('Inputs &amp; Drivers'!$Q$7:$Q$127,MATCH(Model!EC$6,'Inputs &amp; Drivers'!$P$7:$P$127))</f>
        <v>1.6935100000000002E-2</v>
      </c>
      <c r="ED144" s="85">
        <f>INDEX('Inputs &amp; Drivers'!$Q$7:$Q$127,MATCH(Model!ED$6,'Inputs &amp; Drivers'!$P$7:$P$127))</f>
        <v>1.6935100000000002E-2</v>
      </c>
      <c r="EE144" s="85">
        <f>INDEX('Inputs &amp; Drivers'!$Q$7:$Q$127,MATCH(Model!EE$6,'Inputs &amp; Drivers'!$P$7:$P$127))</f>
        <v>1.6935100000000002E-2</v>
      </c>
      <c r="EF144" s="85">
        <f>INDEX('Inputs &amp; Drivers'!$Q$7:$Q$127,MATCH(Model!EF$6,'Inputs &amp; Drivers'!$P$7:$P$127))</f>
        <v>1.6935100000000002E-2</v>
      </c>
      <c r="EG144" s="85">
        <f>INDEX('Inputs &amp; Drivers'!$Q$7:$Q$127,MATCH(Model!EG$6,'Inputs &amp; Drivers'!$P$7:$P$127))</f>
        <v>1.6935100000000002E-2</v>
      </c>
      <c r="EH144" s="85">
        <f>INDEX('Inputs &amp; Drivers'!$Q$7:$Q$127,MATCH(Model!EH$6,'Inputs &amp; Drivers'!$P$7:$P$127))</f>
        <v>1.6935100000000002E-2</v>
      </c>
      <c r="EI144" s="85">
        <f>INDEX('Inputs &amp; Drivers'!$Q$7:$Q$127,MATCH(Model!EI$6,'Inputs &amp; Drivers'!$P$7:$P$127))</f>
        <v>1.6935100000000002E-2</v>
      </c>
      <c r="EJ144" s="85">
        <f>INDEX('Inputs &amp; Drivers'!$Q$7:$Q$127,MATCH(Model!EJ$6,'Inputs &amp; Drivers'!$P$7:$P$127))</f>
        <v>1.6935100000000002E-2</v>
      </c>
    </row>
    <row r="145" spans="2:153" x14ac:dyDescent="0.4">
      <c r="B145" s="1" t="s">
        <v>74</v>
      </c>
      <c r="F145" s="85"/>
      <c r="G145" s="74"/>
      <c r="H145" s="85"/>
      <c r="I145" s="85">
        <f>'Inputs &amp; Drivers'!$J$18/10000</f>
        <v>3.5000000000000003E-2</v>
      </c>
      <c r="J145" s="85">
        <f>'Inputs &amp; Drivers'!$J$18/10000</f>
        <v>3.5000000000000003E-2</v>
      </c>
      <c r="K145" s="85">
        <f>'Inputs &amp; Drivers'!$J$18/10000</f>
        <v>3.5000000000000003E-2</v>
      </c>
      <c r="L145" s="85">
        <f>'Inputs &amp; Drivers'!$J$18/10000</f>
        <v>3.5000000000000003E-2</v>
      </c>
      <c r="M145" s="85">
        <f>'Inputs &amp; Drivers'!$J$18/10000</f>
        <v>3.5000000000000003E-2</v>
      </c>
      <c r="N145" s="85">
        <f>'Inputs &amp; Drivers'!$J$18/10000</f>
        <v>3.5000000000000003E-2</v>
      </c>
      <c r="O145" s="85">
        <f>'Inputs &amp; Drivers'!$J$18/10000</f>
        <v>3.5000000000000003E-2</v>
      </c>
      <c r="P145" s="85">
        <f>'Inputs &amp; Drivers'!$J$18/10000</f>
        <v>3.5000000000000003E-2</v>
      </c>
      <c r="Q145" s="85">
        <f>'Inputs &amp; Drivers'!$J$18/10000</f>
        <v>3.5000000000000003E-2</v>
      </c>
      <c r="R145" s="85">
        <f>'Inputs &amp; Drivers'!$J$18/10000</f>
        <v>3.5000000000000003E-2</v>
      </c>
      <c r="S145" s="85">
        <f>'Inputs &amp; Drivers'!$J$18/10000</f>
        <v>3.5000000000000003E-2</v>
      </c>
      <c r="T145" s="85">
        <f>'Inputs &amp; Drivers'!$J$18/10000</f>
        <v>3.5000000000000003E-2</v>
      </c>
      <c r="U145" s="85">
        <f>'Inputs &amp; Drivers'!$J$18/10000</f>
        <v>3.5000000000000003E-2</v>
      </c>
      <c r="V145" s="85">
        <f>'Inputs &amp; Drivers'!$J$18/10000</f>
        <v>3.5000000000000003E-2</v>
      </c>
      <c r="W145" s="85">
        <f>'Inputs &amp; Drivers'!$J$18/10000</f>
        <v>3.5000000000000003E-2</v>
      </c>
      <c r="X145" s="85">
        <f>'Inputs &amp; Drivers'!$J$18/10000</f>
        <v>3.5000000000000003E-2</v>
      </c>
      <c r="Y145" s="85">
        <f>'Inputs &amp; Drivers'!$J$18/10000</f>
        <v>3.5000000000000003E-2</v>
      </c>
      <c r="Z145" s="85">
        <f>'Inputs &amp; Drivers'!$J$18/10000</f>
        <v>3.5000000000000003E-2</v>
      </c>
      <c r="AA145" s="85">
        <f>'Inputs &amp; Drivers'!$J$18/10000</f>
        <v>3.5000000000000003E-2</v>
      </c>
      <c r="AB145" s="85">
        <f>'Inputs &amp; Drivers'!$J$18/10000</f>
        <v>3.5000000000000003E-2</v>
      </c>
      <c r="AC145" s="85">
        <f>'Inputs &amp; Drivers'!$J$18/10000</f>
        <v>3.5000000000000003E-2</v>
      </c>
      <c r="AD145" s="85">
        <f>'Inputs &amp; Drivers'!$J$18/10000</f>
        <v>3.5000000000000003E-2</v>
      </c>
      <c r="AE145" s="85">
        <f>'Inputs &amp; Drivers'!$J$18/10000</f>
        <v>3.5000000000000003E-2</v>
      </c>
      <c r="AF145" s="85">
        <f>'Inputs &amp; Drivers'!$J$18/10000</f>
        <v>3.5000000000000003E-2</v>
      </c>
      <c r="AG145" s="85">
        <f>'Inputs &amp; Drivers'!$J$18/10000</f>
        <v>3.5000000000000003E-2</v>
      </c>
      <c r="AH145" s="85">
        <f>'Inputs &amp; Drivers'!$J$18/10000</f>
        <v>3.5000000000000003E-2</v>
      </c>
      <c r="AI145" s="85">
        <f>'Inputs &amp; Drivers'!$J$18/10000</f>
        <v>3.5000000000000003E-2</v>
      </c>
      <c r="AJ145" s="85">
        <f>'Inputs &amp; Drivers'!$J$18/10000</f>
        <v>3.5000000000000003E-2</v>
      </c>
      <c r="AK145" s="85">
        <f>'Inputs &amp; Drivers'!$J$18/10000</f>
        <v>3.5000000000000003E-2</v>
      </c>
      <c r="AL145" s="85">
        <f>'Inputs &amp; Drivers'!$J$18/10000</f>
        <v>3.5000000000000003E-2</v>
      </c>
      <c r="AM145" s="85">
        <f>'Inputs &amp; Drivers'!$J$18/10000</f>
        <v>3.5000000000000003E-2</v>
      </c>
      <c r="AN145" s="85">
        <f>'Inputs &amp; Drivers'!$J$18/10000</f>
        <v>3.5000000000000003E-2</v>
      </c>
      <c r="AO145" s="85">
        <f>'Inputs &amp; Drivers'!$J$18/10000</f>
        <v>3.5000000000000003E-2</v>
      </c>
      <c r="AP145" s="85">
        <f>'Inputs &amp; Drivers'!$J$18/10000</f>
        <v>3.5000000000000003E-2</v>
      </c>
      <c r="AQ145" s="85">
        <f>'Inputs &amp; Drivers'!$J$18/10000</f>
        <v>3.5000000000000003E-2</v>
      </c>
      <c r="AR145" s="85">
        <f>'Inputs &amp; Drivers'!$J$18/10000</f>
        <v>3.5000000000000003E-2</v>
      </c>
      <c r="AS145" s="85">
        <f>'Inputs &amp; Drivers'!$J$18/10000</f>
        <v>3.5000000000000003E-2</v>
      </c>
      <c r="AT145" s="85">
        <f>'Inputs &amp; Drivers'!$J$18/10000</f>
        <v>3.5000000000000003E-2</v>
      </c>
      <c r="AU145" s="85">
        <f>'Inputs &amp; Drivers'!$J$18/10000</f>
        <v>3.5000000000000003E-2</v>
      </c>
      <c r="AV145" s="85">
        <f>'Inputs &amp; Drivers'!$J$18/10000</f>
        <v>3.5000000000000003E-2</v>
      </c>
      <c r="AW145" s="85">
        <f>'Inputs &amp; Drivers'!$J$18/10000</f>
        <v>3.5000000000000003E-2</v>
      </c>
      <c r="AX145" s="85">
        <f>'Inputs &amp; Drivers'!$J$18/10000</f>
        <v>3.5000000000000003E-2</v>
      </c>
      <c r="AY145" s="85">
        <f>'Inputs &amp; Drivers'!$J$18/10000</f>
        <v>3.5000000000000003E-2</v>
      </c>
      <c r="AZ145" s="85">
        <f>'Inputs &amp; Drivers'!$J$18/10000</f>
        <v>3.5000000000000003E-2</v>
      </c>
      <c r="BA145" s="85">
        <f>'Inputs &amp; Drivers'!$J$18/10000</f>
        <v>3.5000000000000003E-2</v>
      </c>
      <c r="BB145" s="85">
        <f>'Inputs &amp; Drivers'!$J$18/10000</f>
        <v>3.5000000000000003E-2</v>
      </c>
      <c r="BC145" s="85">
        <f>'Inputs &amp; Drivers'!$J$18/10000</f>
        <v>3.5000000000000003E-2</v>
      </c>
      <c r="BD145" s="85">
        <f>'Inputs &amp; Drivers'!$J$18/10000</f>
        <v>3.5000000000000003E-2</v>
      </c>
      <c r="BE145" s="85">
        <f>'Inputs &amp; Drivers'!$J$18/10000</f>
        <v>3.5000000000000003E-2</v>
      </c>
      <c r="BF145" s="85">
        <f>'Inputs &amp; Drivers'!$J$18/10000</f>
        <v>3.5000000000000003E-2</v>
      </c>
      <c r="BG145" s="85">
        <f>'Inputs &amp; Drivers'!$J$18/10000</f>
        <v>3.5000000000000003E-2</v>
      </c>
      <c r="BH145" s="85">
        <f>'Inputs &amp; Drivers'!$J$18/10000</f>
        <v>3.5000000000000003E-2</v>
      </c>
      <c r="BI145" s="85">
        <f>'Inputs &amp; Drivers'!$J$18/10000</f>
        <v>3.5000000000000003E-2</v>
      </c>
      <c r="BJ145" s="85">
        <f>'Inputs &amp; Drivers'!$J$18/10000</f>
        <v>3.5000000000000003E-2</v>
      </c>
      <c r="BK145" s="85">
        <f>'Inputs &amp; Drivers'!$J$18/10000</f>
        <v>3.5000000000000003E-2</v>
      </c>
      <c r="BL145" s="85">
        <f>'Inputs &amp; Drivers'!$J$18/10000</f>
        <v>3.5000000000000003E-2</v>
      </c>
      <c r="BM145" s="85">
        <f>'Inputs &amp; Drivers'!$J$18/10000</f>
        <v>3.5000000000000003E-2</v>
      </c>
      <c r="BN145" s="85">
        <f>'Inputs &amp; Drivers'!$J$18/10000</f>
        <v>3.5000000000000003E-2</v>
      </c>
      <c r="BO145" s="85">
        <f>'Inputs &amp; Drivers'!$J$18/10000</f>
        <v>3.5000000000000003E-2</v>
      </c>
      <c r="BP145" s="85">
        <f>'Inputs &amp; Drivers'!$J$18/10000</f>
        <v>3.5000000000000003E-2</v>
      </c>
      <c r="BQ145" s="85">
        <f>'Inputs &amp; Drivers'!$J$18/10000</f>
        <v>3.5000000000000003E-2</v>
      </c>
      <c r="BR145" s="85">
        <f>'Inputs &amp; Drivers'!$J$18/10000</f>
        <v>3.5000000000000003E-2</v>
      </c>
      <c r="BS145" s="85">
        <f>'Inputs &amp; Drivers'!$J$18/10000</f>
        <v>3.5000000000000003E-2</v>
      </c>
      <c r="BT145" s="85">
        <f>'Inputs &amp; Drivers'!$J$18/10000</f>
        <v>3.5000000000000003E-2</v>
      </c>
      <c r="BU145" s="85">
        <f>'Inputs &amp; Drivers'!$J$18/10000</f>
        <v>3.5000000000000003E-2</v>
      </c>
      <c r="BV145" s="85">
        <f>'Inputs &amp; Drivers'!$J$18/10000</f>
        <v>3.5000000000000003E-2</v>
      </c>
      <c r="BW145" s="85">
        <f>'Inputs &amp; Drivers'!$J$18/10000</f>
        <v>3.5000000000000003E-2</v>
      </c>
      <c r="BX145" s="85">
        <f>'Inputs &amp; Drivers'!$J$18/10000</f>
        <v>3.5000000000000003E-2</v>
      </c>
      <c r="BY145" s="85">
        <f>'Inputs &amp; Drivers'!$J$18/10000</f>
        <v>3.5000000000000003E-2</v>
      </c>
      <c r="BZ145" s="85">
        <f>'Inputs &amp; Drivers'!$J$18/10000</f>
        <v>3.5000000000000003E-2</v>
      </c>
      <c r="CA145" s="85">
        <f>'Inputs &amp; Drivers'!$J$18/10000</f>
        <v>3.5000000000000003E-2</v>
      </c>
      <c r="CB145" s="85">
        <f>'Inputs &amp; Drivers'!$J$18/10000</f>
        <v>3.5000000000000003E-2</v>
      </c>
      <c r="CC145" s="85">
        <f>'Inputs &amp; Drivers'!$J$18/10000</f>
        <v>3.5000000000000003E-2</v>
      </c>
      <c r="CD145" s="85">
        <f>'Inputs &amp; Drivers'!$J$18/10000</f>
        <v>3.5000000000000003E-2</v>
      </c>
      <c r="CE145" s="85">
        <f>'Inputs &amp; Drivers'!$J$18/10000</f>
        <v>3.5000000000000003E-2</v>
      </c>
      <c r="CF145" s="85">
        <f>'Inputs &amp; Drivers'!$J$18/10000</f>
        <v>3.5000000000000003E-2</v>
      </c>
      <c r="CG145" s="85">
        <f>'Inputs &amp; Drivers'!$J$18/10000</f>
        <v>3.5000000000000003E-2</v>
      </c>
      <c r="CH145" s="85">
        <f>'Inputs &amp; Drivers'!$J$18/10000</f>
        <v>3.5000000000000003E-2</v>
      </c>
      <c r="CI145" s="85">
        <f>'Inputs &amp; Drivers'!$J$18/10000</f>
        <v>3.5000000000000003E-2</v>
      </c>
      <c r="CJ145" s="85">
        <f>'Inputs &amp; Drivers'!$J$18/10000</f>
        <v>3.5000000000000003E-2</v>
      </c>
      <c r="CK145" s="85">
        <f>'Inputs &amp; Drivers'!$J$18/10000</f>
        <v>3.5000000000000003E-2</v>
      </c>
      <c r="CL145" s="85">
        <f>'Inputs &amp; Drivers'!$J$18/10000</f>
        <v>3.5000000000000003E-2</v>
      </c>
      <c r="CM145" s="85">
        <f>'Inputs &amp; Drivers'!$J$18/10000</f>
        <v>3.5000000000000003E-2</v>
      </c>
      <c r="CN145" s="85">
        <f>'Inputs &amp; Drivers'!$J$18/10000</f>
        <v>3.5000000000000003E-2</v>
      </c>
      <c r="CO145" s="85">
        <f>'Inputs &amp; Drivers'!$J$18/10000</f>
        <v>3.5000000000000003E-2</v>
      </c>
      <c r="CP145" s="85">
        <f>'Inputs &amp; Drivers'!$J$18/10000</f>
        <v>3.5000000000000003E-2</v>
      </c>
      <c r="CQ145" s="85">
        <f>'Inputs &amp; Drivers'!$J$18/10000</f>
        <v>3.5000000000000003E-2</v>
      </c>
      <c r="CR145" s="85">
        <f>'Inputs &amp; Drivers'!$J$18/10000</f>
        <v>3.5000000000000003E-2</v>
      </c>
      <c r="CS145" s="85">
        <f>'Inputs &amp; Drivers'!$J$18/10000</f>
        <v>3.5000000000000003E-2</v>
      </c>
      <c r="CT145" s="85">
        <f>'Inputs &amp; Drivers'!$J$18/10000</f>
        <v>3.5000000000000003E-2</v>
      </c>
      <c r="CU145" s="85">
        <f>'Inputs &amp; Drivers'!$J$18/10000</f>
        <v>3.5000000000000003E-2</v>
      </c>
      <c r="CV145" s="85">
        <f>'Inputs &amp; Drivers'!$J$18/10000</f>
        <v>3.5000000000000003E-2</v>
      </c>
      <c r="CW145" s="85">
        <f>'Inputs &amp; Drivers'!$J$18/10000</f>
        <v>3.5000000000000003E-2</v>
      </c>
      <c r="CX145" s="85">
        <f>'Inputs &amp; Drivers'!$J$18/10000</f>
        <v>3.5000000000000003E-2</v>
      </c>
      <c r="CY145" s="85">
        <f>'Inputs &amp; Drivers'!$J$18/10000</f>
        <v>3.5000000000000003E-2</v>
      </c>
      <c r="CZ145" s="85">
        <f>'Inputs &amp; Drivers'!$J$18/10000</f>
        <v>3.5000000000000003E-2</v>
      </c>
      <c r="DA145" s="85">
        <f>'Inputs &amp; Drivers'!$J$18/10000</f>
        <v>3.5000000000000003E-2</v>
      </c>
      <c r="DB145" s="85">
        <f>'Inputs &amp; Drivers'!$J$18/10000</f>
        <v>3.5000000000000003E-2</v>
      </c>
      <c r="DC145" s="85">
        <f>'Inputs &amp; Drivers'!$J$18/10000</f>
        <v>3.5000000000000003E-2</v>
      </c>
      <c r="DD145" s="85">
        <f>'Inputs &amp; Drivers'!$J$18/10000</f>
        <v>3.5000000000000003E-2</v>
      </c>
      <c r="DE145" s="85">
        <f>'Inputs &amp; Drivers'!$J$18/10000</f>
        <v>3.5000000000000003E-2</v>
      </c>
      <c r="DF145" s="85">
        <f>'Inputs &amp; Drivers'!$J$18/10000</f>
        <v>3.5000000000000003E-2</v>
      </c>
      <c r="DG145" s="85">
        <f>'Inputs &amp; Drivers'!$J$18/10000</f>
        <v>3.5000000000000003E-2</v>
      </c>
      <c r="DH145" s="85">
        <f>'Inputs &amp; Drivers'!$J$18/10000</f>
        <v>3.5000000000000003E-2</v>
      </c>
      <c r="DI145" s="85">
        <f>'Inputs &amp; Drivers'!$J$18/10000</f>
        <v>3.5000000000000003E-2</v>
      </c>
      <c r="DJ145" s="85">
        <f>'Inputs &amp; Drivers'!$J$18/10000</f>
        <v>3.5000000000000003E-2</v>
      </c>
      <c r="DK145" s="85">
        <f>'Inputs &amp; Drivers'!$J$18/10000</f>
        <v>3.5000000000000003E-2</v>
      </c>
      <c r="DL145" s="85">
        <f>'Inputs &amp; Drivers'!$J$18/10000</f>
        <v>3.5000000000000003E-2</v>
      </c>
      <c r="DM145" s="85">
        <f>'Inputs &amp; Drivers'!$J$18/10000</f>
        <v>3.5000000000000003E-2</v>
      </c>
      <c r="DN145" s="85">
        <f>'Inputs &amp; Drivers'!$J$18/10000</f>
        <v>3.5000000000000003E-2</v>
      </c>
      <c r="DO145" s="85">
        <f>'Inputs &amp; Drivers'!$J$18/10000</f>
        <v>3.5000000000000003E-2</v>
      </c>
      <c r="DP145" s="85">
        <f>'Inputs &amp; Drivers'!$J$18/10000</f>
        <v>3.5000000000000003E-2</v>
      </c>
      <c r="DQ145" s="85">
        <f>'Inputs &amp; Drivers'!$J$18/10000</f>
        <v>3.5000000000000003E-2</v>
      </c>
      <c r="DR145" s="85">
        <f>'Inputs &amp; Drivers'!$J$18/10000</f>
        <v>3.5000000000000003E-2</v>
      </c>
      <c r="DS145" s="85">
        <f>'Inputs &amp; Drivers'!$J$18/10000</f>
        <v>3.5000000000000003E-2</v>
      </c>
      <c r="DT145" s="85">
        <f>'Inputs &amp; Drivers'!$J$18/10000</f>
        <v>3.5000000000000003E-2</v>
      </c>
      <c r="DU145" s="85">
        <f>'Inputs &amp; Drivers'!$J$18/10000</f>
        <v>3.5000000000000003E-2</v>
      </c>
      <c r="DV145" s="85">
        <f>'Inputs &amp; Drivers'!$J$18/10000</f>
        <v>3.5000000000000003E-2</v>
      </c>
      <c r="DW145" s="85">
        <f>'Inputs &amp; Drivers'!$J$18/10000</f>
        <v>3.5000000000000003E-2</v>
      </c>
      <c r="DX145" s="85">
        <f>'Inputs &amp; Drivers'!$J$18/10000</f>
        <v>3.5000000000000003E-2</v>
      </c>
      <c r="DY145" s="85">
        <f>'Inputs &amp; Drivers'!$J$18/10000</f>
        <v>3.5000000000000003E-2</v>
      </c>
      <c r="DZ145" s="85">
        <f>'Inputs &amp; Drivers'!$J$18/10000</f>
        <v>3.5000000000000003E-2</v>
      </c>
      <c r="EA145" s="85">
        <f>'Inputs &amp; Drivers'!$J$18/10000</f>
        <v>3.5000000000000003E-2</v>
      </c>
      <c r="EB145" s="85">
        <f>'Inputs &amp; Drivers'!$J$18/10000</f>
        <v>3.5000000000000003E-2</v>
      </c>
      <c r="EC145" s="85">
        <f>'Inputs &amp; Drivers'!$J$18/10000</f>
        <v>3.5000000000000003E-2</v>
      </c>
      <c r="ED145" s="85">
        <f>'Inputs &amp; Drivers'!$J$18/10000</f>
        <v>3.5000000000000003E-2</v>
      </c>
      <c r="EE145" s="85">
        <f>'Inputs &amp; Drivers'!$J$18/10000</f>
        <v>3.5000000000000003E-2</v>
      </c>
      <c r="EF145" s="85">
        <f>'Inputs &amp; Drivers'!$J$18/10000</f>
        <v>3.5000000000000003E-2</v>
      </c>
      <c r="EG145" s="85">
        <f>'Inputs &amp; Drivers'!$J$18/10000</f>
        <v>3.5000000000000003E-2</v>
      </c>
      <c r="EH145" s="85">
        <f>'Inputs &amp; Drivers'!$J$18/10000</f>
        <v>3.5000000000000003E-2</v>
      </c>
      <c r="EI145" s="85">
        <f>'Inputs &amp; Drivers'!$J$18/10000</f>
        <v>3.5000000000000003E-2</v>
      </c>
      <c r="EJ145" s="85">
        <f>'Inputs &amp; Drivers'!$J$18/10000</f>
        <v>3.5000000000000003E-2</v>
      </c>
    </row>
    <row r="146" spans="2:153" x14ac:dyDescent="0.4">
      <c r="B146" s="1" t="s">
        <v>75</v>
      </c>
      <c r="C146" s="315" t="str">
        <f>'Inputs &amp; Drivers'!H13</f>
        <v>Floating</v>
      </c>
      <c r="F146" s="176"/>
      <c r="G146" s="176"/>
      <c r="H146" s="86"/>
      <c r="I146" s="86">
        <f>IF($C$146="Floating",SUM(I144:I145),'Inputs &amp; Drivers'!$H$13)</f>
        <v>5.1266300000000001E-2</v>
      </c>
      <c r="J146" s="86">
        <f>IF($C$146="Floating",SUM(J144:J145),'Inputs &amp; Drivers'!$H$13)</f>
        <v>5.0964000000000002E-2</v>
      </c>
      <c r="K146" s="86">
        <f>IF($C$146="Floating",SUM(K144:K145),'Inputs &amp; Drivers'!$H$13)</f>
        <v>5.0610200000000001E-2</v>
      </c>
      <c r="L146" s="86">
        <f>IF($C$146="Floating",SUM(L144:L145),'Inputs &amp; Drivers'!$H$13)</f>
        <v>5.0249200000000001E-2</v>
      </c>
      <c r="M146" s="86">
        <f>IF($C$146="Floating",SUM(M144:M145),'Inputs &amp; Drivers'!$H$13)</f>
        <v>4.9936400000000006E-2</v>
      </c>
      <c r="N146" s="86">
        <f>IF($C$146="Floating",SUM(N144:N145),'Inputs &amp; Drivers'!$H$13)</f>
        <v>4.9556900000000001E-2</v>
      </c>
      <c r="O146" s="86">
        <f>IF($C$146="Floating",SUM(O144:O145),'Inputs &amp; Drivers'!$H$13)</f>
        <v>4.9193300000000002E-2</v>
      </c>
      <c r="P146" s="86">
        <f>IF($C$146="Floating",SUM(P144:P145),'Inputs &amp; Drivers'!$H$13)</f>
        <v>4.8861600000000005E-2</v>
      </c>
      <c r="Q146" s="86">
        <f>IF($C$146="Floating",SUM(Q144:Q145),'Inputs &amp; Drivers'!$H$13)</f>
        <v>4.85342E-2</v>
      </c>
      <c r="R146" s="86">
        <f>IF($C$146="Floating",SUM(R144:R145),'Inputs &amp; Drivers'!$H$13)</f>
        <v>4.8270100000000003E-2</v>
      </c>
      <c r="S146" s="86">
        <f>IF($C$146="Floating",SUM(S144:S145),'Inputs &amp; Drivers'!$H$13)</f>
        <v>4.8059400000000002E-2</v>
      </c>
      <c r="T146" s="86">
        <f>IF($C$146="Floating",SUM(T144:T145),'Inputs &amp; Drivers'!$H$13)</f>
        <v>4.7891200000000002E-2</v>
      </c>
      <c r="U146" s="86">
        <f>IF($C$146="Floating",SUM(U144:U145),'Inputs &amp; Drivers'!$H$13)</f>
        <v>4.7766400000000001E-2</v>
      </c>
      <c r="V146" s="86">
        <f>IF($C$146="Floating",SUM(V144:V145),'Inputs &amp; Drivers'!$H$13)</f>
        <v>4.7646100000000004E-2</v>
      </c>
      <c r="W146" s="86">
        <f>IF($C$146="Floating",SUM(W144:W145),'Inputs &amp; Drivers'!$H$13)</f>
        <v>4.7515700000000001E-2</v>
      </c>
      <c r="X146" s="86">
        <f>IF($C$146="Floating",SUM(X144:X145),'Inputs &amp; Drivers'!$H$13)</f>
        <v>4.7387800000000001E-2</v>
      </c>
      <c r="Y146" s="86">
        <f>IF($C$146="Floating",SUM(Y144:Y145),'Inputs &amp; Drivers'!$H$13)</f>
        <v>4.7261800000000007E-2</v>
      </c>
      <c r="Z146" s="86">
        <f>IF($C$146="Floating",SUM(Z144:Z145),'Inputs &amp; Drivers'!$H$13)</f>
        <v>4.71419E-2</v>
      </c>
      <c r="AA146" s="86">
        <f>IF($C$146="Floating",SUM(AA144:AA145),'Inputs &amp; Drivers'!$H$13)</f>
        <v>4.7059800000000006E-2</v>
      </c>
      <c r="AB146" s="86">
        <f>IF($C$146="Floating",SUM(AB144:AB145),'Inputs &amp; Drivers'!$H$13)</f>
        <v>4.6982400000000007E-2</v>
      </c>
      <c r="AC146" s="86">
        <f>IF($C$146="Floating",SUM(AC144:AC145),'Inputs &amp; Drivers'!$H$13)</f>
        <v>4.6952800000000003E-2</v>
      </c>
      <c r="AD146" s="86">
        <f>IF($C$146="Floating",SUM(AD144:AD145),'Inputs &amp; Drivers'!$H$13)</f>
        <v>4.6960300000000003E-2</v>
      </c>
      <c r="AE146" s="86">
        <f>IF($C$146="Floating",SUM(AE144:AE145),'Inputs &amp; Drivers'!$H$13)</f>
        <v>4.6979400000000004E-2</v>
      </c>
      <c r="AF146" s="86">
        <f>IF($C$146="Floating",SUM(AF144:AF145),'Inputs &amp; Drivers'!$H$13)</f>
        <v>4.7026700000000005E-2</v>
      </c>
      <c r="AG146" s="86">
        <f>IF($C$146="Floating",SUM(AG144:AG145),'Inputs &amp; Drivers'!$H$13)</f>
        <v>4.7084000000000001E-2</v>
      </c>
      <c r="AH146" s="86">
        <f>IF($C$146="Floating",SUM(AH144:AH145),'Inputs &amp; Drivers'!$H$13)</f>
        <v>4.7124900000000004E-2</v>
      </c>
      <c r="AI146" s="86">
        <f>IF($C$146="Floating",SUM(AI144:AI145),'Inputs &amp; Drivers'!$H$13)</f>
        <v>4.7174000000000008E-2</v>
      </c>
      <c r="AJ146" s="86">
        <f>IF($C$146="Floating",SUM(AJ144:AJ145),'Inputs &amp; Drivers'!$H$13)</f>
        <v>4.7222400000000005E-2</v>
      </c>
      <c r="AK146" s="86">
        <f>IF($C$146="Floating",SUM(AK144:AK145),'Inputs &amp; Drivers'!$H$13)</f>
        <v>4.7254900000000002E-2</v>
      </c>
      <c r="AL146" s="86">
        <f>IF($C$146="Floating",SUM(AL144:AL145),'Inputs &amp; Drivers'!$H$13)</f>
        <v>4.7290900000000004E-2</v>
      </c>
      <c r="AM146" s="86">
        <f>IF($C$146="Floating",SUM(AM144:AM145),'Inputs &amp; Drivers'!$H$13)</f>
        <v>4.7324500000000005E-2</v>
      </c>
      <c r="AN146" s="86">
        <f>IF($C$146="Floating",SUM(AN144:AN145),'Inputs &amp; Drivers'!$H$13)</f>
        <v>4.7345100000000001E-2</v>
      </c>
      <c r="AO146" s="86">
        <f>IF($C$146="Floating",SUM(AO144:AO145),'Inputs &amp; Drivers'!$H$13)</f>
        <v>4.7371800000000006E-2</v>
      </c>
      <c r="AP146" s="86">
        <f>IF($C$146="Floating",SUM(AP144:AP145),'Inputs &amp; Drivers'!$H$13)</f>
        <v>4.7401100000000002E-2</v>
      </c>
      <c r="AQ146" s="86">
        <f>IF($C$146="Floating",SUM(AQ144:AQ145),'Inputs &amp; Drivers'!$H$13)</f>
        <v>4.7418600000000005E-2</v>
      </c>
      <c r="AR146" s="86">
        <f>IF($C$146="Floating",SUM(AR144:AR145),'Inputs &amp; Drivers'!$H$13)</f>
        <v>4.7442400000000003E-2</v>
      </c>
      <c r="AS146" s="86">
        <f>IF($C$146="Floating",SUM(AS144:AS145),'Inputs &amp; Drivers'!$H$13)</f>
        <v>4.7476600000000001E-2</v>
      </c>
      <c r="AT146" s="86">
        <f>IF($C$146="Floating",SUM(AT144:AT145),'Inputs &amp; Drivers'!$H$13)</f>
        <v>4.7499300000000001E-2</v>
      </c>
      <c r="AU146" s="86">
        <f>IF($C$146="Floating",SUM(AU144:AU145),'Inputs &amp; Drivers'!$H$13)</f>
        <v>4.7534100000000003E-2</v>
      </c>
      <c r="AV146" s="86">
        <f>IF($C$146="Floating",SUM(AV144:AV145),'Inputs &amp; Drivers'!$H$13)</f>
        <v>4.7572900000000001E-2</v>
      </c>
      <c r="AW146" s="86">
        <f>IF($C$146="Floating",SUM(AW144:AW145),'Inputs &amp; Drivers'!$H$13)</f>
        <v>4.7604300000000002E-2</v>
      </c>
      <c r="AX146" s="86">
        <f>IF($C$146="Floating",SUM(AX144:AX145),'Inputs &amp; Drivers'!$H$13)</f>
        <v>4.7647200000000001E-2</v>
      </c>
      <c r="AY146" s="86">
        <f>IF($C$146="Floating",SUM(AY144:AY145),'Inputs &amp; Drivers'!$H$13)</f>
        <v>4.7695200000000007E-2</v>
      </c>
      <c r="AZ146" s="86">
        <f>IF($C$146="Floating",SUM(AZ144:AZ145),'Inputs &amp; Drivers'!$H$13)</f>
        <v>4.7730800000000004E-2</v>
      </c>
      <c r="BA146" s="86">
        <f>IF($C$146="Floating",SUM(BA144:BA145),'Inputs &amp; Drivers'!$H$13)</f>
        <v>4.7772400000000007E-2</v>
      </c>
      <c r="BB146" s="86">
        <f>IF($C$146="Floating",SUM(BB144:BB145),'Inputs &amp; Drivers'!$H$13)</f>
        <v>4.7825900000000005E-2</v>
      </c>
      <c r="BC146" s="86">
        <f>IF($C$146="Floating",SUM(BC144:BC145),'Inputs &amp; Drivers'!$H$13)</f>
        <v>4.7863300000000004E-2</v>
      </c>
      <c r="BD146" s="86">
        <f>IF($C$146="Floating",SUM(BD144:BD145),'Inputs &amp; Drivers'!$H$13)</f>
        <v>4.7903400000000006E-2</v>
      </c>
      <c r="BE146" s="86">
        <f>IF($C$146="Floating",SUM(BE144:BE145),'Inputs &amp; Drivers'!$H$13)</f>
        <v>4.7958700000000007E-2</v>
      </c>
      <c r="BF146" s="86">
        <f>IF($C$146="Floating",SUM(BF144:BF145),'Inputs &amp; Drivers'!$H$13)</f>
        <v>4.80048E-2</v>
      </c>
      <c r="BG146" s="86">
        <f>IF($C$146="Floating",SUM(BG144:BG145),'Inputs &amp; Drivers'!$H$13)</f>
        <v>4.8054300000000001E-2</v>
      </c>
      <c r="BH146" s="86">
        <f>IF($C$146="Floating",SUM(BH144:BH145),'Inputs &amp; Drivers'!$H$13)</f>
        <v>4.8128300000000006E-2</v>
      </c>
      <c r="BI146" s="86">
        <f>IF($C$146="Floating",SUM(BI144:BI145),'Inputs &amp; Drivers'!$H$13)</f>
        <v>4.8190300000000005E-2</v>
      </c>
      <c r="BJ146" s="86">
        <f>IF($C$146="Floating",SUM(BJ144:BJ145),'Inputs &amp; Drivers'!$H$13)</f>
        <v>4.8255300000000001E-2</v>
      </c>
      <c r="BK146" s="86">
        <f>IF($C$146="Floating",SUM(BK144:BK145),'Inputs &amp; Drivers'!$H$13)</f>
        <v>4.8341200000000001E-2</v>
      </c>
      <c r="BL146" s="86">
        <f>IF($C$146="Floating",SUM(BL144:BL145),'Inputs &amp; Drivers'!$H$13)</f>
        <v>4.8413800000000007E-2</v>
      </c>
      <c r="BM146" s="86">
        <f>IF($C$146="Floating",SUM(BM144:BM145),'Inputs &amp; Drivers'!$H$13)</f>
        <v>4.8493600000000005E-2</v>
      </c>
      <c r="BN146" s="86">
        <f>IF($C$146="Floating",SUM(BN144:BN145),'Inputs &amp; Drivers'!$H$13)</f>
        <v>4.85849E-2</v>
      </c>
      <c r="BO146" s="86">
        <f>IF($C$146="Floating",SUM(BO144:BO145),'Inputs &amp; Drivers'!$H$13)</f>
        <v>4.8657300000000001E-2</v>
      </c>
      <c r="BP146" s="86">
        <f>IF($C$146="Floating",SUM(BP144:BP145),'Inputs &amp; Drivers'!$H$13)</f>
        <v>4.8749400000000005E-2</v>
      </c>
      <c r="BQ146" s="86">
        <f>IF($C$146="Floating",SUM(BQ144:BQ145),'Inputs &amp; Drivers'!$H$13)</f>
        <v>4.8839199999999999E-2</v>
      </c>
      <c r="BR146" s="86">
        <f>IF($C$146="Floating",SUM(BR144:BR145),'Inputs &amp; Drivers'!$H$13)</f>
        <v>4.8905700000000003E-2</v>
      </c>
      <c r="BS146" s="86">
        <f>IF($C$146="Floating",SUM(BS144:BS145),'Inputs &amp; Drivers'!$H$13)</f>
        <v>4.8987800000000005E-2</v>
      </c>
      <c r="BT146" s="86">
        <f>IF($C$146="Floating",SUM(BT144:BT145),'Inputs &amp; Drivers'!$H$13)</f>
        <v>4.9070600000000006E-2</v>
      </c>
      <c r="BU146" s="86">
        <f>IF($C$146="Floating",SUM(BU144:BU145),'Inputs &amp; Drivers'!$H$13)</f>
        <v>4.9132700000000001E-2</v>
      </c>
      <c r="BV146" s="86">
        <f>IF($C$146="Floating",SUM(BV144:BV145),'Inputs &amp; Drivers'!$H$13)</f>
        <v>4.9196600000000007E-2</v>
      </c>
      <c r="BW146" s="86">
        <f>IF($C$146="Floating",SUM(BW144:BW145),'Inputs &amp; Drivers'!$H$13)</f>
        <v>4.9270500000000002E-2</v>
      </c>
      <c r="BX146" s="86">
        <f>IF($C$146="Floating",SUM(BX144:BX145),'Inputs &amp; Drivers'!$H$13)</f>
        <v>4.9315800000000007E-2</v>
      </c>
      <c r="BY146" s="86">
        <f>IF($C$146="Floating",SUM(BY144:BY145),'Inputs &amp; Drivers'!$H$13)</f>
        <v>4.9377600000000008E-2</v>
      </c>
      <c r="BZ146" s="86">
        <f>IF($C$146="Floating",SUM(BZ144:BZ145),'Inputs &amp; Drivers'!$H$13)</f>
        <v>4.94425E-2</v>
      </c>
      <c r="CA146" s="86">
        <f>IF($C$146="Floating",SUM(CA144:CA145),'Inputs &amp; Drivers'!$H$13)</f>
        <v>4.9482700000000004E-2</v>
      </c>
      <c r="CB146" s="86">
        <f>IF($C$146="Floating",SUM(CB144:CB145),'Inputs &amp; Drivers'!$H$13)</f>
        <v>4.9535900000000001E-2</v>
      </c>
      <c r="CC146" s="86">
        <f>IF($C$146="Floating",SUM(CC144:CC145),'Inputs &amp; Drivers'!$H$13)</f>
        <v>4.9591700000000002E-2</v>
      </c>
      <c r="CD146" s="86">
        <f>IF($C$146="Floating",SUM(CD144:CD145),'Inputs &amp; Drivers'!$H$13)</f>
        <v>4.9629500000000007E-2</v>
      </c>
      <c r="CE146" s="86">
        <f>IF($C$146="Floating",SUM(CE144:CE145),'Inputs &amp; Drivers'!$H$13)</f>
        <v>4.9681800000000005E-2</v>
      </c>
      <c r="CF146" s="86">
        <f>IF($C$146="Floating",SUM(CF144:CF145),'Inputs &amp; Drivers'!$H$13)</f>
        <v>4.9741800000000003E-2</v>
      </c>
      <c r="CG146" s="86">
        <f>IF($C$146="Floating",SUM(CG144:CG145),'Inputs &amp; Drivers'!$H$13)</f>
        <v>4.9779300000000005E-2</v>
      </c>
      <c r="CH146" s="86">
        <f>IF($C$146="Floating",SUM(CH144:CH145),'Inputs &amp; Drivers'!$H$13)</f>
        <v>4.9836100000000001E-2</v>
      </c>
      <c r="CI146" s="86">
        <f>IF($C$146="Floating",SUM(CI144:CI145),'Inputs &amp; Drivers'!$H$13)</f>
        <v>4.9899700000000005E-2</v>
      </c>
      <c r="CJ146" s="86">
        <f>IF($C$146="Floating",SUM(CJ144:CJ145),'Inputs &amp; Drivers'!$H$13)</f>
        <v>4.9944100000000005E-2</v>
      </c>
      <c r="CK146" s="86">
        <f>IF($C$146="Floating",SUM(CK144:CK145),'Inputs &amp; Drivers'!$H$13)</f>
        <v>5.0003300000000001E-2</v>
      </c>
      <c r="CL146" s="86">
        <f>IF($C$146="Floating",SUM(CL144:CL145),'Inputs &amp; Drivers'!$H$13)</f>
        <v>5.0069600000000006E-2</v>
      </c>
      <c r="CM146" s="86">
        <f>IF($C$146="Floating",SUM(CM144:CM145),'Inputs &amp; Drivers'!$H$13)</f>
        <v>5.0117600000000005E-2</v>
      </c>
      <c r="CN146" s="86">
        <f>IF($C$146="Floating",SUM(CN144:CN145),'Inputs &amp; Drivers'!$H$13)</f>
        <v>5.0181000000000003E-2</v>
      </c>
      <c r="CO146" s="86">
        <f>IF($C$146="Floating",SUM(CO144:CO145),'Inputs &amp; Drivers'!$H$13)</f>
        <v>5.0243200000000002E-2</v>
      </c>
      <c r="CP146" s="86">
        <f>IF($C$146="Floating",SUM(CP144:CP145),'Inputs &amp; Drivers'!$H$13)</f>
        <v>5.0287300000000007E-2</v>
      </c>
      <c r="CQ146" s="86">
        <f>IF($C$146="Floating",SUM(CQ144:CQ145),'Inputs &amp; Drivers'!$H$13)</f>
        <v>5.0346200000000008E-2</v>
      </c>
      <c r="CR146" s="86">
        <f>IF($C$146="Floating",SUM(CR144:CR145),'Inputs &amp; Drivers'!$H$13)</f>
        <v>5.0412500000000006E-2</v>
      </c>
      <c r="CS146" s="86">
        <f>IF($C$146="Floating",SUM(CS144:CS145),'Inputs &amp; Drivers'!$H$13)</f>
        <v>5.04584E-2</v>
      </c>
      <c r="CT146" s="86">
        <f>IF($C$146="Floating",SUM(CT144:CT145),'Inputs &amp; Drivers'!$H$13)</f>
        <v>5.0518800000000003E-2</v>
      </c>
      <c r="CU146" s="86">
        <f>IF($C$146="Floating",SUM(CU144:CU145),'Inputs &amp; Drivers'!$H$13)</f>
        <v>5.0582600000000005E-2</v>
      </c>
      <c r="CV146" s="86">
        <f>IF($C$146="Floating",SUM(CV144:CV145),'Inputs &amp; Drivers'!$H$13)</f>
        <v>5.0636100000000003E-2</v>
      </c>
      <c r="CW146" s="86">
        <f>IF($C$146="Floating",SUM(CW144:CW145),'Inputs &amp; Drivers'!$H$13)</f>
        <v>5.06992E-2</v>
      </c>
      <c r="CX146" s="86">
        <f>IF($C$146="Floating",SUM(CX144:CX145),'Inputs &amp; Drivers'!$H$13)</f>
        <v>5.0758300000000006E-2</v>
      </c>
      <c r="CY146" s="86">
        <f>IF($C$146="Floating",SUM(CY144:CY145),'Inputs &amp; Drivers'!$H$13)</f>
        <v>5.0811400000000007E-2</v>
      </c>
      <c r="CZ146" s="86">
        <f>IF($C$146="Floating",SUM(CZ144:CZ145),'Inputs &amp; Drivers'!$H$13)</f>
        <v>5.0871600000000003E-2</v>
      </c>
      <c r="DA146" s="86">
        <f>IF($C$146="Floating",SUM(DA144:DA145),'Inputs &amp; Drivers'!$H$13)</f>
        <v>5.0931000000000004E-2</v>
      </c>
      <c r="DB146" s="86">
        <f>IF($C$146="Floating",SUM(DB144:DB145),'Inputs &amp; Drivers'!$H$13)</f>
        <v>5.0981800000000008E-2</v>
      </c>
      <c r="DC146" s="86">
        <f>IF($C$146="Floating",SUM(DC144:DC145),'Inputs &amp; Drivers'!$H$13)</f>
        <v>5.1041300000000005E-2</v>
      </c>
      <c r="DD146" s="86">
        <f>IF($C$146="Floating",SUM(DD144:DD145),'Inputs &amp; Drivers'!$H$13)</f>
        <v>5.10988E-2</v>
      </c>
      <c r="DE146" s="86">
        <f>IF($C$146="Floating",SUM(DE144:DE145),'Inputs &amp; Drivers'!$H$13)</f>
        <v>5.1147100000000001E-2</v>
      </c>
      <c r="DF146" s="86">
        <f>IF($C$146="Floating",SUM(DF144:DF145),'Inputs &amp; Drivers'!$H$13)</f>
        <v>5.1205399999999998E-2</v>
      </c>
      <c r="DG146" s="86">
        <f>IF($C$146="Floating",SUM(DG144:DG145),'Inputs &amp; Drivers'!$H$13)</f>
        <v>5.1267300000000002E-2</v>
      </c>
      <c r="DH146" s="86">
        <f>IF($C$146="Floating",SUM(DH144:DH145),'Inputs &amp; Drivers'!$H$13)</f>
        <v>5.1316000000000001E-2</v>
      </c>
      <c r="DI146" s="86">
        <f>IF($C$146="Floating",SUM(DI144:DI145),'Inputs &amp; Drivers'!$H$13)</f>
        <v>5.1370600000000002E-2</v>
      </c>
      <c r="DJ146" s="86">
        <f>IF($C$146="Floating",SUM(DJ144:DJ145),'Inputs &amp; Drivers'!$H$13)</f>
        <v>5.1439600000000002E-2</v>
      </c>
      <c r="DK146" s="86">
        <f>IF($C$146="Floating",SUM(DK144:DK145),'Inputs &amp; Drivers'!$H$13)</f>
        <v>5.1491500000000003E-2</v>
      </c>
      <c r="DL146" s="86">
        <f>IF($C$146="Floating",SUM(DL144:DL145),'Inputs &amp; Drivers'!$H$13)</f>
        <v>5.1542100000000007E-2</v>
      </c>
      <c r="DM146" s="86">
        <f>IF($C$146="Floating",SUM(DM144:DM145),'Inputs &amp; Drivers'!$H$13)</f>
        <v>5.1601900000000006E-2</v>
      </c>
      <c r="DN146" s="86">
        <f>IF($C$146="Floating",SUM(DN144:DN145),'Inputs &amp; Drivers'!$H$13)</f>
        <v>5.1643700000000001E-2</v>
      </c>
      <c r="DO146" s="86">
        <f>IF($C$146="Floating",SUM(DO144:DO145),'Inputs &amp; Drivers'!$H$13)</f>
        <v>5.1691200000000007E-2</v>
      </c>
      <c r="DP146" s="86">
        <f>IF($C$146="Floating",SUM(DP144:DP145),'Inputs &amp; Drivers'!$H$13)</f>
        <v>5.1739500000000008E-2</v>
      </c>
      <c r="DQ146" s="86">
        <f>IF($C$146="Floating",SUM(DQ144:DQ145),'Inputs &amp; Drivers'!$H$13)</f>
        <v>5.1771000000000005E-2</v>
      </c>
      <c r="DR146" s="86">
        <f>IF($C$146="Floating",SUM(DR144:DR145),'Inputs &amp; Drivers'!$H$13)</f>
        <v>5.1806100000000008E-2</v>
      </c>
      <c r="DS146" s="86">
        <f>IF($C$146="Floating",SUM(DS144:DS145),'Inputs &amp; Drivers'!$H$13)</f>
        <v>5.1849100000000002E-2</v>
      </c>
      <c r="DT146" s="86">
        <f>IF($C$146="Floating",SUM(DT144:DT145),'Inputs &amp; Drivers'!$H$13)</f>
        <v>5.1870600000000003E-2</v>
      </c>
      <c r="DU146" s="86">
        <f>IF($C$146="Floating",SUM(DU144:DU145),'Inputs &amp; Drivers'!$H$13)</f>
        <v>5.1892400000000005E-2</v>
      </c>
      <c r="DV146" s="86">
        <f>IF($C$146="Floating",SUM(DV144:DV145),'Inputs &amp; Drivers'!$H$13)</f>
        <v>5.1918800000000001E-2</v>
      </c>
      <c r="DW146" s="86">
        <f>IF($C$146="Floating",SUM(DW144:DW145),'Inputs &amp; Drivers'!$H$13)</f>
        <v>5.1924400000000002E-2</v>
      </c>
      <c r="DX146" s="86">
        <f>IF($C$146="Floating",SUM(DX144:DX145),'Inputs &amp; Drivers'!$H$13)</f>
        <v>5.1935100000000005E-2</v>
      </c>
      <c r="DY146" s="86">
        <f>IF($C$146="Floating",SUM(DY144:DY145),'Inputs &amp; Drivers'!$H$13)</f>
        <v>5.1935100000000005E-2</v>
      </c>
      <c r="DZ146" s="86">
        <f>IF($C$146="Floating",SUM(DZ144:DZ145),'Inputs &amp; Drivers'!$H$13)</f>
        <v>5.1935100000000005E-2</v>
      </c>
      <c r="EA146" s="86">
        <f>IF($C$146="Floating",SUM(EA144:EA145),'Inputs &amp; Drivers'!$H$13)</f>
        <v>5.1935100000000005E-2</v>
      </c>
      <c r="EB146" s="86">
        <f>IF($C$146="Floating",SUM(EB144:EB145),'Inputs &amp; Drivers'!$H$13)</f>
        <v>5.1935100000000005E-2</v>
      </c>
      <c r="EC146" s="86">
        <f>IF($C$146="Floating",SUM(EC144:EC145),'Inputs &amp; Drivers'!$H$13)</f>
        <v>5.1935100000000005E-2</v>
      </c>
      <c r="ED146" s="86">
        <f>IF($C$146="Floating",SUM(ED144:ED145),'Inputs &amp; Drivers'!$H$13)</f>
        <v>5.1935100000000005E-2</v>
      </c>
      <c r="EE146" s="86">
        <f>IF($C$146="Floating",SUM(EE144:EE145),'Inputs &amp; Drivers'!$H$13)</f>
        <v>5.1935100000000005E-2</v>
      </c>
      <c r="EF146" s="86">
        <f>IF($C$146="Floating",SUM(EF144:EF145),'Inputs &amp; Drivers'!$H$13)</f>
        <v>5.1935100000000005E-2</v>
      </c>
      <c r="EG146" s="86">
        <f>IF($C$146="Floating",SUM(EG144:EG145),'Inputs &amp; Drivers'!$H$13)</f>
        <v>5.1935100000000005E-2</v>
      </c>
      <c r="EH146" s="86">
        <f>IF($C$146="Floating",SUM(EH144:EH145),'Inputs &amp; Drivers'!$H$13)</f>
        <v>5.1935100000000005E-2</v>
      </c>
      <c r="EI146" s="86">
        <f>IF($C$146="Floating",SUM(EI144:EI145),'Inputs &amp; Drivers'!$H$13)</f>
        <v>5.1935100000000005E-2</v>
      </c>
      <c r="EJ146" s="86">
        <f>IF($C$146="Floating",SUM(EJ144:EJ145),'Inputs &amp; Drivers'!$H$13)</f>
        <v>5.1935100000000005E-2</v>
      </c>
    </row>
    <row r="148" spans="2:153" x14ac:dyDescent="0.4">
      <c r="B148" s="1" t="s">
        <v>93</v>
      </c>
      <c r="F148" s="8">
        <f ca="1">SUMPRODUCT(($H148:$EJ148)*($H$6:$EJ$6&lt;=$C$5))</f>
        <v>-3144287.7544409498</v>
      </c>
      <c r="G148" s="84"/>
      <c r="H148" s="84"/>
      <c r="I148" s="12">
        <f ca="1">-I146*((I$6-H$6)/'Inputs &amp; Drivers'!$I$13)*I151</f>
        <v>0</v>
      </c>
      <c r="J148" s="12">
        <f ca="1">-J146*((J$6-I$6)/'Inputs &amp; Drivers'!$I$13)*J151</f>
        <v>0</v>
      </c>
      <c r="K148" s="12">
        <f ca="1">-K146*((K$6-J$6)/'Inputs &amp; Drivers'!$I$13)*K151</f>
        <v>0</v>
      </c>
      <c r="L148" s="12">
        <f ca="1">-L146*((L$6-K$6)/'Inputs &amp; Drivers'!$I$13)*L151</f>
        <v>0</v>
      </c>
      <c r="M148" s="12">
        <f ca="1">-M146*((M$6-L$6)/'Inputs &amp; Drivers'!$I$13)*M151</f>
        <v>0</v>
      </c>
      <c r="N148" s="12">
        <f ca="1">-N146*((N$6-M$6)/'Inputs &amp; Drivers'!$I$13)*N151</f>
        <v>0</v>
      </c>
      <c r="O148" s="12">
        <f ca="1">-O146*((O$6-N$6)/'Inputs &amp; Drivers'!$I$13)*O151</f>
        <v>0</v>
      </c>
      <c r="P148" s="12">
        <f ca="1">-P146*((P$6-O$6)/'Inputs &amp; Drivers'!$I$13)*P151</f>
        <v>0</v>
      </c>
      <c r="Q148" s="12">
        <f ca="1">-Q146*((Q$6-P$6)/'Inputs &amp; Drivers'!$I$13)*Q151</f>
        <v>0</v>
      </c>
      <c r="R148" s="12">
        <f ca="1">-R146*((R$6-Q$6)/'Inputs &amp; Drivers'!$I$13)*R151</f>
        <v>0</v>
      </c>
      <c r="S148" s="12">
        <f ca="1">-S146*((S$6-R$6)/'Inputs &amp; Drivers'!$I$13)*S151</f>
        <v>-5459.9483372916811</v>
      </c>
      <c r="T148" s="12">
        <f ca="1">-T146*((T$6-S$6)/'Inputs &amp; Drivers'!$I$13)*T151</f>
        <v>-18601.182655615725</v>
      </c>
      <c r="U148" s="12">
        <f ca="1">-U146*((U$6-T$6)/'Inputs &amp; Drivers'!$I$13)*U151</f>
        <v>-31551.922377218212</v>
      </c>
      <c r="V148" s="12">
        <f ca="1">-V146*((V$6-U$6)/'Inputs &amp; Drivers'!$I$13)*V151</f>
        <v>-40186.383788789935</v>
      </c>
      <c r="W148" s="12">
        <f ca="1">-W146*((W$6-V$6)/'Inputs &amp; Drivers'!$I$13)*W151</f>
        <v>-57389.605346265089</v>
      </c>
      <c r="X148" s="12">
        <f ca="1">-X146*((X$6-W$6)/'Inputs &amp; Drivers'!$I$13)*X151</f>
        <v>-68022.181893795234</v>
      </c>
      <c r="Y148" s="12">
        <f ca="1">-Y146*((Y$6-X$6)/'Inputs &amp; Drivers'!$I$13)*Y151</f>
        <v>-83165.716163562916</v>
      </c>
      <c r="Z148" s="12">
        <f ca="1">-Z146*((Z$6-Y$6)/'Inputs &amp; Drivers'!$I$13)*Z151</f>
        <v>-93057.096427179989</v>
      </c>
      <c r="AA148" s="12">
        <f ca="1">-AA146*((AA$6-Z$6)/'Inputs &amp; Drivers'!$I$13)*AA151</f>
        <v>-109100.17451122074</v>
      </c>
      <c r="AB148" s="12">
        <f ca="1">-AB146*((AB$6-AA$6)/'Inputs &amp; Drivers'!$I$13)*AB151</f>
        <v>-122072.72194590284</v>
      </c>
      <c r="AC148" s="12">
        <f ca="1">-AC146*((AC$6-AB$6)/'Inputs &amp; Drivers'!$I$13)*AC151</f>
        <v>-130830.93244614973</v>
      </c>
      <c r="AD148" s="12">
        <f ca="1">-AD146*((AD$6-AC$6)/'Inputs &amp; Drivers'!$I$13)*AD151</f>
        <v>-148447.23299240202</v>
      </c>
      <c r="AE148" s="12">
        <f ca="1">-AE146*((AE$6-AD$6)/'Inputs &amp; Drivers'!$I$13)*AE151</f>
        <v>-156598.00000000003</v>
      </c>
      <c r="AF148" s="12">
        <f ca="1">-AF146*((AF$6-AE$6)/'Inputs &amp; Drivers'!$I$13)*AF151</f>
        <v>-161980.85555555558</v>
      </c>
      <c r="AG148" s="12">
        <f ca="1">-AG146*((AG$6-AF$6)/'Inputs &amp; Drivers'!$I$13)*AG151</f>
        <v>-162178.22222222222</v>
      </c>
      <c r="AH148" s="12">
        <f ca="1">-AH146*((AH$6-AG$6)/'Inputs &amp; Drivers'!$I$13)*AH151</f>
        <v>-146610.80000000002</v>
      </c>
      <c r="AI148" s="12">
        <f ca="1">-AI146*((AI$6-AH$6)/'Inputs &amp; Drivers'!$I$13)*AI151</f>
        <v>-162488.22222222228</v>
      </c>
      <c r="AJ148" s="12">
        <f ca="1">-AJ146*((AJ$6-AI$6)/'Inputs &amp; Drivers'!$I$13)*AJ151</f>
        <v>-157408</v>
      </c>
      <c r="AK148" s="12">
        <f ca="1">-AK146*((AK$6-AJ$6)/'Inputs &amp; Drivers'!$I$13)*AK151</f>
        <v>-162766.87777777779</v>
      </c>
      <c r="AL148" s="12">
        <f ca="1">-AL146*((AL$6-AK$6)/'Inputs &amp; Drivers'!$I$13)*AL151</f>
        <v>-157636.33333333331</v>
      </c>
      <c r="AM148" s="12">
        <f ca="1">-AM146*((AM$6-AL$6)/'Inputs &amp; Drivers'!$I$13)*AM151</f>
        <v>-163006.61111111115</v>
      </c>
      <c r="AN148" s="12">
        <f ca="1">-AN146*((AN$6-AM$6)/'Inputs &amp; Drivers'!$I$13)*AN151</f>
        <v>-163077.56666666665</v>
      </c>
      <c r="AO148" s="12">
        <f ca="1">-AO146*((AO$6-AN$6)/'Inputs &amp; Drivers'!$I$13)*AO151</f>
        <v>-157906.00000000003</v>
      </c>
      <c r="AP148" s="12">
        <f ca="1">-AP146*((AP$6-AO$6)/'Inputs &amp; Drivers'!$I$13)*AP151</f>
        <v>-163270.45555555556</v>
      </c>
      <c r="AQ148" s="12">
        <f ca="1">-AQ146*((AQ$6-AP$6)/'Inputs &amp; Drivers'!$I$13)*AQ151</f>
        <v>-158062</v>
      </c>
      <c r="AR148" s="12">
        <f ca="1">-AR146*((AR$6-AQ$6)/'Inputs &amp; Drivers'!$I$13)*AR151</f>
        <v>-163412.7111111111</v>
      </c>
      <c r="AS148" s="12">
        <f ca="1">-AS146*((AS$6-AR$6)/'Inputs &amp; Drivers'!$I$13)*AS151</f>
        <v>0</v>
      </c>
      <c r="AT148" s="12">
        <f ca="1">-AT146*((AT$6-AS$6)/'Inputs &amp; Drivers'!$I$13)*AT151</f>
        <v>0</v>
      </c>
      <c r="AU148" s="12">
        <f ca="1">-AU146*((AU$6-AT$6)/'Inputs &amp; Drivers'!$I$13)*AU151</f>
        <v>0</v>
      </c>
      <c r="AV148" s="12">
        <f ca="1">-AV146*((AV$6-AU$6)/'Inputs &amp; Drivers'!$I$13)*AV151</f>
        <v>0</v>
      </c>
      <c r="AW148" s="12">
        <f ca="1">-AW146*((AW$6-AV$6)/'Inputs &amp; Drivers'!$I$13)*AW151</f>
        <v>0</v>
      </c>
      <c r="AX148" s="12">
        <f ca="1">-AX146*((AX$6-AW$6)/'Inputs &amp; Drivers'!$I$13)*AX151</f>
        <v>0</v>
      </c>
      <c r="AY148" s="12">
        <f ca="1">-AY146*((AY$6-AX$6)/'Inputs &amp; Drivers'!$I$13)*AY151</f>
        <v>0</v>
      </c>
      <c r="AZ148" s="12">
        <f ca="1">-AZ146*((AZ$6-AY$6)/'Inputs &amp; Drivers'!$I$13)*AZ151</f>
        <v>0</v>
      </c>
      <c r="BA148" s="12">
        <f ca="1">-BA146*((BA$6-AZ$6)/'Inputs &amp; Drivers'!$I$13)*BA151</f>
        <v>0</v>
      </c>
      <c r="BB148" s="12">
        <f ca="1">-BB146*((BB$6-BA$6)/'Inputs &amp; Drivers'!$I$13)*BB151</f>
        <v>0</v>
      </c>
      <c r="BC148" s="12">
        <f ca="1">-BC146*((BC$6-BB$6)/'Inputs &amp; Drivers'!$I$13)*BC151</f>
        <v>0</v>
      </c>
      <c r="BD148" s="12">
        <f ca="1">-BD146*((BD$6-BC$6)/'Inputs &amp; Drivers'!$I$13)*BD151</f>
        <v>0</v>
      </c>
      <c r="BE148" s="12">
        <f ca="1">-BE146*((BE$6-BD$6)/'Inputs &amp; Drivers'!$I$13)*BE151</f>
        <v>0</v>
      </c>
      <c r="BF148" s="12">
        <f ca="1">-BF146*((BF$6-BE$6)/'Inputs &amp; Drivers'!$I$13)*BF151</f>
        <v>0</v>
      </c>
      <c r="BG148" s="12">
        <f ca="1">-BG146*((BG$6-BF$6)/'Inputs &amp; Drivers'!$I$13)*BG151</f>
        <v>0</v>
      </c>
      <c r="BH148" s="12">
        <f ca="1">-BH146*((BH$6-BG$6)/'Inputs &amp; Drivers'!$I$13)*BH151</f>
        <v>0</v>
      </c>
      <c r="BI148" s="12">
        <f ca="1">-BI146*((BI$6-BH$6)/'Inputs &amp; Drivers'!$I$13)*BI151</f>
        <v>0</v>
      </c>
      <c r="BJ148" s="12">
        <f ca="1">-BJ146*((BJ$6-BI$6)/'Inputs &amp; Drivers'!$I$13)*BJ151</f>
        <v>0</v>
      </c>
      <c r="BK148" s="12">
        <f ca="1">-BK146*((BK$6-BJ$6)/'Inputs &amp; Drivers'!$I$13)*BK151</f>
        <v>0</v>
      </c>
      <c r="BL148" s="12">
        <f ca="1">-BL146*((BL$6-BK$6)/'Inputs &amp; Drivers'!$I$13)*BL151</f>
        <v>0</v>
      </c>
      <c r="BM148" s="12">
        <f ca="1">-BM146*((BM$6-BL$6)/'Inputs &amp; Drivers'!$I$13)*BM151</f>
        <v>0</v>
      </c>
      <c r="BN148" s="12">
        <f ca="1">-BN146*((BN$6-BM$6)/'Inputs &amp; Drivers'!$I$13)*BN151</f>
        <v>0</v>
      </c>
      <c r="BO148" s="12">
        <f ca="1">-BO146*((BO$6-BN$6)/'Inputs &amp; Drivers'!$I$13)*BO151</f>
        <v>0</v>
      </c>
      <c r="BP148" s="12">
        <f ca="1">-BP146*((BP$6-BO$6)/'Inputs &amp; Drivers'!$I$13)*BP151</f>
        <v>0</v>
      </c>
      <c r="BQ148" s="12">
        <f ca="1">-BQ146*((BQ$6-BP$6)/'Inputs &amp; Drivers'!$I$13)*BQ151</f>
        <v>0</v>
      </c>
      <c r="BR148" s="12">
        <f ca="1">-BR146*((BR$6-BQ$6)/'Inputs &amp; Drivers'!$I$13)*BR151</f>
        <v>0</v>
      </c>
      <c r="BS148" s="12">
        <f ca="1">-BS146*((BS$6-BR$6)/'Inputs &amp; Drivers'!$I$13)*BS151</f>
        <v>0</v>
      </c>
      <c r="BT148" s="12">
        <f ca="1">-BT146*((BT$6-BS$6)/'Inputs &amp; Drivers'!$I$13)*BT151</f>
        <v>0</v>
      </c>
      <c r="BU148" s="12">
        <f ca="1">-BU146*((BU$6-BT$6)/'Inputs &amp; Drivers'!$I$13)*BU151</f>
        <v>0</v>
      </c>
      <c r="BV148" s="12">
        <f ca="1">-BV146*((BV$6-BU$6)/'Inputs &amp; Drivers'!$I$13)*BV151</f>
        <v>0</v>
      </c>
      <c r="BW148" s="12">
        <f ca="1">-BW146*((BW$6-BV$6)/'Inputs &amp; Drivers'!$I$13)*BW151</f>
        <v>0</v>
      </c>
      <c r="BX148" s="12">
        <f ca="1">-BX146*((BX$6-BW$6)/'Inputs &amp; Drivers'!$I$13)*BX151</f>
        <v>0</v>
      </c>
      <c r="BY148" s="12">
        <f ca="1">-BY146*((BY$6-BX$6)/'Inputs &amp; Drivers'!$I$13)*BY151</f>
        <v>0</v>
      </c>
      <c r="BZ148" s="12">
        <f ca="1">-BZ146*((BZ$6-BY$6)/'Inputs &amp; Drivers'!$I$13)*BZ151</f>
        <v>0</v>
      </c>
      <c r="CA148" s="12">
        <f ca="1">-CA146*((CA$6-BZ$6)/'Inputs &amp; Drivers'!$I$13)*CA151</f>
        <v>0</v>
      </c>
      <c r="CB148" s="12">
        <f ca="1">-CB146*((CB$6-CA$6)/'Inputs &amp; Drivers'!$I$13)*CB151</f>
        <v>0</v>
      </c>
      <c r="CC148" s="12">
        <f ca="1">-CC146*((CC$6-CB$6)/'Inputs &amp; Drivers'!$I$13)*CC151</f>
        <v>0</v>
      </c>
      <c r="CD148" s="12">
        <f ca="1">-CD146*((CD$6-CC$6)/'Inputs &amp; Drivers'!$I$13)*CD151</f>
        <v>0</v>
      </c>
      <c r="CE148" s="12">
        <f ca="1">-CE146*((CE$6-CD$6)/'Inputs &amp; Drivers'!$I$13)*CE151</f>
        <v>0</v>
      </c>
      <c r="CF148" s="12">
        <f ca="1">-CF146*((CF$6-CE$6)/'Inputs &amp; Drivers'!$I$13)*CF151</f>
        <v>0</v>
      </c>
      <c r="CG148" s="12">
        <f ca="1">-CG146*((CG$6-CF$6)/'Inputs &amp; Drivers'!$I$13)*CG151</f>
        <v>0</v>
      </c>
      <c r="CH148" s="12">
        <f ca="1">-CH146*((CH$6-CG$6)/'Inputs &amp; Drivers'!$I$13)*CH151</f>
        <v>0</v>
      </c>
      <c r="CI148" s="12">
        <f ca="1">-CI146*((CI$6-CH$6)/'Inputs &amp; Drivers'!$I$13)*CI151</f>
        <v>0</v>
      </c>
      <c r="CJ148" s="12">
        <f ca="1">-CJ146*((CJ$6-CI$6)/'Inputs &amp; Drivers'!$I$13)*CJ151</f>
        <v>0</v>
      </c>
      <c r="CK148" s="12">
        <f ca="1">-CK146*((CK$6-CJ$6)/'Inputs &amp; Drivers'!$I$13)*CK151</f>
        <v>0</v>
      </c>
      <c r="CL148" s="12">
        <f ca="1">-CL146*((CL$6-CK$6)/'Inputs &amp; Drivers'!$I$13)*CL151</f>
        <v>0</v>
      </c>
      <c r="CM148" s="12">
        <f ca="1">-CM146*((CM$6-CL$6)/'Inputs &amp; Drivers'!$I$13)*CM151</f>
        <v>0</v>
      </c>
      <c r="CN148" s="12">
        <f ca="1">-CN146*((CN$6-CM$6)/'Inputs &amp; Drivers'!$I$13)*CN151</f>
        <v>0</v>
      </c>
      <c r="CO148" s="12">
        <f ca="1">-CO146*((CO$6-CN$6)/'Inputs &amp; Drivers'!$I$13)*CO151</f>
        <v>0</v>
      </c>
      <c r="CP148" s="12">
        <f ca="1">-CP146*((CP$6-CO$6)/'Inputs &amp; Drivers'!$I$13)*CP151</f>
        <v>0</v>
      </c>
      <c r="CQ148" s="12">
        <f ca="1">-CQ146*((CQ$6-CP$6)/'Inputs &amp; Drivers'!$I$13)*CQ151</f>
        <v>0</v>
      </c>
      <c r="CR148" s="12">
        <f ca="1">-CR146*((CR$6-CQ$6)/'Inputs &amp; Drivers'!$I$13)*CR151</f>
        <v>0</v>
      </c>
      <c r="CS148" s="12">
        <f ca="1">-CS146*((CS$6-CR$6)/'Inputs &amp; Drivers'!$I$13)*CS151</f>
        <v>0</v>
      </c>
      <c r="CT148" s="12">
        <f ca="1">-CT146*((CT$6-CS$6)/'Inputs &amp; Drivers'!$I$13)*CT151</f>
        <v>0</v>
      </c>
      <c r="CU148" s="12">
        <f ca="1">-CU146*((CU$6-CT$6)/'Inputs &amp; Drivers'!$I$13)*CU151</f>
        <v>0</v>
      </c>
      <c r="CV148" s="12">
        <f ca="1">-CV146*((CV$6-CU$6)/'Inputs &amp; Drivers'!$I$13)*CV151</f>
        <v>0</v>
      </c>
      <c r="CW148" s="12">
        <f ca="1">-CW146*((CW$6-CV$6)/'Inputs &amp; Drivers'!$I$13)*CW151</f>
        <v>0</v>
      </c>
      <c r="CX148" s="12">
        <f ca="1">-CX146*((CX$6-CW$6)/'Inputs &amp; Drivers'!$I$13)*CX151</f>
        <v>0</v>
      </c>
      <c r="CY148" s="12">
        <f ca="1">-CY146*((CY$6-CX$6)/'Inputs &amp; Drivers'!$I$13)*CY151</f>
        <v>0</v>
      </c>
      <c r="CZ148" s="12">
        <f ca="1">-CZ146*((CZ$6-CY$6)/'Inputs &amp; Drivers'!$I$13)*CZ151</f>
        <v>0</v>
      </c>
      <c r="DA148" s="12">
        <f ca="1">-DA146*((DA$6-CZ$6)/'Inputs &amp; Drivers'!$I$13)*DA151</f>
        <v>0</v>
      </c>
      <c r="DB148" s="12">
        <f ca="1">-DB146*((DB$6-DA$6)/'Inputs &amp; Drivers'!$I$13)*DB151</f>
        <v>0</v>
      </c>
      <c r="DC148" s="12">
        <f ca="1">-DC146*((DC$6-DB$6)/'Inputs &amp; Drivers'!$I$13)*DC151</f>
        <v>0</v>
      </c>
      <c r="DD148" s="12">
        <f ca="1">-DD146*((DD$6-DC$6)/'Inputs &amp; Drivers'!$I$13)*DD151</f>
        <v>0</v>
      </c>
      <c r="DE148" s="12">
        <f ca="1">-DE146*((DE$6-DD$6)/'Inputs &amp; Drivers'!$I$13)*DE151</f>
        <v>0</v>
      </c>
      <c r="DF148" s="12">
        <f ca="1">-DF146*((DF$6-DE$6)/'Inputs &amp; Drivers'!$I$13)*DF151</f>
        <v>0</v>
      </c>
      <c r="DG148" s="12">
        <f ca="1">-DG146*((DG$6-DF$6)/'Inputs &amp; Drivers'!$I$13)*DG151</f>
        <v>0</v>
      </c>
      <c r="DH148" s="12">
        <f ca="1">-DH146*((DH$6-DG$6)/'Inputs &amp; Drivers'!$I$13)*DH151</f>
        <v>0</v>
      </c>
      <c r="DI148" s="12">
        <f ca="1">-DI146*((DI$6-DH$6)/'Inputs &amp; Drivers'!$I$13)*DI151</f>
        <v>0</v>
      </c>
      <c r="DJ148" s="12">
        <f ca="1">-DJ146*((DJ$6-DI$6)/'Inputs &amp; Drivers'!$I$13)*DJ151</f>
        <v>0</v>
      </c>
      <c r="DK148" s="12">
        <f ca="1">-DK146*((DK$6-DJ$6)/'Inputs &amp; Drivers'!$I$13)*DK151</f>
        <v>0</v>
      </c>
      <c r="DL148" s="12">
        <f ca="1">-DL146*((DL$6-DK$6)/'Inputs &amp; Drivers'!$I$13)*DL151</f>
        <v>0</v>
      </c>
      <c r="DM148" s="12">
        <f ca="1">-DM146*((DM$6-DL$6)/'Inputs &amp; Drivers'!$I$13)*DM151</f>
        <v>0</v>
      </c>
      <c r="DN148" s="12">
        <f ca="1">-DN146*((DN$6-DM$6)/'Inputs &amp; Drivers'!$I$13)*DN151</f>
        <v>0</v>
      </c>
      <c r="DO148" s="12">
        <f ca="1">-DO146*((DO$6-DN$6)/'Inputs &amp; Drivers'!$I$13)*DO151</f>
        <v>0</v>
      </c>
      <c r="DP148" s="12">
        <f ca="1">-DP146*((DP$6-DO$6)/'Inputs &amp; Drivers'!$I$13)*DP151</f>
        <v>0</v>
      </c>
      <c r="DQ148" s="12">
        <f ca="1">-DQ146*((DQ$6-DP$6)/'Inputs &amp; Drivers'!$I$13)*DQ151</f>
        <v>0</v>
      </c>
      <c r="DR148" s="12">
        <f ca="1">-DR146*((DR$6-DQ$6)/'Inputs &amp; Drivers'!$I$13)*DR151</f>
        <v>0</v>
      </c>
      <c r="DS148" s="12">
        <f ca="1">-DS146*((DS$6-DR$6)/'Inputs &amp; Drivers'!$I$13)*DS151</f>
        <v>0</v>
      </c>
      <c r="DT148" s="12">
        <f ca="1">-DT146*((DT$6-DS$6)/'Inputs &amp; Drivers'!$I$13)*DT151</f>
        <v>0</v>
      </c>
      <c r="DU148" s="12">
        <f ca="1">-DU146*((DU$6-DT$6)/'Inputs &amp; Drivers'!$I$13)*DU151</f>
        <v>0</v>
      </c>
      <c r="DV148" s="12">
        <f ca="1">-DV146*((DV$6-DU$6)/'Inputs &amp; Drivers'!$I$13)*DV151</f>
        <v>0</v>
      </c>
      <c r="DW148" s="12">
        <f ca="1">-DW146*((DW$6-DV$6)/'Inputs &amp; Drivers'!$I$13)*DW151</f>
        <v>0</v>
      </c>
      <c r="DX148" s="12">
        <f ca="1">-DX146*((DX$6-DW$6)/'Inputs &amp; Drivers'!$I$13)*DX151</f>
        <v>0</v>
      </c>
      <c r="DY148" s="12">
        <f ca="1">-DY146*((DY$6-DX$6)/'Inputs &amp; Drivers'!$I$13)*DY151</f>
        <v>0</v>
      </c>
      <c r="DZ148" s="12">
        <f ca="1">-DZ146*((DZ$6-DY$6)/'Inputs &amp; Drivers'!$I$13)*DZ151</f>
        <v>0</v>
      </c>
      <c r="EA148" s="12">
        <f ca="1">-EA146*((EA$6-DZ$6)/'Inputs &amp; Drivers'!$I$13)*EA151</f>
        <v>0</v>
      </c>
      <c r="EB148" s="12">
        <f ca="1">-EB146*((EB$6-EA$6)/'Inputs &amp; Drivers'!$I$13)*EB151</f>
        <v>0</v>
      </c>
      <c r="EC148" s="12">
        <f ca="1">-EC146*((EC$6-EB$6)/'Inputs &amp; Drivers'!$I$13)*EC151</f>
        <v>0</v>
      </c>
      <c r="ED148" s="12">
        <f ca="1">-ED146*((ED$6-EC$6)/'Inputs &amp; Drivers'!$I$13)*ED151</f>
        <v>0</v>
      </c>
      <c r="EE148" s="12">
        <f ca="1">-EE146*((EE$6-ED$6)/'Inputs &amp; Drivers'!$I$13)*EE151</f>
        <v>0</v>
      </c>
      <c r="EF148" s="12">
        <f ca="1">-EF146*((EF$6-EE$6)/'Inputs &amp; Drivers'!$I$13)*EF151</f>
        <v>0</v>
      </c>
      <c r="EG148" s="12">
        <f ca="1">-EG146*((EG$6-EF$6)/'Inputs &amp; Drivers'!$I$13)*EG151</f>
        <v>0</v>
      </c>
      <c r="EH148" s="12">
        <f ca="1">-EH146*((EH$6-EG$6)/'Inputs &amp; Drivers'!$I$13)*EH151</f>
        <v>0</v>
      </c>
      <c r="EI148" s="12">
        <f ca="1">-EI146*((EI$6-EH$6)/'Inputs &amp; Drivers'!$I$13)*EI151</f>
        <v>0</v>
      </c>
      <c r="EJ148" s="12">
        <f ca="1">-EJ146*((EJ$6-EI$6)/'Inputs &amp; Drivers'!$I$13)*EJ151</f>
        <v>0</v>
      </c>
      <c r="EK148" s="12"/>
      <c r="EL148" s="12">
        <f t="shared" ref="EL148:EW148" si="288">SUMIF($H$4:$EJ$4,EL$5,$H148:$EJ148)</f>
        <v>0</v>
      </c>
      <c r="EM148" s="12">
        <f t="shared" ca="1" si="288"/>
        <v>-24061.130992907405</v>
      </c>
      <c r="EN148" s="12">
        <f t="shared" ca="1" si="288"/>
        <v>-1202402.8234480424</v>
      </c>
      <c r="EO148" s="12">
        <f t="shared" ca="1" si="288"/>
        <v>-1917823.8000000003</v>
      </c>
      <c r="EP148" s="12">
        <f t="shared" ca="1" si="288"/>
        <v>0</v>
      </c>
      <c r="EQ148" s="12">
        <f t="shared" ca="1" si="288"/>
        <v>0</v>
      </c>
      <c r="ER148" s="12">
        <f t="shared" ca="1" si="288"/>
        <v>0</v>
      </c>
      <c r="ES148" s="12">
        <f t="shared" ca="1" si="288"/>
        <v>0</v>
      </c>
      <c r="ET148" s="12">
        <f t="shared" ca="1" si="288"/>
        <v>0</v>
      </c>
      <c r="EU148" s="12">
        <f t="shared" ca="1" si="288"/>
        <v>0</v>
      </c>
      <c r="EV148" s="12">
        <f t="shared" ca="1" si="288"/>
        <v>0</v>
      </c>
      <c r="EW148" s="12">
        <f t="shared" ca="1" si="288"/>
        <v>0</v>
      </c>
    </row>
    <row r="150" spans="2:153" x14ac:dyDescent="0.4">
      <c r="B150" s="1" t="s">
        <v>94</v>
      </c>
      <c r="E150" s="8"/>
      <c r="F150" s="8">
        <f>SUMPRODUCT(($H150:$EJ150)*($H$6:$EJ$6&lt;=$C$5))</f>
        <v>-400000</v>
      </c>
      <c r="G150" s="8"/>
      <c r="H150" s="8">
        <f>-'Inputs &amp; Drivers'!$J$16*'Inputs &amp; Drivers'!$J$24*(H$5=0)</f>
        <v>-400000</v>
      </c>
      <c r="I150" s="12">
        <f>-'Inputs &amp; Drivers'!$J$16*'Inputs &amp; Drivers'!$J$24*(I$5=0)</f>
        <v>0</v>
      </c>
      <c r="J150" s="12">
        <f>-'Inputs &amp; Drivers'!$J$16*'Inputs &amp; Drivers'!$J$24*(J$5=0)</f>
        <v>0</v>
      </c>
      <c r="K150" s="12">
        <f>-'Inputs &amp; Drivers'!$J$16*'Inputs &amp; Drivers'!$J$24*(K$5=0)</f>
        <v>0</v>
      </c>
      <c r="L150" s="12">
        <f>-'Inputs &amp; Drivers'!$J$16*'Inputs &amp; Drivers'!$J$24*(L$5=0)</f>
        <v>0</v>
      </c>
      <c r="M150" s="12">
        <f>-'Inputs &amp; Drivers'!$J$16*'Inputs &amp; Drivers'!$J$24*(M$5=0)</f>
        <v>0</v>
      </c>
      <c r="N150" s="12">
        <f>-'Inputs &amp; Drivers'!$J$16*'Inputs &amp; Drivers'!$J$24*(N$5=0)</f>
        <v>0</v>
      </c>
      <c r="O150" s="12">
        <f>-'Inputs &amp; Drivers'!$J$16*'Inputs &amp; Drivers'!$J$24*(O$5=0)</f>
        <v>0</v>
      </c>
      <c r="P150" s="12">
        <f>-'Inputs &amp; Drivers'!$J$16*'Inputs &amp; Drivers'!$J$24*(P$5=0)</f>
        <v>0</v>
      </c>
      <c r="Q150" s="12">
        <f>-'Inputs &amp; Drivers'!$J$16*'Inputs &amp; Drivers'!$J$24*(Q$5=0)</f>
        <v>0</v>
      </c>
      <c r="R150" s="12">
        <f>-'Inputs &amp; Drivers'!$J$16*'Inputs &amp; Drivers'!$J$24*(R$5=0)</f>
        <v>0</v>
      </c>
      <c r="S150" s="12">
        <f>-'Inputs &amp; Drivers'!$J$16*'Inputs &amp; Drivers'!$J$24*(S$5=0)</f>
        <v>0</v>
      </c>
      <c r="T150" s="12">
        <f>-'Inputs &amp; Drivers'!$J$16*'Inputs &amp; Drivers'!$J$24*(T$5=0)</f>
        <v>0</v>
      </c>
      <c r="U150" s="12">
        <f>-'Inputs &amp; Drivers'!$J$16*'Inputs &amp; Drivers'!$J$24*(U$5=0)</f>
        <v>0</v>
      </c>
      <c r="V150" s="12">
        <f>-'Inputs &amp; Drivers'!$J$16*'Inputs &amp; Drivers'!$J$24*(V$5=0)</f>
        <v>0</v>
      </c>
      <c r="W150" s="12">
        <f>-'Inputs &amp; Drivers'!$J$16*'Inputs &amp; Drivers'!$J$24*(W$5=0)</f>
        <v>0</v>
      </c>
      <c r="X150" s="12">
        <f>-'Inputs &amp; Drivers'!$J$16*'Inputs &amp; Drivers'!$J$24*(X$5=0)</f>
        <v>0</v>
      </c>
      <c r="Y150" s="12">
        <f>-'Inputs &amp; Drivers'!$J$16*'Inputs &amp; Drivers'!$J$24*(Y$5=0)</f>
        <v>0</v>
      </c>
      <c r="Z150" s="12">
        <f>-'Inputs &amp; Drivers'!$J$16*'Inputs &amp; Drivers'!$J$24*(Z$5=0)</f>
        <v>0</v>
      </c>
      <c r="AA150" s="12">
        <f>-'Inputs &amp; Drivers'!$J$16*'Inputs &amp; Drivers'!$J$24*(AA$5=0)</f>
        <v>0</v>
      </c>
      <c r="AB150" s="12">
        <f>-'Inputs &amp; Drivers'!$J$16*'Inputs &amp; Drivers'!$J$24*(AB$5=0)</f>
        <v>0</v>
      </c>
      <c r="AC150" s="12">
        <f>-'Inputs &amp; Drivers'!$J$16*'Inputs &amp; Drivers'!$J$24*(AC$5=0)</f>
        <v>0</v>
      </c>
      <c r="AD150" s="12">
        <f>-'Inputs &amp; Drivers'!$J$16*'Inputs &amp; Drivers'!$J$24*(AD$5=0)</f>
        <v>0</v>
      </c>
      <c r="AE150" s="12">
        <f>-'Inputs &amp; Drivers'!$J$16*'Inputs &amp; Drivers'!$J$24*(AE$5=0)</f>
        <v>0</v>
      </c>
      <c r="AF150" s="12">
        <f>-'Inputs &amp; Drivers'!$J$16*'Inputs &amp; Drivers'!$J$24*(AF$5=0)</f>
        <v>0</v>
      </c>
      <c r="AG150" s="12">
        <f>-'Inputs &amp; Drivers'!$J$16*'Inputs &amp; Drivers'!$J$24*(AG$5=0)</f>
        <v>0</v>
      </c>
      <c r="AH150" s="12">
        <f>-'Inputs &amp; Drivers'!$J$16*'Inputs &amp; Drivers'!$J$24*(AH$5=0)</f>
        <v>0</v>
      </c>
      <c r="AI150" s="12">
        <f>-'Inputs &amp; Drivers'!$J$16*'Inputs &amp; Drivers'!$J$24*(AI$5=0)</f>
        <v>0</v>
      </c>
      <c r="AJ150" s="12">
        <f>-'Inputs &amp; Drivers'!$J$16*'Inputs &amp; Drivers'!$J$24*(AJ$5=0)</f>
        <v>0</v>
      </c>
      <c r="AK150" s="12">
        <f>-'Inputs &amp; Drivers'!$J$16*'Inputs &amp; Drivers'!$J$24*(AK$5=0)</f>
        <v>0</v>
      </c>
      <c r="AL150" s="12">
        <f>-'Inputs &amp; Drivers'!$J$16*'Inputs &amp; Drivers'!$J$24*(AL$5=0)</f>
        <v>0</v>
      </c>
      <c r="AM150" s="12">
        <f>-'Inputs &amp; Drivers'!$J$16*'Inputs &amp; Drivers'!$J$24*(AM$5=0)</f>
        <v>0</v>
      </c>
      <c r="AN150" s="12">
        <f>-'Inputs &amp; Drivers'!$J$16*'Inputs &amp; Drivers'!$J$24*(AN$5=0)</f>
        <v>0</v>
      </c>
      <c r="AO150" s="12">
        <f>-'Inputs &amp; Drivers'!$J$16*'Inputs &amp; Drivers'!$J$24*(AO$5=0)</f>
        <v>0</v>
      </c>
      <c r="AP150" s="12">
        <f>-'Inputs &amp; Drivers'!$J$16*'Inputs &amp; Drivers'!$J$24*(AP$5=0)</f>
        <v>0</v>
      </c>
      <c r="AQ150" s="12">
        <f>-'Inputs &amp; Drivers'!$J$16*'Inputs &amp; Drivers'!$J$24*(AQ$5=0)</f>
        <v>0</v>
      </c>
      <c r="AR150" s="12">
        <f>-'Inputs &amp; Drivers'!$J$16*'Inputs &amp; Drivers'!$J$24*(AR$5=0)</f>
        <v>0</v>
      </c>
      <c r="AS150" s="12">
        <f>-'Inputs &amp; Drivers'!$J$16*'Inputs &amp; Drivers'!$J$24*(AS$5=0)</f>
        <v>0</v>
      </c>
      <c r="AT150" s="12">
        <f>-'Inputs &amp; Drivers'!$J$16*'Inputs &amp; Drivers'!$J$24*(AT$5=0)</f>
        <v>0</v>
      </c>
      <c r="AU150" s="12">
        <f>-'Inputs &amp; Drivers'!$J$16*'Inputs &amp; Drivers'!$J$24*(AU$5=0)</f>
        <v>0</v>
      </c>
      <c r="AV150" s="12">
        <f>-'Inputs &amp; Drivers'!$J$16*'Inputs &amp; Drivers'!$J$24*(AV$5=0)</f>
        <v>0</v>
      </c>
      <c r="AW150" s="12">
        <f>-'Inputs &amp; Drivers'!$J$16*'Inputs &amp; Drivers'!$J$24*(AW$5=0)</f>
        <v>0</v>
      </c>
      <c r="AX150" s="12">
        <f>-'Inputs &amp; Drivers'!$J$16*'Inputs &amp; Drivers'!$J$24*(AX$5=0)</f>
        <v>0</v>
      </c>
      <c r="AY150" s="12">
        <f>-'Inputs &amp; Drivers'!$J$16*'Inputs &amp; Drivers'!$J$24*(AY$5=0)</f>
        <v>0</v>
      </c>
      <c r="AZ150" s="12">
        <f>-'Inputs &amp; Drivers'!$J$16*'Inputs &amp; Drivers'!$J$24*(AZ$5=0)</f>
        <v>0</v>
      </c>
      <c r="BA150" s="12">
        <f>-'Inputs &amp; Drivers'!$J$16*'Inputs &amp; Drivers'!$J$24*(BA$5=0)</f>
        <v>0</v>
      </c>
      <c r="BB150" s="12">
        <f>-'Inputs &amp; Drivers'!$J$16*'Inputs &amp; Drivers'!$J$24*(BB$5=0)</f>
        <v>0</v>
      </c>
      <c r="BC150" s="12">
        <f>-'Inputs &amp; Drivers'!$J$16*'Inputs &amp; Drivers'!$J$24*(BC$5=0)</f>
        <v>0</v>
      </c>
      <c r="BD150" s="12">
        <f>-'Inputs &amp; Drivers'!$J$16*'Inputs &amp; Drivers'!$J$24*(BD$5=0)</f>
        <v>0</v>
      </c>
      <c r="BE150" s="12">
        <f>-'Inputs &amp; Drivers'!$J$16*'Inputs &amp; Drivers'!$J$24*(BE$5=0)</f>
        <v>0</v>
      </c>
      <c r="BF150" s="12">
        <f>-'Inputs &amp; Drivers'!$J$16*'Inputs &amp; Drivers'!$J$24*(BF$5=0)</f>
        <v>0</v>
      </c>
      <c r="BG150" s="12">
        <f>-'Inputs &amp; Drivers'!$J$16*'Inputs &amp; Drivers'!$J$24*(BG$5=0)</f>
        <v>0</v>
      </c>
      <c r="BH150" s="12">
        <f>-'Inputs &amp; Drivers'!$J$16*'Inputs &amp; Drivers'!$J$24*(BH$5=0)</f>
        <v>0</v>
      </c>
      <c r="BI150" s="12">
        <f>-'Inputs &amp; Drivers'!$J$16*'Inputs &amp; Drivers'!$J$24*(BI$5=0)</f>
        <v>0</v>
      </c>
      <c r="BJ150" s="12">
        <f>-'Inputs &amp; Drivers'!$J$16*'Inputs &amp; Drivers'!$J$24*(BJ$5=0)</f>
        <v>0</v>
      </c>
      <c r="BK150" s="12">
        <f>-'Inputs &amp; Drivers'!$J$16*'Inputs &amp; Drivers'!$J$24*(BK$5=0)</f>
        <v>0</v>
      </c>
      <c r="BL150" s="12">
        <f>-'Inputs &amp; Drivers'!$J$16*'Inputs &amp; Drivers'!$J$24*(BL$5=0)</f>
        <v>0</v>
      </c>
      <c r="BM150" s="12">
        <f>-'Inputs &amp; Drivers'!$J$16*'Inputs &amp; Drivers'!$J$24*(BM$5=0)</f>
        <v>0</v>
      </c>
      <c r="BN150" s="12">
        <f>-'Inputs &amp; Drivers'!$J$16*'Inputs &amp; Drivers'!$J$24*(BN$5=0)</f>
        <v>0</v>
      </c>
      <c r="BO150" s="12">
        <f>-'Inputs &amp; Drivers'!$J$16*'Inputs &amp; Drivers'!$J$24*(BO$5=0)</f>
        <v>0</v>
      </c>
      <c r="BP150" s="12">
        <f>-'Inputs &amp; Drivers'!$J$16*'Inputs &amp; Drivers'!$J$24*(BP$5=0)</f>
        <v>0</v>
      </c>
      <c r="BQ150" s="12">
        <f>-'Inputs &amp; Drivers'!$J$16*'Inputs &amp; Drivers'!$J$24*(BQ$5=0)</f>
        <v>0</v>
      </c>
      <c r="BR150" s="12">
        <f>-'Inputs &amp; Drivers'!$J$16*'Inputs &amp; Drivers'!$J$24*(BR$5=0)</f>
        <v>0</v>
      </c>
      <c r="BS150" s="12">
        <f>-'Inputs &amp; Drivers'!$J$16*'Inputs &amp; Drivers'!$J$24*(BS$5=0)</f>
        <v>0</v>
      </c>
      <c r="BT150" s="12">
        <f>-'Inputs &amp; Drivers'!$J$16*'Inputs &amp; Drivers'!$J$24*(BT$5=0)</f>
        <v>0</v>
      </c>
      <c r="BU150" s="12">
        <f>-'Inputs &amp; Drivers'!$J$16*'Inputs &amp; Drivers'!$J$24*(BU$5=0)</f>
        <v>0</v>
      </c>
      <c r="BV150" s="12">
        <f>-'Inputs &amp; Drivers'!$J$16*'Inputs &amp; Drivers'!$J$24*(BV$5=0)</f>
        <v>0</v>
      </c>
      <c r="BW150" s="12">
        <f>-'Inputs &amp; Drivers'!$J$16*'Inputs &amp; Drivers'!$J$24*(BW$5=0)</f>
        <v>0</v>
      </c>
      <c r="BX150" s="12">
        <f>-'Inputs &amp; Drivers'!$J$16*'Inputs &amp; Drivers'!$J$24*(BX$5=0)</f>
        <v>0</v>
      </c>
      <c r="BY150" s="12">
        <f>-'Inputs &amp; Drivers'!$J$16*'Inputs &amp; Drivers'!$J$24*(BY$5=0)</f>
        <v>0</v>
      </c>
      <c r="BZ150" s="12">
        <f>-'Inputs &amp; Drivers'!$J$16*'Inputs &amp; Drivers'!$J$24*(BZ$5=0)</f>
        <v>0</v>
      </c>
      <c r="CA150" s="12">
        <f>-'Inputs &amp; Drivers'!$J$16*'Inputs &amp; Drivers'!$J$24*(CA$5=0)</f>
        <v>0</v>
      </c>
      <c r="CB150" s="12">
        <f>-'Inputs &amp; Drivers'!$J$16*'Inputs &amp; Drivers'!$J$24*(CB$5=0)</f>
        <v>0</v>
      </c>
      <c r="CC150" s="12">
        <f>-'Inputs &amp; Drivers'!$J$16*'Inputs &amp; Drivers'!$J$24*(CC$5=0)</f>
        <v>0</v>
      </c>
      <c r="CD150" s="12">
        <f>-'Inputs &amp; Drivers'!$J$16*'Inputs &amp; Drivers'!$J$24*(CD$5=0)</f>
        <v>0</v>
      </c>
      <c r="CE150" s="12">
        <f>-'Inputs &amp; Drivers'!$J$16*'Inputs &amp; Drivers'!$J$24*(CE$5=0)</f>
        <v>0</v>
      </c>
      <c r="CF150" s="12">
        <f>-'Inputs &amp; Drivers'!$J$16*'Inputs &amp; Drivers'!$J$24*(CF$5=0)</f>
        <v>0</v>
      </c>
      <c r="CG150" s="12">
        <f>-'Inputs &amp; Drivers'!$J$16*'Inputs &amp; Drivers'!$J$24*(CG$5=0)</f>
        <v>0</v>
      </c>
      <c r="CH150" s="12">
        <f>-'Inputs &amp; Drivers'!$J$16*'Inputs &amp; Drivers'!$J$24*(CH$5=0)</f>
        <v>0</v>
      </c>
      <c r="CI150" s="12">
        <f>-'Inputs &amp; Drivers'!$J$16*'Inputs &amp; Drivers'!$J$24*(CI$5=0)</f>
        <v>0</v>
      </c>
      <c r="CJ150" s="12">
        <f>-'Inputs &amp; Drivers'!$J$16*'Inputs &amp; Drivers'!$J$24*(CJ$5=0)</f>
        <v>0</v>
      </c>
      <c r="CK150" s="12">
        <f>-'Inputs &amp; Drivers'!$J$16*'Inputs &amp; Drivers'!$J$24*(CK$5=0)</f>
        <v>0</v>
      </c>
      <c r="CL150" s="12">
        <f>-'Inputs &amp; Drivers'!$J$16*'Inputs &amp; Drivers'!$J$24*(CL$5=0)</f>
        <v>0</v>
      </c>
      <c r="CM150" s="12">
        <f>-'Inputs &amp; Drivers'!$J$16*'Inputs &amp; Drivers'!$J$24*(CM$5=0)</f>
        <v>0</v>
      </c>
      <c r="CN150" s="12">
        <f>-'Inputs &amp; Drivers'!$J$16*'Inputs &amp; Drivers'!$J$24*(CN$5=0)</f>
        <v>0</v>
      </c>
      <c r="CO150" s="12">
        <f>-'Inputs &amp; Drivers'!$J$16*'Inputs &amp; Drivers'!$J$24*(CO$5=0)</f>
        <v>0</v>
      </c>
      <c r="CP150" s="12">
        <f>-'Inputs &amp; Drivers'!$J$16*'Inputs &amp; Drivers'!$J$24*(CP$5=0)</f>
        <v>0</v>
      </c>
      <c r="CQ150" s="12">
        <f>-'Inputs &amp; Drivers'!$J$16*'Inputs &amp; Drivers'!$J$24*(CQ$5=0)</f>
        <v>0</v>
      </c>
      <c r="CR150" s="12">
        <f>-'Inputs &amp; Drivers'!$J$16*'Inputs &amp; Drivers'!$J$24*(CR$5=0)</f>
        <v>0</v>
      </c>
      <c r="CS150" s="12">
        <f>-'Inputs &amp; Drivers'!$J$16*'Inputs &amp; Drivers'!$J$24*(CS$5=0)</f>
        <v>0</v>
      </c>
      <c r="CT150" s="12">
        <f>-'Inputs &amp; Drivers'!$J$16*'Inputs &amp; Drivers'!$J$24*(CT$5=0)</f>
        <v>0</v>
      </c>
      <c r="CU150" s="12">
        <f>-'Inputs &amp; Drivers'!$J$16*'Inputs &amp; Drivers'!$J$24*(CU$5=0)</f>
        <v>0</v>
      </c>
      <c r="CV150" s="12">
        <f>-'Inputs &amp; Drivers'!$J$16*'Inputs &amp; Drivers'!$J$24*(CV$5=0)</f>
        <v>0</v>
      </c>
      <c r="CW150" s="12">
        <f>-'Inputs &amp; Drivers'!$J$16*'Inputs &amp; Drivers'!$J$24*(CW$5=0)</f>
        <v>0</v>
      </c>
      <c r="CX150" s="12">
        <f>-'Inputs &amp; Drivers'!$J$16*'Inputs &amp; Drivers'!$J$24*(CX$5=0)</f>
        <v>0</v>
      </c>
      <c r="CY150" s="12">
        <f>-'Inputs &amp; Drivers'!$J$16*'Inputs &amp; Drivers'!$J$24*(CY$5=0)</f>
        <v>0</v>
      </c>
      <c r="CZ150" s="12">
        <f>-'Inputs &amp; Drivers'!$J$16*'Inputs &amp; Drivers'!$J$24*(CZ$5=0)</f>
        <v>0</v>
      </c>
      <c r="DA150" s="12">
        <f>-'Inputs &amp; Drivers'!$J$16*'Inputs &amp; Drivers'!$J$24*(DA$5=0)</f>
        <v>0</v>
      </c>
      <c r="DB150" s="12">
        <f>-'Inputs &amp; Drivers'!$J$16*'Inputs &amp; Drivers'!$J$24*(DB$5=0)</f>
        <v>0</v>
      </c>
      <c r="DC150" s="12">
        <f>-'Inputs &amp; Drivers'!$J$16*'Inputs &amp; Drivers'!$J$24*(DC$5=0)</f>
        <v>0</v>
      </c>
      <c r="DD150" s="12">
        <f>-'Inputs &amp; Drivers'!$J$16*'Inputs &amp; Drivers'!$J$24*(DD$5=0)</f>
        <v>0</v>
      </c>
      <c r="DE150" s="12">
        <f>-'Inputs &amp; Drivers'!$J$16*'Inputs &amp; Drivers'!$J$24*(DE$5=0)</f>
        <v>0</v>
      </c>
      <c r="DF150" s="12">
        <f>-'Inputs &amp; Drivers'!$J$16*'Inputs &amp; Drivers'!$J$24*(DF$5=0)</f>
        <v>0</v>
      </c>
      <c r="DG150" s="12">
        <f>-'Inputs &amp; Drivers'!$J$16*'Inputs &amp; Drivers'!$J$24*(DG$5=0)</f>
        <v>0</v>
      </c>
      <c r="DH150" s="12">
        <f>-'Inputs &amp; Drivers'!$J$16*'Inputs &amp; Drivers'!$J$24*(DH$5=0)</f>
        <v>0</v>
      </c>
      <c r="DI150" s="12">
        <f>-'Inputs &amp; Drivers'!$J$16*'Inputs &amp; Drivers'!$J$24*(DI$5=0)</f>
        <v>0</v>
      </c>
      <c r="DJ150" s="12">
        <f>-'Inputs &amp; Drivers'!$J$16*'Inputs &amp; Drivers'!$J$24*(DJ$5=0)</f>
        <v>0</v>
      </c>
      <c r="DK150" s="12">
        <f>-'Inputs &amp; Drivers'!$J$16*'Inputs &amp; Drivers'!$J$24*(DK$5=0)</f>
        <v>0</v>
      </c>
      <c r="DL150" s="12">
        <f>-'Inputs &amp; Drivers'!$J$16*'Inputs &amp; Drivers'!$J$24*(DL$5=0)</f>
        <v>0</v>
      </c>
      <c r="DM150" s="12">
        <f>-'Inputs &amp; Drivers'!$J$16*'Inputs &amp; Drivers'!$J$24*(DM$5=0)</f>
        <v>0</v>
      </c>
      <c r="DN150" s="12">
        <f>-'Inputs &amp; Drivers'!$J$16*'Inputs &amp; Drivers'!$J$24*(DN$5=0)</f>
        <v>0</v>
      </c>
      <c r="DO150" s="12">
        <f>-'Inputs &amp; Drivers'!$J$16*'Inputs &amp; Drivers'!$J$24*(DO$5=0)</f>
        <v>0</v>
      </c>
      <c r="DP150" s="12">
        <f>-'Inputs &amp; Drivers'!$J$16*'Inputs &amp; Drivers'!$J$24*(DP$5=0)</f>
        <v>0</v>
      </c>
      <c r="DQ150" s="12">
        <f>-'Inputs &amp; Drivers'!$J$16*'Inputs &amp; Drivers'!$J$24*(DQ$5=0)</f>
        <v>0</v>
      </c>
      <c r="DR150" s="12">
        <f>-'Inputs &amp; Drivers'!$J$16*'Inputs &amp; Drivers'!$J$24*(DR$5=0)</f>
        <v>0</v>
      </c>
      <c r="DS150" s="12">
        <f>-'Inputs &amp; Drivers'!$J$16*'Inputs &amp; Drivers'!$J$24*(DS$5=0)</f>
        <v>0</v>
      </c>
      <c r="DT150" s="12">
        <f>-'Inputs &amp; Drivers'!$J$16*'Inputs &amp; Drivers'!$J$24*(DT$5=0)</f>
        <v>0</v>
      </c>
      <c r="DU150" s="12">
        <f>-'Inputs &amp; Drivers'!$J$16*'Inputs &amp; Drivers'!$J$24*(DU$5=0)</f>
        <v>0</v>
      </c>
      <c r="DV150" s="12">
        <f>-'Inputs &amp; Drivers'!$J$16*'Inputs &amp; Drivers'!$J$24*(DV$5=0)</f>
        <v>0</v>
      </c>
      <c r="DW150" s="12">
        <f>-'Inputs &amp; Drivers'!$J$16*'Inputs &amp; Drivers'!$J$24*(DW$5=0)</f>
        <v>0</v>
      </c>
      <c r="DX150" s="12">
        <f>-'Inputs &amp; Drivers'!$J$16*'Inputs &amp; Drivers'!$J$24*(DX$5=0)</f>
        <v>0</v>
      </c>
      <c r="DY150" s="12">
        <f>-'Inputs &amp; Drivers'!$J$16*'Inputs &amp; Drivers'!$J$24*(DY$5=0)</f>
        <v>0</v>
      </c>
      <c r="DZ150" s="12">
        <f>-'Inputs &amp; Drivers'!$J$16*'Inputs &amp; Drivers'!$J$24*(DZ$5=0)</f>
        <v>0</v>
      </c>
      <c r="EA150" s="12">
        <f>-'Inputs &amp; Drivers'!$J$16*'Inputs &amp; Drivers'!$J$24*(EA$5=0)</f>
        <v>0</v>
      </c>
      <c r="EB150" s="12">
        <f>-'Inputs &amp; Drivers'!$J$16*'Inputs &amp; Drivers'!$J$24*(EB$5=0)</f>
        <v>0</v>
      </c>
      <c r="EC150" s="12">
        <f>-'Inputs &amp; Drivers'!$J$16*'Inputs &amp; Drivers'!$J$24*(EC$5=0)</f>
        <v>0</v>
      </c>
      <c r="ED150" s="12">
        <f>-'Inputs &amp; Drivers'!$J$16*'Inputs &amp; Drivers'!$J$24*(ED$5=0)</f>
        <v>0</v>
      </c>
      <c r="EE150" s="12">
        <f>-'Inputs &amp; Drivers'!$J$16*'Inputs &amp; Drivers'!$J$24*(EE$5=0)</f>
        <v>0</v>
      </c>
      <c r="EF150" s="12">
        <f>-'Inputs &amp; Drivers'!$J$16*'Inputs &amp; Drivers'!$J$24*(EF$5=0)</f>
        <v>0</v>
      </c>
      <c r="EG150" s="12">
        <f>-'Inputs &amp; Drivers'!$J$16*'Inputs &amp; Drivers'!$J$24*(EG$5=0)</f>
        <v>0</v>
      </c>
      <c r="EH150" s="12">
        <f>-'Inputs &amp; Drivers'!$J$16*'Inputs &amp; Drivers'!$J$24*(EH$5=0)</f>
        <v>0</v>
      </c>
      <c r="EI150" s="12">
        <f>-'Inputs &amp; Drivers'!$J$16*'Inputs &amp; Drivers'!$J$24*(EI$5=0)</f>
        <v>0</v>
      </c>
      <c r="EJ150" s="12">
        <f>-'Inputs &amp; Drivers'!$J$16*'Inputs &amp; Drivers'!$J$24*(EJ$5=0)</f>
        <v>0</v>
      </c>
      <c r="EK150" s="12"/>
      <c r="EL150" s="12">
        <f t="shared" ref="EL150:EW154" si="289">SUMIF($H$4:$EJ$4,EL$5,$H150:$EJ150)</f>
        <v>-400000</v>
      </c>
      <c r="EM150" s="12">
        <f t="shared" si="289"/>
        <v>0</v>
      </c>
      <c r="EN150" s="12">
        <f t="shared" si="289"/>
        <v>0</v>
      </c>
      <c r="EO150" s="12">
        <f t="shared" si="289"/>
        <v>0</v>
      </c>
      <c r="EP150" s="12">
        <f t="shared" si="289"/>
        <v>0</v>
      </c>
      <c r="EQ150" s="12">
        <f t="shared" si="289"/>
        <v>0</v>
      </c>
      <c r="ER150" s="12">
        <f t="shared" si="289"/>
        <v>0</v>
      </c>
      <c r="ES150" s="12">
        <f t="shared" si="289"/>
        <v>0</v>
      </c>
      <c r="ET150" s="12">
        <f t="shared" si="289"/>
        <v>0</v>
      </c>
      <c r="EU150" s="12">
        <f t="shared" si="289"/>
        <v>0</v>
      </c>
      <c r="EV150" s="12">
        <f t="shared" si="289"/>
        <v>0</v>
      </c>
      <c r="EW150" s="12">
        <f t="shared" si="289"/>
        <v>0</v>
      </c>
    </row>
    <row r="151" spans="2:153" x14ac:dyDescent="0.4">
      <c r="B151" s="1" t="s">
        <v>95</v>
      </c>
      <c r="E151" s="87"/>
      <c r="F151" s="87">
        <v>0</v>
      </c>
      <c r="G151" s="67"/>
      <c r="H151" s="87">
        <v>0</v>
      </c>
      <c r="I151" s="14">
        <f ca="1">H155</f>
        <v>0</v>
      </c>
      <c r="J151" s="14">
        <f t="shared" ref="J151:BU151" ca="1" si="290">I155</f>
        <v>0</v>
      </c>
      <c r="K151" s="14">
        <f t="shared" ca="1" si="290"/>
        <v>0</v>
      </c>
      <c r="L151" s="14">
        <f t="shared" ca="1" si="290"/>
        <v>0</v>
      </c>
      <c r="M151" s="14">
        <f t="shared" ca="1" si="290"/>
        <v>0</v>
      </c>
      <c r="N151" s="14">
        <f t="shared" ca="1" si="290"/>
        <v>0</v>
      </c>
      <c r="O151" s="14">
        <f t="shared" ca="1" si="290"/>
        <v>0</v>
      </c>
      <c r="P151" s="14">
        <f t="shared" ca="1" si="290"/>
        <v>0</v>
      </c>
      <c r="Q151" s="14">
        <f t="shared" ca="1" si="290"/>
        <v>0</v>
      </c>
      <c r="R151" s="14">
        <f t="shared" ca="1" si="290"/>
        <v>0</v>
      </c>
      <c r="S151" s="14">
        <f t="shared" ca="1" si="290"/>
        <v>1363300.000572212</v>
      </c>
      <c r="T151" s="14">
        <f t="shared" ca="1" si="290"/>
        <v>4510509.9489095043</v>
      </c>
      <c r="U151" s="14">
        <f t="shared" ca="1" si="290"/>
        <v>7670861.1315651201</v>
      </c>
      <c r="V151" s="14">
        <f t="shared" ca="1" si="290"/>
        <v>10844163.053942338</v>
      </c>
      <c r="W151" s="14">
        <f t="shared" ca="1" si="290"/>
        <v>14026099.437731128</v>
      </c>
      <c r="X151" s="14">
        <f t="shared" ca="1" si="290"/>
        <v>17225239.043077394</v>
      </c>
      <c r="Y151" s="14">
        <f t="shared" ca="1" si="290"/>
        <v>20435011.22497119</v>
      </c>
      <c r="Z151" s="14">
        <f t="shared" ca="1" si="290"/>
        <v>23687741.841677148</v>
      </c>
      <c r="AA151" s="14">
        <f t="shared" ca="1" si="290"/>
        <v>26922548.938104328</v>
      </c>
      <c r="AB151" s="14">
        <f t="shared" ca="1" si="290"/>
        <v>30173399.112615548</v>
      </c>
      <c r="AC151" s="14">
        <f t="shared" ca="1" si="290"/>
        <v>33437221.834561452</v>
      </c>
      <c r="AD151" s="14">
        <f t="shared" ca="1" si="290"/>
        <v>36709802.767007604</v>
      </c>
      <c r="AE151" s="14">
        <f t="shared" ca="1" si="290"/>
        <v>40000000</v>
      </c>
      <c r="AF151" s="14">
        <f t="shared" ca="1" si="290"/>
        <v>40000000</v>
      </c>
      <c r="AG151" s="14">
        <f t="shared" ca="1" si="290"/>
        <v>40000000</v>
      </c>
      <c r="AH151" s="14">
        <f t="shared" ca="1" si="290"/>
        <v>40000000</v>
      </c>
      <c r="AI151" s="14">
        <f t="shared" ca="1" si="290"/>
        <v>40000000</v>
      </c>
      <c r="AJ151" s="14">
        <f t="shared" ca="1" si="290"/>
        <v>40000000</v>
      </c>
      <c r="AK151" s="14">
        <f t="shared" ca="1" si="290"/>
        <v>40000000</v>
      </c>
      <c r="AL151" s="14">
        <f t="shared" ca="1" si="290"/>
        <v>40000000</v>
      </c>
      <c r="AM151" s="14">
        <f t="shared" ca="1" si="290"/>
        <v>40000000</v>
      </c>
      <c r="AN151" s="14">
        <f t="shared" ca="1" si="290"/>
        <v>40000000</v>
      </c>
      <c r="AO151" s="14">
        <f t="shared" ca="1" si="290"/>
        <v>40000000</v>
      </c>
      <c r="AP151" s="14">
        <f t="shared" ca="1" si="290"/>
        <v>40000000</v>
      </c>
      <c r="AQ151" s="14">
        <f t="shared" ca="1" si="290"/>
        <v>40000000</v>
      </c>
      <c r="AR151" s="14">
        <f t="shared" ca="1" si="290"/>
        <v>40000000</v>
      </c>
      <c r="AS151" s="14">
        <f t="shared" ca="1" si="290"/>
        <v>0</v>
      </c>
      <c r="AT151" s="14">
        <f t="shared" ca="1" si="290"/>
        <v>0</v>
      </c>
      <c r="AU151" s="14">
        <f t="shared" ca="1" si="290"/>
        <v>0</v>
      </c>
      <c r="AV151" s="14">
        <f t="shared" ca="1" si="290"/>
        <v>0</v>
      </c>
      <c r="AW151" s="14">
        <f t="shared" ca="1" si="290"/>
        <v>0</v>
      </c>
      <c r="AX151" s="14">
        <f t="shared" ca="1" si="290"/>
        <v>0</v>
      </c>
      <c r="AY151" s="14">
        <f t="shared" ca="1" si="290"/>
        <v>0</v>
      </c>
      <c r="AZ151" s="14">
        <f t="shared" ca="1" si="290"/>
        <v>0</v>
      </c>
      <c r="BA151" s="14">
        <f t="shared" ca="1" si="290"/>
        <v>0</v>
      </c>
      <c r="BB151" s="14">
        <f t="shared" ca="1" si="290"/>
        <v>0</v>
      </c>
      <c r="BC151" s="14">
        <f t="shared" ca="1" si="290"/>
        <v>0</v>
      </c>
      <c r="BD151" s="14">
        <f t="shared" ca="1" si="290"/>
        <v>0</v>
      </c>
      <c r="BE151" s="14">
        <f t="shared" ca="1" si="290"/>
        <v>0</v>
      </c>
      <c r="BF151" s="14">
        <f t="shared" ca="1" si="290"/>
        <v>0</v>
      </c>
      <c r="BG151" s="14">
        <f t="shared" ca="1" si="290"/>
        <v>0</v>
      </c>
      <c r="BH151" s="14">
        <f t="shared" ca="1" si="290"/>
        <v>0</v>
      </c>
      <c r="BI151" s="14">
        <f t="shared" ca="1" si="290"/>
        <v>0</v>
      </c>
      <c r="BJ151" s="14">
        <f t="shared" ca="1" si="290"/>
        <v>0</v>
      </c>
      <c r="BK151" s="14">
        <f t="shared" ca="1" si="290"/>
        <v>0</v>
      </c>
      <c r="BL151" s="14">
        <f t="shared" ca="1" si="290"/>
        <v>0</v>
      </c>
      <c r="BM151" s="14">
        <f t="shared" ca="1" si="290"/>
        <v>0</v>
      </c>
      <c r="BN151" s="14">
        <f t="shared" ca="1" si="290"/>
        <v>0</v>
      </c>
      <c r="BO151" s="14">
        <f t="shared" ca="1" si="290"/>
        <v>0</v>
      </c>
      <c r="BP151" s="14">
        <f t="shared" ca="1" si="290"/>
        <v>0</v>
      </c>
      <c r="BQ151" s="14">
        <f t="shared" ca="1" si="290"/>
        <v>0</v>
      </c>
      <c r="BR151" s="14">
        <f t="shared" ca="1" si="290"/>
        <v>0</v>
      </c>
      <c r="BS151" s="14">
        <f t="shared" ca="1" si="290"/>
        <v>0</v>
      </c>
      <c r="BT151" s="14">
        <f t="shared" ca="1" si="290"/>
        <v>0</v>
      </c>
      <c r="BU151" s="14">
        <f t="shared" ca="1" si="290"/>
        <v>0</v>
      </c>
      <c r="BV151" s="14">
        <f t="shared" ref="BV151:EG151" ca="1" si="291">BU155</f>
        <v>0</v>
      </c>
      <c r="BW151" s="14">
        <f t="shared" ca="1" si="291"/>
        <v>0</v>
      </c>
      <c r="BX151" s="14">
        <f t="shared" ca="1" si="291"/>
        <v>0</v>
      </c>
      <c r="BY151" s="14">
        <f t="shared" ca="1" si="291"/>
        <v>0</v>
      </c>
      <c r="BZ151" s="14">
        <f t="shared" ca="1" si="291"/>
        <v>0</v>
      </c>
      <c r="CA151" s="14">
        <f t="shared" ca="1" si="291"/>
        <v>0</v>
      </c>
      <c r="CB151" s="14">
        <f t="shared" ca="1" si="291"/>
        <v>0</v>
      </c>
      <c r="CC151" s="14">
        <f t="shared" ca="1" si="291"/>
        <v>0</v>
      </c>
      <c r="CD151" s="14">
        <f t="shared" ca="1" si="291"/>
        <v>0</v>
      </c>
      <c r="CE151" s="14">
        <f t="shared" ca="1" si="291"/>
        <v>0</v>
      </c>
      <c r="CF151" s="14">
        <f t="shared" ca="1" si="291"/>
        <v>0</v>
      </c>
      <c r="CG151" s="14">
        <f t="shared" ca="1" si="291"/>
        <v>0</v>
      </c>
      <c r="CH151" s="14">
        <f t="shared" ca="1" si="291"/>
        <v>0</v>
      </c>
      <c r="CI151" s="14">
        <f t="shared" ca="1" si="291"/>
        <v>0</v>
      </c>
      <c r="CJ151" s="14">
        <f t="shared" ca="1" si="291"/>
        <v>0</v>
      </c>
      <c r="CK151" s="14">
        <f t="shared" ca="1" si="291"/>
        <v>0</v>
      </c>
      <c r="CL151" s="14">
        <f t="shared" ca="1" si="291"/>
        <v>0</v>
      </c>
      <c r="CM151" s="14">
        <f t="shared" ca="1" si="291"/>
        <v>0</v>
      </c>
      <c r="CN151" s="14">
        <f t="shared" ca="1" si="291"/>
        <v>0</v>
      </c>
      <c r="CO151" s="14">
        <f t="shared" ca="1" si="291"/>
        <v>0</v>
      </c>
      <c r="CP151" s="14">
        <f t="shared" ca="1" si="291"/>
        <v>0</v>
      </c>
      <c r="CQ151" s="14">
        <f t="shared" ca="1" si="291"/>
        <v>0</v>
      </c>
      <c r="CR151" s="14">
        <f t="shared" ca="1" si="291"/>
        <v>0</v>
      </c>
      <c r="CS151" s="14">
        <f t="shared" ca="1" si="291"/>
        <v>0</v>
      </c>
      <c r="CT151" s="14">
        <f t="shared" ca="1" si="291"/>
        <v>0</v>
      </c>
      <c r="CU151" s="14">
        <f t="shared" ca="1" si="291"/>
        <v>0</v>
      </c>
      <c r="CV151" s="14">
        <f t="shared" ca="1" si="291"/>
        <v>0</v>
      </c>
      <c r="CW151" s="14">
        <f t="shared" ca="1" si="291"/>
        <v>0</v>
      </c>
      <c r="CX151" s="14">
        <f t="shared" ca="1" si="291"/>
        <v>0</v>
      </c>
      <c r="CY151" s="14">
        <f t="shared" ca="1" si="291"/>
        <v>0</v>
      </c>
      <c r="CZ151" s="14">
        <f t="shared" ca="1" si="291"/>
        <v>0</v>
      </c>
      <c r="DA151" s="14">
        <f t="shared" ca="1" si="291"/>
        <v>0</v>
      </c>
      <c r="DB151" s="14">
        <f t="shared" ca="1" si="291"/>
        <v>0</v>
      </c>
      <c r="DC151" s="14">
        <f t="shared" ca="1" si="291"/>
        <v>0</v>
      </c>
      <c r="DD151" s="14">
        <f t="shared" ca="1" si="291"/>
        <v>0</v>
      </c>
      <c r="DE151" s="14">
        <f t="shared" ca="1" si="291"/>
        <v>0</v>
      </c>
      <c r="DF151" s="14">
        <f t="shared" ca="1" si="291"/>
        <v>0</v>
      </c>
      <c r="DG151" s="14">
        <f t="shared" ca="1" si="291"/>
        <v>0</v>
      </c>
      <c r="DH151" s="14">
        <f t="shared" ca="1" si="291"/>
        <v>0</v>
      </c>
      <c r="DI151" s="14">
        <f t="shared" ca="1" si="291"/>
        <v>0</v>
      </c>
      <c r="DJ151" s="14">
        <f t="shared" ca="1" si="291"/>
        <v>0</v>
      </c>
      <c r="DK151" s="14">
        <f t="shared" ca="1" si="291"/>
        <v>0</v>
      </c>
      <c r="DL151" s="14">
        <f t="shared" ca="1" si="291"/>
        <v>0</v>
      </c>
      <c r="DM151" s="14">
        <f t="shared" ca="1" si="291"/>
        <v>0</v>
      </c>
      <c r="DN151" s="14">
        <f t="shared" ca="1" si="291"/>
        <v>0</v>
      </c>
      <c r="DO151" s="14">
        <f t="shared" ca="1" si="291"/>
        <v>0</v>
      </c>
      <c r="DP151" s="14">
        <f t="shared" ca="1" si="291"/>
        <v>0</v>
      </c>
      <c r="DQ151" s="14">
        <f t="shared" ca="1" si="291"/>
        <v>0</v>
      </c>
      <c r="DR151" s="14">
        <f t="shared" ca="1" si="291"/>
        <v>0</v>
      </c>
      <c r="DS151" s="14">
        <f t="shared" ca="1" si="291"/>
        <v>0</v>
      </c>
      <c r="DT151" s="14">
        <f t="shared" ca="1" si="291"/>
        <v>0</v>
      </c>
      <c r="DU151" s="14">
        <f t="shared" ca="1" si="291"/>
        <v>0</v>
      </c>
      <c r="DV151" s="14">
        <f t="shared" ca="1" si="291"/>
        <v>0</v>
      </c>
      <c r="DW151" s="14">
        <f t="shared" ca="1" si="291"/>
        <v>0</v>
      </c>
      <c r="DX151" s="14">
        <f t="shared" ca="1" si="291"/>
        <v>0</v>
      </c>
      <c r="DY151" s="14">
        <f t="shared" ca="1" si="291"/>
        <v>0</v>
      </c>
      <c r="DZ151" s="14">
        <f t="shared" ca="1" si="291"/>
        <v>0</v>
      </c>
      <c r="EA151" s="14">
        <f t="shared" ca="1" si="291"/>
        <v>0</v>
      </c>
      <c r="EB151" s="14">
        <f t="shared" ca="1" si="291"/>
        <v>0</v>
      </c>
      <c r="EC151" s="14">
        <f t="shared" ca="1" si="291"/>
        <v>0</v>
      </c>
      <c r="ED151" s="14">
        <f t="shared" ca="1" si="291"/>
        <v>0</v>
      </c>
      <c r="EE151" s="14">
        <f t="shared" ca="1" si="291"/>
        <v>0</v>
      </c>
      <c r="EF151" s="14">
        <f t="shared" ca="1" si="291"/>
        <v>0</v>
      </c>
      <c r="EG151" s="14">
        <f t="shared" ca="1" si="291"/>
        <v>0</v>
      </c>
      <c r="EH151" s="14">
        <f ca="1">EG155</f>
        <v>0</v>
      </c>
      <c r="EI151" s="14">
        <f ca="1">EH155</f>
        <v>0</v>
      </c>
      <c r="EJ151" s="14">
        <f ca="1">EI155</f>
        <v>0</v>
      </c>
      <c r="EK151" s="84"/>
      <c r="EL151" s="187">
        <f t="shared" si="289"/>
        <v>0</v>
      </c>
      <c r="EM151" s="12">
        <f ca="1">EL155</f>
        <v>0</v>
      </c>
      <c r="EN151" s="12">
        <f t="shared" ref="EN151:EW151" ca="1" si="292">EM155</f>
        <v>7670861.1315651201</v>
      </c>
      <c r="EO151" s="12">
        <f t="shared" ca="1" si="292"/>
        <v>40000000</v>
      </c>
      <c r="EP151" s="12">
        <f t="shared" ca="1" si="292"/>
        <v>0</v>
      </c>
      <c r="EQ151" s="12">
        <f t="shared" ca="1" si="292"/>
        <v>0</v>
      </c>
      <c r="ER151" s="12">
        <f t="shared" ca="1" si="292"/>
        <v>0</v>
      </c>
      <c r="ES151" s="12">
        <f t="shared" ca="1" si="292"/>
        <v>0</v>
      </c>
      <c r="ET151" s="12">
        <f t="shared" ca="1" si="292"/>
        <v>0</v>
      </c>
      <c r="EU151" s="12">
        <f t="shared" ca="1" si="292"/>
        <v>0</v>
      </c>
      <c r="EV151" s="12">
        <f t="shared" ca="1" si="292"/>
        <v>0</v>
      </c>
      <c r="EW151" s="12">
        <f t="shared" ca="1" si="292"/>
        <v>0</v>
      </c>
    </row>
    <row r="152" spans="2:153" x14ac:dyDescent="0.4">
      <c r="B152" s="1" t="s">
        <v>96</v>
      </c>
      <c r="E152" s="88"/>
      <c r="F152" s="67">
        <f ca="1">SUMPRODUCT(($H152:$EJ152)*($H$6:$EJ$6&lt;=$C$5))</f>
        <v>40000000</v>
      </c>
      <c r="G152" s="88"/>
      <c r="H152" s="67">
        <f ca="1">-H121</f>
        <v>0</v>
      </c>
      <c r="I152" s="14">
        <f t="shared" ref="I152:BT152" ca="1" si="293">-I121</f>
        <v>0</v>
      </c>
      <c r="J152" s="14">
        <f t="shared" ca="1" si="293"/>
        <v>0</v>
      </c>
      <c r="K152" s="14">
        <f t="shared" ca="1" si="293"/>
        <v>0</v>
      </c>
      <c r="L152" s="14">
        <f t="shared" ca="1" si="293"/>
        <v>0</v>
      </c>
      <c r="M152" s="14">
        <f t="shared" ca="1" si="293"/>
        <v>0</v>
      </c>
      <c r="N152" s="14">
        <f t="shared" ca="1" si="293"/>
        <v>0</v>
      </c>
      <c r="O152" s="14">
        <f t="shared" ca="1" si="293"/>
        <v>0</v>
      </c>
      <c r="P152" s="14">
        <f t="shared" ca="1" si="293"/>
        <v>0</v>
      </c>
      <c r="Q152" s="14">
        <f t="shared" ca="1" si="293"/>
        <v>0</v>
      </c>
      <c r="R152" s="14">
        <f t="shared" ca="1" si="293"/>
        <v>1363300.000572212</v>
      </c>
      <c r="S152" s="14">
        <f t="shared" ca="1" si="293"/>
        <v>3147209.9483372918</v>
      </c>
      <c r="T152" s="14">
        <f t="shared" ca="1" si="293"/>
        <v>3160351.1826556157</v>
      </c>
      <c r="U152" s="14">
        <f t="shared" ca="1" si="293"/>
        <v>3173301.922377218</v>
      </c>
      <c r="V152" s="14">
        <f t="shared" ca="1" si="293"/>
        <v>3181936.3837887901</v>
      </c>
      <c r="W152" s="14">
        <f t="shared" ca="1" si="293"/>
        <v>3199139.6053462652</v>
      </c>
      <c r="X152" s="14">
        <f t="shared" ca="1" si="293"/>
        <v>3209772.1818937953</v>
      </c>
      <c r="Y152" s="14">
        <f t="shared" ca="1" si="293"/>
        <v>3252730.6167059592</v>
      </c>
      <c r="Z152" s="14">
        <f t="shared" ca="1" si="293"/>
        <v>3234807.0964271799</v>
      </c>
      <c r="AA152" s="14">
        <f t="shared" ca="1" si="293"/>
        <v>3250850.1745112208</v>
      </c>
      <c r="AB152" s="14">
        <f t="shared" ca="1" si="293"/>
        <v>3263822.7219459028</v>
      </c>
      <c r="AC152" s="14">
        <f t="shared" ca="1" si="293"/>
        <v>3272580.9324461496</v>
      </c>
      <c r="AD152" s="14">
        <f t="shared" ca="1" si="293"/>
        <v>3290197.2329923944</v>
      </c>
      <c r="AE152" s="14">
        <f t="shared" ca="1" si="293"/>
        <v>0</v>
      </c>
      <c r="AF152" s="14">
        <f t="shared" ca="1" si="293"/>
        <v>0</v>
      </c>
      <c r="AG152" s="14">
        <f t="shared" ca="1" si="293"/>
        <v>0</v>
      </c>
      <c r="AH152" s="14">
        <f t="shared" ca="1" si="293"/>
        <v>0</v>
      </c>
      <c r="AI152" s="14">
        <f t="shared" ca="1" si="293"/>
        <v>0</v>
      </c>
      <c r="AJ152" s="14">
        <f t="shared" ca="1" si="293"/>
        <v>0</v>
      </c>
      <c r="AK152" s="14">
        <f t="shared" ca="1" si="293"/>
        <v>0</v>
      </c>
      <c r="AL152" s="14">
        <f t="shared" ca="1" si="293"/>
        <v>0</v>
      </c>
      <c r="AM152" s="14">
        <f t="shared" ca="1" si="293"/>
        <v>0</v>
      </c>
      <c r="AN152" s="14">
        <f t="shared" ca="1" si="293"/>
        <v>0</v>
      </c>
      <c r="AO152" s="14">
        <f t="shared" ca="1" si="293"/>
        <v>0</v>
      </c>
      <c r="AP152" s="14">
        <f t="shared" ca="1" si="293"/>
        <v>0</v>
      </c>
      <c r="AQ152" s="14">
        <f t="shared" ca="1" si="293"/>
        <v>0</v>
      </c>
      <c r="AR152" s="14">
        <f t="shared" ca="1" si="293"/>
        <v>0</v>
      </c>
      <c r="AS152" s="14">
        <f t="shared" ca="1" si="293"/>
        <v>0</v>
      </c>
      <c r="AT152" s="14">
        <f t="shared" ca="1" si="293"/>
        <v>0</v>
      </c>
      <c r="AU152" s="14">
        <f t="shared" ca="1" si="293"/>
        <v>0</v>
      </c>
      <c r="AV152" s="14">
        <f t="shared" ca="1" si="293"/>
        <v>0</v>
      </c>
      <c r="AW152" s="14">
        <f t="shared" ca="1" si="293"/>
        <v>0</v>
      </c>
      <c r="AX152" s="14">
        <f t="shared" ca="1" si="293"/>
        <v>0</v>
      </c>
      <c r="AY152" s="14">
        <f t="shared" ca="1" si="293"/>
        <v>0</v>
      </c>
      <c r="AZ152" s="14">
        <f t="shared" ca="1" si="293"/>
        <v>0</v>
      </c>
      <c r="BA152" s="14">
        <f t="shared" ca="1" si="293"/>
        <v>0</v>
      </c>
      <c r="BB152" s="14">
        <f t="shared" ca="1" si="293"/>
        <v>0</v>
      </c>
      <c r="BC152" s="14">
        <f t="shared" ca="1" si="293"/>
        <v>0</v>
      </c>
      <c r="BD152" s="14">
        <f t="shared" ca="1" si="293"/>
        <v>0</v>
      </c>
      <c r="BE152" s="14">
        <f t="shared" ca="1" si="293"/>
        <v>0</v>
      </c>
      <c r="BF152" s="14">
        <f t="shared" ca="1" si="293"/>
        <v>0</v>
      </c>
      <c r="BG152" s="14">
        <f t="shared" ca="1" si="293"/>
        <v>0</v>
      </c>
      <c r="BH152" s="14">
        <f t="shared" ca="1" si="293"/>
        <v>0</v>
      </c>
      <c r="BI152" s="14">
        <f t="shared" ca="1" si="293"/>
        <v>0</v>
      </c>
      <c r="BJ152" s="14">
        <f t="shared" ca="1" si="293"/>
        <v>0</v>
      </c>
      <c r="BK152" s="14">
        <f t="shared" ca="1" si="293"/>
        <v>0</v>
      </c>
      <c r="BL152" s="14">
        <f t="shared" ca="1" si="293"/>
        <v>0</v>
      </c>
      <c r="BM152" s="14">
        <f t="shared" ca="1" si="293"/>
        <v>0</v>
      </c>
      <c r="BN152" s="14">
        <f t="shared" ca="1" si="293"/>
        <v>0</v>
      </c>
      <c r="BO152" s="14">
        <f t="shared" ca="1" si="293"/>
        <v>0</v>
      </c>
      <c r="BP152" s="14">
        <f t="shared" ca="1" si="293"/>
        <v>0</v>
      </c>
      <c r="BQ152" s="14">
        <f t="shared" ca="1" si="293"/>
        <v>0</v>
      </c>
      <c r="BR152" s="14">
        <f t="shared" ca="1" si="293"/>
        <v>0</v>
      </c>
      <c r="BS152" s="14">
        <f t="shared" ca="1" si="293"/>
        <v>0</v>
      </c>
      <c r="BT152" s="14">
        <f t="shared" ca="1" si="293"/>
        <v>0</v>
      </c>
      <c r="BU152" s="14">
        <f t="shared" ref="BU152:EF152" ca="1" si="294">-BU121</f>
        <v>0</v>
      </c>
      <c r="BV152" s="14">
        <f t="shared" ca="1" si="294"/>
        <v>0</v>
      </c>
      <c r="BW152" s="14">
        <f t="shared" ca="1" si="294"/>
        <v>0</v>
      </c>
      <c r="BX152" s="14">
        <f t="shared" ca="1" si="294"/>
        <v>0</v>
      </c>
      <c r="BY152" s="14">
        <f t="shared" ca="1" si="294"/>
        <v>0</v>
      </c>
      <c r="BZ152" s="14">
        <f t="shared" ca="1" si="294"/>
        <v>0</v>
      </c>
      <c r="CA152" s="14">
        <f t="shared" ca="1" si="294"/>
        <v>0</v>
      </c>
      <c r="CB152" s="14">
        <f t="shared" ca="1" si="294"/>
        <v>0</v>
      </c>
      <c r="CC152" s="14">
        <f t="shared" ca="1" si="294"/>
        <v>0</v>
      </c>
      <c r="CD152" s="14">
        <f t="shared" ca="1" si="294"/>
        <v>0</v>
      </c>
      <c r="CE152" s="14">
        <f t="shared" ca="1" si="294"/>
        <v>0</v>
      </c>
      <c r="CF152" s="14">
        <f t="shared" ca="1" si="294"/>
        <v>0</v>
      </c>
      <c r="CG152" s="14">
        <f t="shared" ca="1" si="294"/>
        <v>0</v>
      </c>
      <c r="CH152" s="14">
        <f t="shared" ca="1" si="294"/>
        <v>0</v>
      </c>
      <c r="CI152" s="14">
        <f t="shared" ca="1" si="294"/>
        <v>0</v>
      </c>
      <c r="CJ152" s="14">
        <f t="shared" ca="1" si="294"/>
        <v>0</v>
      </c>
      <c r="CK152" s="14">
        <f t="shared" ca="1" si="294"/>
        <v>0</v>
      </c>
      <c r="CL152" s="14">
        <f t="shared" ca="1" si="294"/>
        <v>0</v>
      </c>
      <c r="CM152" s="14">
        <f t="shared" ca="1" si="294"/>
        <v>0</v>
      </c>
      <c r="CN152" s="14">
        <f t="shared" ca="1" si="294"/>
        <v>0</v>
      </c>
      <c r="CO152" s="14">
        <f t="shared" ca="1" si="294"/>
        <v>0</v>
      </c>
      <c r="CP152" s="14">
        <f t="shared" ca="1" si="294"/>
        <v>0</v>
      </c>
      <c r="CQ152" s="14">
        <f t="shared" ca="1" si="294"/>
        <v>0</v>
      </c>
      <c r="CR152" s="14">
        <f t="shared" ca="1" si="294"/>
        <v>0</v>
      </c>
      <c r="CS152" s="14">
        <f t="shared" ca="1" si="294"/>
        <v>0</v>
      </c>
      <c r="CT152" s="14">
        <f t="shared" ca="1" si="294"/>
        <v>0</v>
      </c>
      <c r="CU152" s="14">
        <f t="shared" ca="1" si="294"/>
        <v>0</v>
      </c>
      <c r="CV152" s="14">
        <f t="shared" ca="1" si="294"/>
        <v>0</v>
      </c>
      <c r="CW152" s="14">
        <f t="shared" ca="1" si="294"/>
        <v>0</v>
      </c>
      <c r="CX152" s="14">
        <f t="shared" ca="1" si="294"/>
        <v>0</v>
      </c>
      <c r="CY152" s="14">
        <f t="shared" ca="1" si="294"/>
        <v>0</v>
      </c>
      <c r="CZ152" s="14">
        <f t="shared" ca="1" si="294"/>
        <v>0</v>
      </c>
      <c r="DA152" s="14">
        <f t="shared" ca="1" si="294"/>
        <v>0</v>
      </c>
      <c r="DB152" s="14">
        <f t="shared" ca="1" si="294"/>
        <v>0</v>
      </c>
      <c r="DC152" s="14">
        <f t="shared" ca="1" si="294"/>
        <v>0</v>
      </c>
      <c r="DD152" s="14">
        <f t="shared" ca="1" si="294"/>
        <v>0</v>
      </c>
      <c r="DE152" s="14">
        <f t="shared" ca="1" si="294"/>
        <v>0</v>
      </c>
      <c r="DF152" s="14">
        <f t="shared" ca="1" si="294"/>
        <v>0</v>
      </c>
      <c r="DG152" s="14">
        <f t="shared" ca="1" si="294"/>
        <v>0</v>
      </c>
      <c r="DH152" s="14">
        <f t="shared" ca="1" si="294"/>
        <v>0</v>
      </c>
      <c r="DI152" s="14">
        <f t="shared" ca="1" si="294"/>
        <v>0</v>
      </c>
      <c r="DJ152" s="14">
        <f t="shared" ca="1" si="294"/>
        <v>0</v>
      </c>
      <c r="DK152" s="14">
        <f t="shared" ca="1" si="294"/>
        <v>0</v>
      </c>
      <c r="DL152" s="14">
        <f t="shared" ca="1" si="294"/>
        <v>0</v>
      </c>
      <c r="DM152" s="14">
        <f t="shared" ca="1" si="294"/>
        <v>0</v>
      </c>
      <c r="DN152" s="14">
        <f t="shared" ca="1" si="294"/>
        <v>0</v>
      </c>
      <c r="DO152" s="14">
        <f t="shared" ca="1" si="294"/>
        <v>0</v>
      </c>
      <c r="DP152" s="14">
        <f t="shared" ca="1" si="294"/>
        <v>0</v>
      </c>
      <c r="DQ152" s="14">
        <f t="shared" ca="1" si="294"/>
        <v>0</v>
      </c>
      <c r="DR152" s="14">
        <f t="shared" ca="1" si="294"/>
        <v>0</v>
      </c>
      <c r="DS152" s="14">
        <f t="shared" ca="1" si="294"/>
        <v>0</v>
      </c>
      <c r="DT152" s="14">
        <f t="shared" ca="1" si="294"/>
        <v>0</v>
      </c>
      <c r="DU152" s="14">
        <f t="shared" ca="1" si="294"/>
        <v>0</v>
      </c>
      <c r="DV152" s="14">
        <f t="shared" ca="1" si="294"/>
        <v>0</v>
      </c>
      <c r="DW152" s="14">
        <f t="shared" ca="1" si="294"/>
        <v>0</v>
      </c>
      <c r="DX152" s="14">
        <f t="shared" ca="1" si="294"/>
        <v>0</v>
      </c>
      <c r="DY152" s="14">
        <f t="shared" ca="1" si="294"/>
        <v>0</v>
      </c>
      <c r="DZ152" s="14">
        <f t="shared" ca="1" si="294"/>
        <v>0</v>
      </c>
      <c r="EA152" s="14">
        <f t="shared" ca="1" si="294"/>
        <v>0</v>
      </c>
      <c r="EB152" s="14">
        <f t="shared" ca="1" si="294"/>
        <v>0</v>
      </c>
      <c r="EC152" s="14">
        <f t="shared" ca="1" si="294"/>
        <v>0</v>
      </c>
      <c r="ED152" s="14">
        <f t="shared" ca="1" si="294"/>
        <v>0</v>
      </c>
      <c r="EE152" s="14">
        <f t="shared" ca="1" si="294"/>
        <v>0</v>
      </c>
      <c r="EF152" s="14">
        <f t="shared" ca="1" si="294"/>
        <v>0</v>
      </c>
      <c r="EG152" s="14">
        <f ca="1">-EG121</f>
        <v>0</v>
      </c>
      <c r="EH152" s="14">
        <f ca="1">-EH121</f>
        <v>0</v>
      </c>
      <c r="EI152" s="14">
        <f ca="1">-EI121</f>
        <v>0</v>
      </c>
      <c r="EJ152" s="14">
        <f ca="1">-EJ121</f>
        <v>0</v>
      </c>
      <c r="EK152" s="12"/>
      <c r="EL152" s="12">
        <f t="shared" ca="1" si="289"/>
        <v>0</v>
      </c>
      <c r="EM152" s="12">
        <f t="shared" ca="1" si="289"/>
        <v>7670861.1315651201</v>
      </c>
      <c r="EN152" s="12">
        <f t="shared" ca="1" si="289"/>
        <v>32329138.868434876</v>
      </c>
      <c r="EO152" s="12">
        <f t="shared" ca="1" si="289"/>
        <v>0</v>
      </c>
      <c r="EP152" s="12">
        <f t="shared" ca="1" si="289"/>
        <v>0</v>
      </c>
      <c r="EQ152" s="12">
        <f t="shared" ca="1" si="289"/>
        <v>0</v>
      </c>
      <c r="ER152" s="12">
        <f t="shared" ca="1" si="289"/>
        <v>0</v>
      </c>
      <c r="ES152" s="12">
        <f t="shared" ca="1" si="289"/>
        <v>0</v>
      </c>
      <c r="ET152" s="12">
        <f t="shared" ca="1" si="289"/>
        <v>0</v>
      </c>
      <c r="EU152" s="12">
        <f t="shared" ca="1" si="289"/>
        <v>0</v>
      </c>
      <c r="EV152" s="12">
        <f t="shared" ca="1" si="289"/>
        <v>0</v>
      </c>
      <c r="EW152" s="12">
        <f t="shared" ca="1" si="289"/>
        <v>0</v>
      </c>
    </row>
    <row r="153" spans="2:153" x14ac:dyDescent="0.4">
      <c r="B153" s="1" t="s">
        <v>97</v>
      </c>
      <c r="E153" s="8"/>
      <c r="F153" s="67">
        <f>SUMPRODUCT(($H153:$EJ153)*($H$6:$EJ$6&lt;=$C$5))</f>
        <v>0</v>
      </c>
      <c r="G153" s="8"/>
      <c r="H153" s="8">
        <f>-INDEX('Inputs &amp; Drivers'!$W$9:$W$129,MATCH(Model!H$6,'Inputs &amp; Drivers'!$S$9:$S$129))*(H$6&lt;='Inputs &amp; Drivers'!$J$15)</f>
        <v>0</v>
      </c>
      <c r="I153" s="12">
        <f>-INDEX('Inputs &amp; Drivers'!$W$9:$W$129,MATCH(Model!I$6,'Inputs &amp; Drivers'!$S$9:$S$129))*(I$6&lt;='Inputs &amp; Drivers'!$J$15)</f>
        <v>0</v>
      </c>
      <c r="J153" s="12">
        <f>-INDEX('Inputs &amp; Drivers'!$W$9:$W$129,MATCH(Model!J$6,'Inputs &amp; Drivers'!$S$9:$S$129))*(J$6&lt;='Inputs &amp; Drivers'!$J$15)</f>
        <v>0</v>
      </c>
      <c r="K153" s="12">
        <f>-INDEX('Inputs &amp; Drivers'!$W$9:$W$129,MATCH(Model!K$6,'Inputs &amp; Drivers'!$S$9:$S$129))*(K$6&lt;='Inputs &amp; Drivers'!$J$15)</f>
        <v>0</v>
      </c>
      <c r="L153" s="12">
        <f>-INDEX('Inputs &amp; Drivers'!$W$9:$W$129,MATCH(Model!L$6,'Inputs &amp; Drivers'!$S$9:$S$129))*(L$6&lt;='Inputs &amp; Drivers'!$J$15)</f>
        <v>0</v>
      </c>
      <c r="M153" s="12">
        <f>-INDEX('Inputs &amp; Drivers'!$W$9:$W$129,MATCH(Model!M$6,'Inputs &amp; Drivers'!$S$9:$S$129))*(M$6&lt;='Inputs &amp; Drivers'!$J$15)</f>
        <v>0</v>
      </c>
      <c r="N153" s="12">
        <f>-INDEX('Inputs &amp; Drivers'!$W$9:$W$129,MATCH(Model!N$6,'Inputs &amp; Drivers'!$S$9:$S$129))*(N$6&lt;='Inputs &amp; Drivers'!$J$15)</f>
        <v>0</v>
      </c>
      <c r="O153" s="12">
        <f>-INDEX('Inputs &amp; Drivers'!$W$9:$W$129,MATCH(Model!O$6,'Inputs &amp; Drivers'!$S$9:$S$129))*(O$6&lt;='Inputs &amp; Drivers'!$J$15)</f>
        <v>0</v>
      </c>
      <c r="P153" s="12">
        <f>-INDEX('Inputs &amp; Drivers'!$W$9:$W$129,MATCH(Model!P$6,'Inputs &amp; Drivers'!$S$9:$S$129))*(P$6&lt;='Inputs &amp; Drivers'!$J$15)</f>
        <v>0</v>
      </c>
      <c r="Q153" s="12">
        <f>-INDEX('Inputs &amp; Drivers'!$W$9:$W$129,MATCH(Model!Q$6,'Inputs &amp; Drivers'!$S$9:$S$129))*(Q$6&lt;='Inputs &amp; Drivers'!$J$15)</f>
        <v>0</v>
      </c>
      <c r="R153" s="12">
        <f>-INDEX('Inputs &amp; Drivers'!$W$9:$W$129,MATCH(Model!R$6,'Inputs &amp; Drivers'!$S$9:$S$129))*(R$6&lt;='Inputs &amp; Drivers'!$J$15)</f>
        <v>0</v>
      </c>
      <c r="S153" s="12">
        <f>-INDEX('Inputs &amp; Drivers'!$W$9:$W$129,MATCH(Model!S$6,'Inputs &amp; Drivers'!$S$9:$S$129))*(S$6&lt;='Inputs &amp; Drivers'!$J$15)</f>
        <v>0</v>
      </c>
      <c r="T153" s="12">
        <f>-INDEX('Inputs &amp; Drivers'!$W$9:$W$129,MATCH(Model!T$6,'Inputs &amp; Drivers'!$S$9:$S$129))*(T$6&lt;='Inputs &amp; Drivers'!$J$15)</f>
        <v>0</v>
      </c>
      <c r="U153" s="12">
        <f>-INDEX('Inputs &amp; Drivers'!$W$9:$W$129,MATCH(Model!U$6,'Inputs &amp; Drivers'!$S$9:$S$129))*(U$6&lt;='Inputs &amp; Drivers'!$J$15)</f>
        <v>0</v>
      </c>
      <c r="V153" s="12">
        <f>-INDEX('Inputs &amp; Drivers'!$W$9:$W$129,MATCH(Model!V$6,'Inputs &amp; Drivers'!$S$9:$S$129))*(V$6&lt;='Inputs &amp; Drivers'!$J$15)</f>
        <v>0</v>
      </c>
      <c r="W153" s="12">
        <f>-INDEX('Inputs &amp; Drivers'!$W$9:$W$129,MATCH(Model!W$6,'Inputs &amp; Drivers'!$S$9:$S$129))*(W$6&lt;='Inputs &amp; Drivers'!$J$15)</f>
        <v>0</v>
      </c>
      <c r="X153" s="12">
        <f>-INDEX('Inputs &amp; Drivers'!$W$9:$W$129,MATCH(Model!X$6,'Inputs &amp; Drivers'!$S$9:$S$129))*(X$6&lt;='Inputs &amp; Drivers'!$J$15)</f>
        <v>0</v>
      </c>
      <c r="Y153" s="12">
        <f>-INDEX('Inputs &amp; Drivers'!$W$9:$W$129,MATCH(Model!Y$6,'Inputs &amp; Drivers'!$S$9:$S$129))*(Y$6&lt;='Inputs &amp; Drivers'!$J$15)</f>
        <v>0</v>
      </c>
      <c r="Z153" s="12">
        <f>-INDEX('Inputs &amp; Drivers'!$W$9:$W$129,MATCH(Model!Z$6,'Inputs &amp; Drivers'!$S$9:$S$129))*(Z$6&lt;='Inputs &amp; Drivers'!$J$15)</f>
        <v>0</v>
      </c>
      <c r="AA153" s="12">
        <f>-INDEX('Inputs &amp; Drivers'!$W$9:$W$129,MATCH(Model!AA$6,'Inputs &amp; Drivers'!$S$9:$S$129))*(AA$6&lt;='Inputs &amp; Drivers'!$J$15)</f>
        <v>0</v>
      </c>
      <c r="AB153" s="12">
        <f>-INDEX('Inputs &amp; Drivers'!$W$9:$W$129,MATCH(Model!AB$6,'Inputs &amp; Drivers'!$S$9:$S$129))*(AB$6&lt;='Inputs &amp; Drivers'!$J$15)</f>
        <v>0</v>
      </c>
      <c r="AC153" s="12">
        <f>-INDEX('Inputs &amp; Drivers'!$W$9:$W$129,MATCH(Model!AC$6,'Inputs &amp; Drivers'!$S$9:$S$129))*(AC$6&lt;='Inputs &amp; Drivers'!$J$15)</f>
        <v>0</v>
      </c>
      <c r="AD153" s="12">
        <f>-INDEX('Inputs &amp; Drivers'!$W$9:$W$129,MATCH(Model!AD$6,'Inputs &amp; Drivers'!$S$9:$S$129))*(AD$6&lt;='Inputs &amp; Drivers'!$J$15)</f>
        <v>0</v>
      </c>
      <c r="AE153" s="12">
        <f>-INDEX('Inputs &amp; Drivers'!$W$9:$W$129,MATCH(Model!AE$6,'Inputs &amp; Drivers'!$S$9:$S$129))*(AE$6&lt;='Inputs &amp; Drivers'!$J$15)</f>
        <v>0</v>
      </c>
      <c r="AF153" s="12">
        <f>-INDEX('Inputs &amp; Drivers'!$W$9:$W$129,MATCH(Model!AF$6,'Inputs &amp; Drivers'!$S$9:$S$129))*(AF$6&lt;='Inputs &amp; Drivers'!$J$15)</f>
        <v>0</v>
      </c>
      <c r="AG153" s="12">
        <f>-INDEX('Inputs &amp; Drivers'!$W$9:$W$129,MATCH(Model!AG$6,'Inputs &amp; Drivers'!$S$9:$S$129))*(AG$6&lt;='Inputs &amp; Drivers'!$J$15)</f>
        <v>0</v>
      </c>
      <c r="AH153" s="12">
        <f>-INDEX('Inputs &amp; Drivers'!$W$9:$W$129,MATCH(Model!AH$6,'Inputs &amp; Drivers'!$S$9:$S$129))*(AH$6&lt;='Inputs &amp; Drivers'!$J$15)</f>
        <v>0</v>
      </c>
      <c r="AI153" s="12">
        <f>-INDEX('Inputs &amp; Drivers'!$W$9:$W$129,MATCH(Model!AI$6,'Inputs &amp; Drivers'!$S$9:$S$129))*(AI$6&lt;='Inputs &amp; Drivers'!$J$15)</f>
        <v>0</v>
      </c>
      <c r="AJ153" s="12">
        <f>-INDEX('Inputs &amp; Drivers'!$W$9:$W$129,MATCH(Model!AJ$6,'Inputs &amp; Drivers'!$S$9:$S$129))*(AJ$6&lt;='Inputs &amp; Drivers'!$J$15)</f>
        <v>0</v>
      </c>
      <c r="AK153" s="12">
        <f>-INDEX('Inputs &amp; Drivers'!$W$9:$W$129,MATCH(Model!AK$6,'Inputs &amp; Drivers'!$S$9:$S$129))*(AK$6&lt;='Inputs &amp; Drivers'!$J$15)</f>
        <v>0</v>
      </c>
      <c r="AL153" s="12">
        <f>-INDEX('Inputs &amp; Drivers'!$W$9:$W$129,MATCH(Model!AL$6,'Inputs &amp; Drivers'!$S$9:$S$129))*(AL$6&lt;='Inputs &amp; Drivers'!$J$15)</f>
        <v>0</v>
      </c>
      <c r="AM153" s="12">
        <f>-INDEX('Inputs &amp; Drivers'!$W$9:$W$129,MATCH(Model!AM$6,'Inputs &amp; Drivers'!$S$9:$S$129))*(AM$6&lt;='Inputs &amp; Drivers'!$J$15)</f>
        <v>0</v>
      </c>
      <c r="AN153" s="12">
        <f>-INDEX('Inputs &amp; Drivers'!$W$9:$W$129,MATCH(Model!AN$6,'Inputs &amp; Drivers'!$S$9:$S$129))*(AN$6&lt;='Inputs &amp; Drivers'!$J$15)</f>
        <v>0</v>
      </c>
      <c r="AO153" s="12">
        <f>-INDEX('Inputs &amp; Drivers'!$W$9:$W$129,MATCH(Model!AO$6,'Inputs &amp; Drivers'!$S$9:$S$129))*(AO$6&lt;='Inputs &amp; Drivers'!$J$15)</f>
        <v>0</v>
      </c>
      <c r="AP153" s="12">
        <f>-INDEX('Inputs &amp; Drivers'!$W$9:$W$129,MATCH(Model!AP$6,'Inputs &amp; Drivers'!$S$9:$S$129))*(AP$6&lt;='Inputs &amp; Drivers'!$J$15)</f>
        <v>0</v>
      </c>
      <c r="AQ153" s="12">
        <f>-INDEX('Inputs &amp; Drivers'!$W$9:$W$129,MATCH(Model!AQ$6,'Inputs &amp; Drivers'!$S$9:$S$129))*(AQ$6&lt;='Inputs &amp; Drivers'!$J$15)</f>
        <v>0</v>
      </c>
      <c r="AR153" s="12">
        <f>-INDEX('Inputs &amp; Drivers'!$W$9:$W$129,MATCH(Model!AR$6,'Inputs &amp; Drivers'!$S$9:$S$129))*(AR$6&lt;='Inputs &amp; Drivers'!$J$15)</f>
        <v>0</v>
      </c>
      <c r="AS153" s="12">
        <f>-INDEX('Inputs &amp; Drivers'!$W$9:$W$129,MATCH(Model!AS$6,'Inputs &amp; Drivers'!$S$9:$S$129))*(AS$6&lt;='Inputs &amp; Drivers'!$J$15)</f>
        <v>0</v>
      </c>
      <c r="AT153" s="12">
        <f>-INDEX('Inputs &amp; Drivers'!$W$9:$W$129,MATCH(Model!AT$6,'Inputs &amp; Drivers'!$S$9:$S$129))*(AT$6&lt;='Inputs &amp; Drivers'!$J$15)</f>
        <v>0</v>
      </c>
      <c r="AU153" s="12">
        <f>-INDEX('Inputs &amp; Drivers'!$W$9:$W$129,MATCH(Model!AU$6,'Inputs &amp; Drivers'!$S$9:$S$129))*(AU$6&lt;='Inputs &amp; Drivers'!$J$15)</f>
        <v>0</v>
      </c>
      <c r="AV153" s="12">
        <f>-INDEX('Inputs &amp; Drivers'!$W$9:$W$129,MATCH(Model!AV$6,'Inputs &amp; Drivers'!$S$9:$S$129))*(AV$6&lt;='Inputs &amp; Drivers'!$J$15)</f>
        <v>0</v>
      </c>
      <c r="AW153" s="12">
        <f>-INDEX('Inputs &amp; Drivers'!$W$9:$W$129,MATCH(Model!AW$6,'Inputs &amp; Drivers'!$S$9:$S$129))*(AW$6&lt;='Inputs &amp; Drivers'!$J$15)</f>
        <v>0</v>
      </c>
      <c r="AX153" s="12">
        <f>-INDEX('Inputs &amp; Drivers'!$W$9:$W$129,MATCH(Model!AX$6,'Inputs &amp; Drivers'!$S$9:$S$129))*(AX$6&lt;='Inputs &amp; Drivers'!$J$15)</f>
        <v>0</v>
      </c>
      <c r="AY153" s="12">
        <f>-INDEX('Inputs &amp; Drivers'!$W$9:$W$129,MATCH(Model!AY$6,'Inputs &amp; Drivers'!$S$9:$S$129))*(AY$6&lt;='Inputs &amp; Drivers'!$J$15)</f>
        <v>0</v>
      </c>
      <c r="AZ153" s="12">
        <f>-INDEX('Inputs &amp; Drivers'!$W$9:$W$129,MATCH(Model!AZ$6,'Inputs &amp; Drivers'!$S$9:$S$129))*(AZ$6&lt;='Inputs &amp; Drivers'!$J$15)</f>
        <v>0</v>
      </c>
      <c r="BA153" s="12">
        <f>-INDEX('Inputs &amp; Drivers'!$W$9:$W$129,MATCH(Model!BA$6,'Inputs &amp; Drivers'!$S$9:$S$129))*(BA$6&lt;='Inputs &amp; Drivers'!$J$15)</f>
        <v>0</v>
      </c>
      <c r="BB153" s="12">
        <f>-INDEX('Inputs &amp; Drivers'!$W$9:$W$129,MATCH(Model!BB$6,'Inputs &amp; Drivers'!$S$9:$S$129))*(BB$6&lt;='Inputs &amp; Drivers'!$J$15)</f>
        <v>0</v>
      </c>
      <c r="BC153" s="12">
        <f>-INDEX('Inputs &amp; Drivers'!$W$9:$W$129,MATCH(Model!BC$6,'Inputs &amp; Drivers'!$S$9:$S$129))*(BC$6&lt;='Inputs &amp; Drivers'!$J$15)</f>
        <v>0</v>
      </c>
      <c r="BD153" s="12">
        <f>-INDEX('Inputs &amp; Drivers'!$W$9:$W$129,MATCH(Model!BD$6,'Inputs &amp; Drivers'!$S$9:$S$129))*(BD$6&lt;='Inputs &amp; Drivers'!$J$15)</f>
        <v>0</v>
      </c>
      <c r="BE153" s="12">
        <f>-INDEX('Inputs &amp; Drivers'!$W$9:$W$129,MATCH(Model!BE$6,'Inputs &amp; Drivers'!$S$9:$S$129))*(BE$6&lt;='Inputs &amp; Drivers'!$J$15)</f>
        <v>0</v>
      </c>
      <c r="BF153" s="12">
        <f>-INDEX('Inputs &amp; Drivers'!$W$9:$W$129,MATCH(Model!BF$6,'Inputs &amp; Drivers'!$S$9:$S$129))*(BF$6&lt;='Inputs &amp; Drivers'!$J$15)</f>
        <v>0</v>
      </c>
      <c r="BG153" s="12">
        <f>-INDEX('Inputs &amp; Drivers'!$W$9:$W$129,MATCH(Model!BG$6,'Inputs &amp; Drivers'!$S$9:$S$129))*(BG$6&lt;='Inputs &amp; Drivers'!$J$15)</f>
        <v>0</v>
      </c>
      <c r="BH153" s="12">
        <f>-INDEX('Inputs &amp; Drivers'!$W$9:$W$129,MATCH(Model!BH$6,'Inputs &amp; Drivers'!$S$9:$S$129))*(BH$6&lt;='Inputs &amp; Drivers'!$J$15)</f>
        <v>0</v>
      </c>
      <c r="BI153" s="12">
        <f>-INDEX('Inputs &amp; Drivers'!$W$9:$W$129,MATCH(Model!BI$6,'Inputs &amp; Drivers'!$S$9:$S$129))*(BI$6&lt;='Inputs &amp; Drivers'!$J$15)</f>
        <v>0</v>
      </c>
      <c r="BJ153" s="12">
        <f>-INDEX('Inputs &amp; Drivers'!$W$9:$W$129,MATCH(Model!BJ$6,'Inputs &amp; Drivers'!$S$9:$S$129))*(BJ$6&lt;='Inputs &amp; Drivers'!$J$15)</f>
        <v>0</v>
      </c>
      <c r="BK153" s="12">
        <f>-INDEX('Inputs &amp; Drivers'!$W$9:$W$129,MATCH(Model!BK$6,'Inputs &amp; Drivers'!$S$9:$S$129))*(BK$6&lt;='Inputs &amp; Drivers'!$J$15)</f>
        <v>0</v>
      </c>
      <c r="BL153" s="12">
        <f>-INDEX('Inputs &amp; Drivers'!$W$9:$W$129,MATCH(Model!BL$6,'Inputs &amp; Drivers'!$S$9:$S$129))*(BL$6&lt;='Inputs &amp; Drivers'!$J$15)</f>
        <v>0</v>
      </c>
      <c r="BM153" s="12">
        <f>-INDEX('Inputs &amp; Drivers'!$W$9:$W$129,MATCH(Model!BM$6,'Inputs &amp; Drivers'!$S$9:$S$129))*(BM$6&lt;='Inputs &amp; Drivers'!$J$15)</f>
        <v>0</v>
      </c>
      <c r="BN153" s="12">
        <f>-INDEX('Inputs &amp; Drivers'!$W$9:$W$129,MATCH(Model!BN$6,'Inputs &amp; Drivers'!$S$9:$S$129))*(BN$6&lt;='Inputs &amp; Drivers'!$J$15)</f>
        <v>0</v>
      </c>
      <c r="BO153" s="12">
        <f>-INDEX('Inputs &amp; Drivers'!$W$9:$W$129,MATCH(Model!BO$6,'Inputs &amp; Drivers'!$S$9:$S$129))*(BO$6&lt;='Inputs &amp; Drivers'!$J$15)</f>
        <v>0</v>
      </c>
      <c r="BP153" s="12">
        <f>-INDEX('Inputs &amp; Drivers'!$W$9:$W$129,MATCH(Model!BP$6,'Inputs &amp; Drivers'!$S$9:$S$129))*(BP$6&lt;='Inputs &amp; Drivers'!$J$15)</f>
        <v>0</v>
      </c>
      <c r="BQ153" s="12">
        <f>-INDEX('Inputs &amp; Drivers'!$W$9:$W$129,MATCH(Model!BQ$6,'Inputs &amp; Drivers'!$S$9:$S$129))*(BQ$6&lt;='Inputs &amp; Drivers'!$J$15)</f>
        <v>0</v>
      </c>
      <c r="BR153" s="12">
        <f>-INDEX('Inputs &amp; Drivers'!$W$9:$W$129,MATCH(Model!BR$6,'Inputs &amp; Drivers'!$S$9:$S$129))*(BR$6&lt;='Inputs &amp; Drivers'!$J$15)</f>
        <v>0</v>
      </c>
      <c r="BS153" s="12">
        <f>-INDEX('Inputs &amp; Drivers'!$W$9:$W$129,MATCH(Model!BS$6,'Inputs &amp; Drivers'!$S$9:$S$129))*(BS$6&lt;='Inputs &amp; Drivers'!$J$15)</f>
        <v>0</v>
      </c>
      <c r="BT153" s="12">
        <f>-INDEX('Inputs &amp; Drivers'!$W$9:$W$129,MATCH(Model!BT$6,'Inputs &amp; Drivers'!$S$9:$S$129))*(BT$6&lt;='Inputs &amp; Drivers'!$J$15)</f>
        <v>0</v>
      </c>
      <c r="BU153" s="12">
        <f>-INDEX('Inputs &amp; Drivers'!$W$9:$W$129,MATCH(Model!BU$6,'Inputs &amp; Drivers'!$S$9:$S$129))*(BU$6&lt;='Inputs &amp; Drivers'!$J$15)</f>
        <v>0</v>
      </c>
      <c r="BV153" s="12">
        <f>-INDEX('Inputs &amp; Drivers'!$W$9:$W$129,MATCH(Model!BV$6,'Inputs &amp; Drivers'!$S$9:$S$129))*(BV$6&lt;='Inputs &amp; Drivers'!$J$15)</f>
        <v>0</v>
      </c>
      <c r="BW153" s="12">
        <f>-INDEX('Inputs &amp; Drivers'!$W$9:$W$129,MATCH(Model!BW$6,'Inputs &amp; Drivers'!$S$9:$S$129))*(BW$6&lt;='Inputs &amp; Drivers'!$J$15)</f>
        <v>0</v>
      </c>
      <c r="BX153" s="12">
        <f>-INDEX('Inputs &amp; Drivers'!$W$9:$W$129,MATCH(Model!BX$6,'Inputs &amp; Drivers'!$S$9:$S$129))*(BX$6&lt;='Inputs &amp; Drivers'!$J$15)</f>
        <v>0</v>
      </c>
      <c r="BY153" s="12">
        <f>-INDEX('Inputs &amp; Drivers'!$W$9:$W$129,MATCH(Model!BY$6,'Inputs &amp; Drivers'!$S$9:$S$129))*(BY$6&lt;='Inputs &amp; Drivers'!$J$15)</f>
        <v>0</v>
      </c>
      <c r="BZ153" s="12">
        <f>-INDEX('Inputs &amp; Drivers'!$W$9:$W$129,MATCH(Model!BZ$6,'Inputs &amp; Drivers'!$S$9:$S$129))*(BZ$6&lt;='Inputs &amp; Drivers'!$J$15)</f>
        <v>0</v>
      </c>
      <c r="CA153" s="12">
        <f>-INDEX('Inputs &amp; Drivers'!$W$9:$W$129,MATCH(Model!CA$6,'Inputs &amp; Drivers'!$S$9:$S$129))*(CA$6&lt;='Inputs &amp; Drivers'!$J$15)</f>
        <v>0</v>
      </c>
      <c r="CB153" s="12">
        <f>-INDEX('Inputs &amp; Drivers'!$W$9:$W$129,MATCH(Model!CB$6,'Inputs &amp; Drivers'!$S$9:$S$129))*(CB$6&lt;='Inputs &amp; Drivers'!$J$15)</f>
        <v>0</v>
      </c>
      <c r="CC153" s="12">
        <f>-INDEX('Inputs &amp; Drivers'!$W$9:$W$129,MATCH(Model!CC$6,'Inputs &amp; Drivers'!$S$9:$S$129))*(CC$6&lt;='Inputs &amp; Drivers'!$J$15)</f>
        <v>0</v>
      </c>
      <c r="CD153" s="12">
        <f>-INDEX('Inputs &amp; Drivers'!$W$9:$W$129,MATCH(Model!CD$6,'Inputs &amp; Drivers'!$S$9:$S$129))*(CD$6&lt;='Inputs &amp; Drivers'!$J$15)</f>
        <v>0</v>
      </c>
      <c r="CE153" s="12">
        <f>-INDEX('Inputs &amp; Drivers'!$W$9:$W$129,MATCH(Model!CE$6,'Inputs &amp; Drivers'!$S$9:$S$129))*(CE$6&lt;='Inputs &amp; Drivers'!$J$15)</f>
        <v>0</v>
      </c>
      <c r="CF153" s="12">
        <f>-INDEX('Inputs &amp; Drivers'!$W$9:$W$129,MATCH(Model!CF$6,'Inputs &amp; Drivers'!$S$9:$S$129))*(CF$6&lt;='Inputs &amp; Drivers'!$J$15)</f>
        <v>0</v>
      </c>
      <c r="CG153" s="12">
        <f>-INDEX('Inputs &amp; Drivers'!$W$9:$W$129,MATCH(Model!CG$6,'Inputs &amp; Drivers'!$S$9:$S$129))*(CG$6&lt;='Inputs &amp; Drivers'!$J$15)</f>
        <v>0</v>
      </c>
      <c r="CH153" s="12">
        <f>-INDEX('Inputs &amp; Drivers'!$W$9:$W$129,MATCH(Model!CH$6,'Inputs &amp; Drivers'!$S$9:$S$129))*(CH$6&lt;='Inputs &amp; Drivers'!$J$15)</f>
        <v>0</v>
      </c>
      <c r="CI153" s="12">
        <f>-INDEX('Inputs &amp; Drivers'!$W$9:$W$129,MATCH(Model!CI$6,'Inputs &amp; Drivers'!$S$9:$S$129))*(CI$6&lt;='Inputs &amp; Drivers'!$J$15)</f>
        <v>0</v>
      </c>
      <c r="CJ153" s="12">
        <f>-INDEX('Inputs &amp; Drivers'!$W$9:$W$129,MATCH(Model!CJ$6,'Inputs &amp; Drivers'!$S$9:$S$129))*(CJ$6&lt;='Inputs &amp; Drivers'!$J$15)</f>
        <v>0</v>
      </c>
      <c r="CK153" s="12">
        <f>-INDEX('Inputs &amp; Drivers'!$W$9:$W$129,MATCH(Model!CK$6,'Inputs &amp; Drivers'!$S$9:$S$129))*(CK$6&lt;='Inputs &amp; Drivers'!$J$15)</f>
        <v>0</v>
      </c>
      <c r="CL153" s="12">
        <f>-INDEX('Inputs &amp; Drivers'!$W$9:$W$129,MATCH(Model!CL$6,'Inputs &amp; Drivers'!$S$9:$S$129))*(CL$6&lt;='Inputs &amp; Drivers'!$J$15)</f>
        <v>0</v>
      </c>
      <c r="CM153" s="12">
        <f>-INDEX('Inputs &amp; Drivers'!$W$9:$W$129,MATCH(Model!CM$6,'Inputs &amp; Drivers'!$S$9:$S$129))*(CM$6&lt;='Inputs &amp; Drivers'!$J$15)</f>
        <v>0</v>
      </c>
      <c r="CN153" s="12">
        <f>-INDEX('Inputs &amp; Drivers'!$W$9:$W$129,MATCH(Model!CN$6,'Inputs &amp; Drivers'!$S$9:$S$129))*(CN$6&lt;='Inputs &amp; Drivers'!$J$15)</f>
        <v>0</v>
      </c>
      <c r="CO153" s="12">
        <f>-INDEX('Inputs &amp; Drivers'!$W$9:$W$129,MATCH(Model!CO$6,'Inputs &amp; Drivers'!$S$9:$S$129))*(CO$6&lt;='Inputs &amp; Drivers'!$J$15)</f>
        <v>0</v>
      </c>
      <c r="CP153" s="12">
        <f>-INDEX('Inputs &amp; Drivers'!$W$9:$W$129,MATCH(Model!CP$6,'Inputs &amp; Drivers'!$S$9:$S$129))*(CP$6&lt;='Inputs &amp; Drivers'!$J$15)</f>
        <v>0</v>
      </c>
      <c r="CQ153" s="12">
        <f>-INDEX('Inputs &amp; Drivers'!$W$9:$W$129,MATCH(Model!CQ$6,'Inputs &amp; Drivers'!$S$9:$S$129))*(CQ$6&lt;='Inputs &amp; Drivers'!$J$15)</f>
        <v>0</v>
      </c>
      <c r="CR153" s="12">
        <f>-INDEX('Inputs &amp; Drivers'!$W$9:$W$129,MATCH(Model!CR$6,'Inputs &amp; Drivers'!$S$9:$S$129))*(CR$6&lt;='Inputs &amp; Drivers'!$J$15)</f>
        <v>0</v>
      </c>
      <c r="CS153" s="12">
        <f>-INDEX('Inputs &amp; Drivers'!$W$9:$W$129,MATCH(Model!CS$6,'Inputs &amp; Drivers'!$S$9:$S$129))*(CS$6&lt;='Inputs &amp; Drivers'!$J$15)</f>
        <v>0</v>
      </c>
      <c r="CT153" s="12">
        <f>-INDEX('Inputs &amp; Drivers'!$W$9:$W$129,MATCH(Model!CT$6,'Inputs &amp; Drivers'!$S$9:$S$129))*(CT$6&lt;='Inputs &amp; Drivers'!$J$15)</f>
        <v>0</v>
      </c>
      <c r="CU153" s="12">
        <f>-INDEX('Inputs &amp; Drivers'!$W$9:$W$129,MATCH(Model!CU$6,'Inputs &amp; Drivers'!$S$9:$S$129))*(CU$6&lt;='Inputs &amp; Drivers'!$J$15)</f>
        <v>0</v>
      </c>
      <c r="CV153" s="12">
        <f>-INDEX('Inputs &amp; Drivers'!$W$9:$W$129,MATCH(Model!CV$6,'Inputs &amp; Drivers'!$S$9:$S$129))*(CV$6&lt;='Inputs &amp; Drivers'!$J$15)</f>
        <v>0</v>
      </c>
      <c r="CW153" s="12">
        <f>-INDEX('Inputs &amp; Drivers'!$W$9:$W$129,MATCH(Model!CW$6,'Inputs &amp; Drivers'!$S$9:$S$129))*(CW$6&lt;='Inputs &amp; Drivers'!$J$15)</f>
        <v>0</v>
      </c>
      <c r="CX153" s="12">
        <f>-INDEX('Inputs &amp; Drivers'!$W$9:$W$129,MATCH(Model!CX$6,'Inputs &amp; Drivers'!$S$9:$S$129))*(CX$6&lt;='Inputs &amp; Drivers'!$J$15)</f>
        <v>0</v>
      </c>
      <c r="CY153" s="12">
        <f>-INDEX('Inputs &amp; Drivers'!$W$9:$W$129,MATCH(Model!CY$6,'Inputs &amp; Drivers'!$S$9:$S$129))*(CY$6&lt;='Inputs &amp; Drivers'!$J$15)</f>
        <v>0</v>
      </c>
      <c r="CZ153" s="12">
        <f>-INDEX('Inputs &amp; Drivers'!$W$9:$W$129,MATCH(Model!CZ$6,'Inputs &amp; Drivers'!$S$9:$S$129))*(CZ$6&lt;='Inputs &amp; Drivers'!$J$15)</f>
        <v>0</v>
      </c>
      <c r="DA153" s="12">
        <f>-INDEX('Inputs &amp; Drivers'!$W$9:$W$129,MATCH(Model!DA$6,'Inputs &amp; Drivers'!$S$9:$S$129))*(DA$6&lt;='Inputs &amp; Drivers'!$J$15)</f>
        <v>0</v>
      </c>
      <c r="DB153" s="12">
        <f>-INDEX('Inputs &amp; Drivers'!$W$9:$W$129,MATCH(Model!DB$6,'Inputs &amp; Drivers'!$S$9:$S$129))*(DB$6&lt;='Inputs &amp; Drivers'!$J$15)</f>
        <v>0</v>
      </c>
      <c r="DC153" s="12">
        <f>-INDEX('Inputs &amp; Drivers'!$W$9:$W$129,MATCH(Model!DC$6,'Inputs &amp; Drivers'!$S$9:$S$129))*(DC$6&lt;='Inputs &amp; Drivers'!$J$15)</f>
        <v>0</v>
      </c>
      <c r="DD153" s="12">
        <f>-INDEX('Inputs &amp; Drivers'!$W$9:$W$129,MATCH(Model!DD$6,'Inputs &amp; Drivers'!$S$9:$S$129))*(DD$6&lt;='Inputs &amp; Drivers'!$J$15)</f>
        <v>0</v>
      </c>
      <c r="DE153" s="12">
        <f>-INDEX('Inputs &amp; Drivers'!$W$9:$W$129,MATCH(Model!DE$6,'Inputs &amp; Drivers'!$S$9:$S$129))*(DE$6&lt;='Inputs &amp; Drivers'!$J$15)</f>
        <v>0</v>
      </c>
      <c r="DF153" s="12">
        <f>-INDEX('Inputs &amp; Drivers'!$W$9:$W$129,MATCH(Model!DF$6,'Inputs &amp; Drivers'!$S$9:$S$129))*(DF$6&lt;='Inputs &amp; Drivers'!$J$15)</f>
        <v>0</v>
      </c>
      <c r="DG153" s="12">
        <f>-INDEX('Inputs &amp; Drivers'!$W$9:$W$129,MATCH(Model!DG$6,'Inputs &amp; Drivers'!$S$9:$S$129))*(DG$6&lt;='Inputs &amp; Drivers'!$J$15)</f>
        <v>0</v>
      </c>
      <c r="DH153" s="12">
        <f>-INDEX('Inputs &amp; Drivers'!$W$9:$W$129,MATCH(Model!DH$6,'Inputs &amp; Drivers'!$S$9:$S$129))*(DH$6&lt;='Inputs &amp; Drivers'!$J$15)</f>
        <v>0</v>
      </c>
      <c r="DI153" s="12">
        <f>-INDEX('Inputs &amp; Drivers'!$W$9:$W$129,MATCH(Model!DI$6,'Inputs &amp; Drivers'!$S$9:$S$129))*(DI$6&lt;='Inputs &amp; Drivers'!$J$15)</f>
        <v>0</v>
      </c>
      <c r="DJ153" s="12">
        <f>-INDEX('Inputs &amp; Drivers'!$W$9:$W$129,MATCH(Model!DJ$6,'Inputs &amp; Drivers'!$S$9:$S$129))*(DJ$6&lt;='Inputs &amp; Drivers'!$J$15)</f>
        <v>0</v>
      </c>
      <c r="DK153" s="12">
        <f>-INDEX('Inputs &amp; Drivers'!$W$9:$W$129,MATCH(Model!DK$6,'Inputs &amp; Drivers'!$S$9:$S$129))*(DK$6&lt;='Inputs &amp; Drivers'!$J$15)</f>
        <v>0</v>
      </c>
      <c r="DL153" s="12">
        <f>-INDEX('Inputs &amp; Drivers'!$W$9:$W$129,MATCH(Model!DL$6,'Inputs &amp; Drivers'!$S$9:$S$129))*(DL$6&lt;='Inputs &amp; Drivers'!$J$15)</f>
        <v>0</v>
      </c>
      <c r="DM153" s="12">
        <f>-INDEX('Inputs &amp; Drivers'!$W$9:$W$129,MATCH(Model!DM$6,'Inputs &amp; Drivers'!$S$9:$S$129))*(DM$6&lt;='Inputs &amp; Drivers'!$J$15)</f>
        <v>0</v>
      </c>
      <c r="DN153" s="12">
        <f>-INDEX('Inputs &amp; Drivers'!$W$9:$W$129,MATCH(Model!DN$6,'Inputs &amp; Drivers'!$S$9:$S$129))*(DN$6&lt;='Inputs &amp; Drivers'!$J$15)</f>
        <v>0</v>
      </c>
      <c r="DO153" s="12">
        <f>-INDEX('Inputs &amp; Drivers'!$W$9:$W$129,MATCH(Model!DO$6,'Inputs &amp; Drivers'!$S$9:$S$129))*(DO$6&lt;='Inputs &amp; Drivers'!$J$15)</f>
        <v>0</v>
      </c>
      <c r="DP153" s="12">
        <f>-INDEX('Inputs &amp; Drivers'!$W$9:$W$129,MATCH(Model!DP$6,'Inputs &amp; Drivers'!$S$9:$S$129))*(DP$6&lt;='Inputs &amp; Drivers'!$J$15)</f>
        <v>0</v>
      </c>
      <c r="DQ153" s="12">
        <f>-INDEX('Inputs &amp; Drivers'!$W$9:$W$129,MATCH(Model!DQ$6,'Inputs &amp; Drivers'!$S$9:$S$129))*(DQ$6&lt;='Inputs &amp; Drivers'!$J$15)</f>
        <v>0</v>
      </c>
      <c r="DR153" s="12">
        <f>-INDEX('Inputs &amp; Drivers'!$W$9:$W$129,MATCH(Model!DR$6,'Inputs &amp; Drivers'!$S$9:$S$129))*(DR$6&lt;='Inputs &amp; Drivers'!$J$15)</f>
        <v>0</v>
      </c>
      <c r="DS153" s="12">
        <f>-INDEX('Inputs &amp; Drivers'!$W$9:$W$129,MATCH(Model!DS$6,'Inputs &amp; Drivers'!$S$9:$S$129))*(DS$6&lt;='Inputs &amp; Drivers'!$J$15)</f>
        <v>0</v>
      </c>
      <c r="DT153" s="12">
        <f>-INDEX('Inputs &amp; Drivers'!$W$9:$W$129,MATCH(Model!DT$6,'Inputs &amp; Drivers'!$S$9:$S$129))*(DT$6&lt;='Inputs &amp; Drivers'!$J$15)</f>
        <v>0</v>
      </c>
      <c r="DU153" s="12">
        <f>-INDEX('Inputs &amp; Drivers'!$W$9:$W$129,MATCH(Model!DU$6,'Inputs &amp; Drivers'!$S$9:$S$129))*(DU$6&lt;='Inputs &amp; Drivers'!$J$15)</f>
        <v>0</v>
      </c>
      <c r="DV153" s="12">
        <f>-INDEX('Inputs &amp; Drivers'!$W$9:$W$129,MATCH(Model!DV$6,'Inputs &amp; Drivers'!$S$9:$S$129))*(DV$6&lt;='Inputs &amp; Drivers'!$J$15)</f>
        <v>0</v>
      </c>
      <c r="DW153" s="12">
        <f>-INDEX('Inputs &amp; Drivers'!$W$9:$W$129,MATCH(Model!DW$6,'Inputs &amp; Drivers'!$S$9:$S$129))*(DW$6&lt;='Inputs &amp; Drivers'!$J$15)</f>
        <v>0</v>
      </c>
      <c r="DX153" s="12">
        <f>-INDEX('Inputs &amp; Drivers'!$W$9:$W$129,MATCH(Model!DX$6,'Inputs &amp; Drivers'!$S$9:$S$129))*(DX$6&lt;='Inputs &amp; Drivers'!$J$15)</f>
        <v>0</v>
      </c>
      <c r="DY153" s="12">
        <f>-INDEX('Inputs &amp; Drivers'!$W$9:$W$129,MATCH(Model!DY$6,'Inputs &amp; Drivers'!$S$9:$S$129))*(DY$6&lt;='Inputs &amp; Drivers'!$J$15)</f>
        <v>0</v>
      </c>
      <c r="DZ153" s="12">
        <f>-INDEX('Inputs &amp; Drivers'!$W$9:$W$129,MATCH(Model!DZ$6,'Inputs &amp; Drivers'!$S$9:$S$129))*(DZ$6&lt;='Inputs &amp; Drivers'!$J$15)</f>
        <v>0</v>
      </c>
      <c r="EA153" s="12">
        <f>-INDEX('Inputs &amp; Drivers'!$W$9:$W$129,MATCH(Model!EA$6,'Inputs &amp; Drivers'!$S$9:$S$129))*(EA$6&lt;='Inputs &amp; Drivers'!$J$15)</f>
        <v>0</v>
      </c>
      <c r="EB153" s="12">
        <f>-INDEX('Inputs &amp; Drivers'!$W$9:$W$129,MATCH(Model!EB$6,'Inputs &amp; Drivers'!$S$9:$S$129))*(EB$6&lt;='Inputs &amp; Drivers'!$J$15)</f>
        <v>0</v>
      </c>
      <c r="EC153" s="12">
        <f>-INDEX('Inputs &amp; Drivers'!$W$9:$W$129,MATCH(Model!EC$6,'Inputs &amp; Drivers'!$S$9:$S$129))*(EC$6&lt;='Inputs &amp; Drivers'!$J$15)</f>
        <v>0</v>
      </c>
      <c r="ED153" s="12">
        <f>-INDEX('Inputs &amp; Drivers'!$W$9:$W$129,MATCH(Model!ED$6,'Inputs &amp; Drivers'!$S$9:$S$129))*(ED$6&lt;='Inputs &amp; Drivers'!$J$15)</f>
        <v>0</v>
      </c>
      <c r="EE153" s="12">
        <f>-INDEX('Inputs &amp; Drivers'!$W$9:$W$129,MATCH(Model!EE$6,'Inputs &amp; Drivers'!$S$9:$S$129))*(EE$6&lt;='Inputs &amp; Drivers'!$J$15)</f>
        <v>0</v>
      </c>
      <c r="EF153" s="12">
        <f>-INDEX('Inputs &amp; Drivers'!$W$9:$W$129,MATCH(Model!EF$6,'Inputs &amp; Drivers'!$S$9:$S$129))*(EF$6&lt;='Inputs &amp; Drivers'!$J$15)</f>
        <v>0</v>
      </c>
      <c r="EG153" s="12">
        <f>-INDEX('Inputs &amp; Drivers'!$W$9:$W$129,MATCH(Model!EG$6,'Inputs &amp; Drivers'!$S$9:$S$129))*(EG$6&lt;='Inputs &amp; Drivers'!$J$15)</f>
        <v>0</v>
      </c>
      <c r="EH153" s="12">
        <f>-INDEX('Inputs &amp; Drivers'!$W$9:$W$129,MATCH(Model!EH$6,'Inputs &amp; Drivers'!$S$9:$S$129))*(EH$6&lt;='Inputs &amp; Drivers'!$J$15)</f>
        <v>0</v>
      </c>
      <c r="EI153" s="12">
        <f>-INDEX('Inputs &amp; Drivers'!$W$9:$W$129,MATCH(Model!EI$6,'Inputs &amp; Drivers'!$S$9:$S$129))*(EI$6&lt;='Inputs &amp; Drivers'!$J$15)</f>
        <v>0</v>
      </c>
      <c r="EJ153" s="12">
        <f>-INDEX('Inputs &amp; Drivers'!$W$9:$W$129,MATCH(Model!EJ$6,'Inputs &amp; Drivers'!$S$9:$S$129))*(EJ$6&lt;='Inputs &amp; Drivers'!$J$15)</f>
        <v>0</v>
      </c>
      <c r="EK153" s="12"/>
      <c r="EL153" s="12">
        <f t="shared" si="289"/>
        <v>0</v>
      </c>
      <c r="EM153" s="12">
        <f t="shared" si="289"/>
        <v>0</v>
      </c>
      <c r="EN153" s="12">
        <f t="shared" si="289"/>
        <v>0</v>
      </c>
      <c r="EO153" s="12">
        <f t="shared" si="289"/>
        <v>0</v>
      </c>
      <c r="EP153" s="12">
        <f t="shared" si="289"/>
        <v>0</v>
      </c>
      <c r="EQ153" s="12">
        <f t="shared" si="289"/>
        <v>0</v>
      </c>
      <c r="ER153" s="12">
        <f t="shared" si="289"/>
        <v>0</v>
      </c>
      <c r="ES153" s="12">
        <f t="shared" si="289"/>
        <v>0</v>
      </c>
      <c r="ET153" s="12">
        <f t="shared" si="289"/>
        <v>0</v>
      </c>
      <c r="EU153" s="12">
        <f t="shared" si="289"/>
        <v>0</v>
      </c>
      <c r="EV153" s="12">
        <f t="shared" si="289"/>
        <v>0</v>
      </c>
      <c r="EW153" s="12">
        <f t="shared" si="289"/>
        <v>0</v>
      </c>
    </row>
    <row r="154" spans="2:153" x14ac:dyDescent="0.4">
      <c r="B154" s="1" t="s">
        <v>98</v>
      </c>
      <c r="E154" s="8"/>
      <c r="F154" s="67">
        <f ca="1">SUMPRODUCT(($H154:$EJ154)*($H$6:$EJ$6&lt;=$C$5))</f>
        <v>-40000000</v>
      </c>
      <c r="G154" s="8"/>
      <c r="H154" s="8">
        <f ca="1">-SUM(H151:H153)*(H$6='Inputs &amp; Drivers'!$J$15)</f>
        <v>0</v>
      </c>
      <c r="I154" s="12">
        <f ca="1">-SUM(I151:I153)*(I$6='Inputs &amp; Drivers'!$J$15)</f>
        <v>0</v>
      </c>
      <c r="J154" s="12">
        <f ca="1">-SUM(J151:J153)*(J$6='Inputs &amp; Drivers'!$J$15)</f>
        <v>0</v>
      </c>
      <c r="K154" s="12">
        <f ca="1">-SUM(K151:K153)*(K$6='Inputs &amp; Drivers'!$J$15)</f>
        <v>0</v>
      </c>
      <c r="L154" s="12">
        <f ca="1">-SUM(L151:L153)*(L$6='Inputs &amp; Drivers'!$J$15)</f>
        <v>0</v>
      </c>
      <c r="M154" s="12">
        <f ca="1">-SUM(M151:M153)*(M$6='Inputs &amp; Drivers'!$J$15)</f>
        <v>0</v>
      </c>
      <c r="N154" s="12">
        <f ca="1">-SUM(N151:N153)*(N$6='Inputs &amp; Drivers'!$J$15)</f>
        <v>0</v>
      </c>
      <c r="O154" s="12">
        <f ca="1">-SUM(O151:O153)*(O$6='Inputs &amp; Drivers'!$J$15)</f>
        <v>0</v>
      </c>
      <c r="P154" s="12">
        <f ca="1">-SUM(P151:P153)*(P$6='Inputs &amp; Drivers'!$J$15)</f>
        <v>0</v>
      </c>
      <c r="Q154" s="12">
        <f ca="1">-SUM(Q151:Q153)*(Q$6='Inputs &amp; Drivers'!$J$15)</f>
        <v>0</v>
      </c>
      <c r="R154" s="12">
        <f ca="1">-SUM(R151:R153)*(R$6='Inputs &amp; Drivers'!$J$15)</f>
        <v>0</v>
      </c>
      <c r="S154" s="12">
        <f ca="1">-SUM(S151:S153)*(S$6='Inputs &amp; Drivers'!$J$15)</f>
        <v>0</v>
      </c>
      <c r="T154" s="12">
        <f ca="1">-SUM(T151:T153)*(T$6='Inputs &amp; Drivers'!$J$15)</f>
        <v>0</v>
      </c>
      <c r="U154" s="12">
        <f ca="1">-SUM(U151:U153)*(U$6='Inputs &amp; Drivers'!$J$15)</f>
        <v>0</v>
      </c>
      <c r="V154" s="12">
        <f ca="1">-SUM(V151:V153)*(V$6='Inputs &amp; Drivers'!$J$15)</f>
        <v>0</v>
      </c>
      <c r="W154" s="12">
        <f ca="1">-SUM(W151:W153)*(W$6='Inputs &amp; Drivers'!$J$15)</f>
        <v>0</v>
      </c>
      <c r="X154" s="12">
        <f ca="1">-SUM(X151:X153)*(X$6='Inputs &amp; Drivers'!$J$15)</f>
        <v>0</v>
      </c>
      <c r="Y154" s="12">
        <f ca="1">-SUM(Y151:Y153)*(Y$6='Inputs &amp; Drivers'!$J$15)</f>
        <v>0</v>
      </c>
      <c r="Z154" s="12">
        <f ca="1">-SUM(Z151:Z153)*(Z$6='Inputs &amp; Drivers'!$J$15)</f>
        <v>0</v>
      </c>
      <c r="AA154" s="12">
        <f ca="1">-SUM(AA151:AA153)*(AA$6='Inputs &amp; Drivers'!$J$15)</f>
        <v>0</v>
      </c>
      <c r="AB154" s="12">
        <f ca="1">-SUM(AB151:AB153)*(AB$6='Inputs &amp; Drivers'!$J$15)</f>
        <v>0</v>
      </c>
      <c r="AC154" s="12">
        <f ca="1">-SUM(AC151:AC153)*(AC$6='Inputs &amp; Drivers'!$J$15)</f>
        <v>0</v>
      </c>
      <c r="AD154" s="12">
        <f ca="1">-SUM(AD151:AD153)*(AD$6='Inputs &amp; Drivers'!$J$15)</f>
        <v>0</v>
      </c>
      <c r="AE154" s="12">
        <f ca="1">-SUM(AE151:AE153)*(AE$6='Inputs &amp; Drivers'!$J$15)</f>
        <v>0</v>
      </c>
      <c r="AF154" s="12">
        <f ca="1">-SUM(AF151:AF153)*(AF$6='Inputs &amp; Drivers'!$J$15)</f>
        <v>0</v>
      </c>
      <c r="AG154" s="12">
        <f ca="1">-SUM(AG151:AG153)*(AG$6='Inputs &amp; Drivers'!$J$15)</f>
        <v>0</v>
      </c>
      <c r="AH154" s="12">
        <f ca="1">-SUM(AH151:AH153)*(AH$6='Inputs &amp; Drivers'!$J$15)</f>
        <v>0</v>
      </c>
      <c r="AI154" s="12">
        <f ca="1">-SUM(AI151:AI153)*(AI$6='Inputs &amp; Drivers'!$J$15)</f>
        <v>0</v>
      </c>
      <c r="AJ154" s="12">
        <f ca="1">-SUM(AJ151:AJ153)*(AJ$6='Inputs &amp; Drivers'!$J$15)</f>
        <v>0</v>
      </c>
      <c r="AK154" s="12">
        <f ca="1">-SUM(AK151:AK153)*(AK$6='Inputs &amp; Drivers'!$J$15)</f>
        <v>0</v>
      </c>
      <c r="AL154" s="12">
        <f ca="1">-SUM(AL151:AL153)*(AL$6='Inputs &amp; Drivers'!$J$15)</f>
        <v>0</v>
      </c>
      <c r="AM154" s="12">
        <f ca="1">-SUM(AM151:AM153)*(AM$6='Inputs &amp; Drivers'!$J$15)</f>
        <v>0</v>
      </c>
      <c r="AN154" s="12">
        <f ca="1">-SUM(AN151:AN153)*(AN$6='Inputs &amp; Drivers'!$J$15)</f>
        <v>0</v>
      </c>
      <c r="AO154" s="12">
        <f ca="1">-SUM(AO151:AO153)*(AO$6='Inputs &amp; Drivers'!$J$15)</f>
        <v>0</v>
      </c>
      <c r="AP154" s="12">
        <f ca="1">-SUM(AP151:AP153)*(AP$6='Inputs &amp; Drivers'!$J$15)</f>
        <v>0</v>
      </c>
      <c r="AQ154" s="12">
        <f ca="1">-SUM(AQ151:AQ153)*(AQ$6='Inputs &amp; Drivers'!$J$15)</f>
        <v>0</v>
      </c>
      <c r="AR154" s="12">
        <f ca="1">-SUM(AR151:AR153)*(AR$6='Inputs &amp; Drivers'!$J$15)</f>
        <v>-40000000</v>
      </c>
      <c r="AS154" s="12">
        <f ca="1">-SUM(AS151:AS153)*(AS$6='Inputs &amp; Drivers'!$J$15)</f>
        <v>0</v>
      </c>
      <c r="AT154" s="12">
        <f ca="1">-SUM(AT151:AT153)*(AT$6='Inputs &amp; Drivers'!$J$15)</f>
        <v>0</v>
      </c>
      <c r="AU154" s="12">
        <f ca="1">-SUM(AU151:AU153)*(AU$6='Inputs &amp; Drivers'!$J$15)</f>
        <v>0</v>
      </c>
      <c r="AV154" s="12">
        <f ca="1">-SUM(AV151:AV153)*(AV$6='Inputs &amp; Drivers'!$J$15)</f>
        <v>0</v>
      </c>
      <c r="AW154" s="12">
        <f ca="1">-SUM(AW151:AW153)*(AW$6='Inputs &amp; Drivers'!$J$15)</f>
        <v>0</v>
      </c>
      <c r="AX154" s="12">
        <f ca="1">-SUM(AX151:AX153)*(AX$6='Inputs &amp; Drivers'!$J$15)</f>
        <v>0</v>
      </c>
      <c r="AY154" s="12">
        <f ca="1">-SUM(AY151:AY153)*(AY$6='Inputs &amp; Drivers'!$J$15)</f>
        <v>0</v>
      </c>
      <c r="AZ154" s="12">
        <f ca="1">-SUM(AZ151:AZ153)*(AZ$6='Inputs &amp; Drivers'!$J$15)</f>
        <v>0</v>
      </c>
      <c r="BA154" s="12">
        <f ca="1">-SUM(BA151:BA153)*(BA$6='Inputs &amp; Drivers'!$J$15)</f>
        <v>0</v>
      </c>
      <c r="BB154" s="12">
        <f ca="1">-SUM(BB151:BB153)*(BB$6='Inputs &amp; Drivers'!$J$15)</f>
        <v>0</v>
      </c>
      <c r="BC154" s="12">
        <f ca="1">-SUM(BC151:BC153)*(BC$6='Inputs &amp; Drivers'!$J$15)</f>
        <v>0</v>
      </c>
      <c r="BD154" s="12">
        <f ca="1">-SUM(BD151:BD153)*(BD$6='Inputs &amp; Drivers'!$J$15)</f>
        <v>0</v>
      </c>
      <c r="BE154" s="12">
        <f ca="1">-SUM(BE151:BE153)*(BE$6='Inputs &amp; Drivers'!$J$15)</f>
        <v>0</v>
      </c>
      <c r="BF154" s="12">
        <f ca="1">-SUM(BF151:BF153)*(BF$6='Inputs &amp; Drivers'!$J$15)</f>
        <v>0</v>
      </c>
      <c r="BG154" s="12">
        <f ca="1">-SUM(BG151:BG153)*(BG$6='Inputs &amp; Drivers'!$J$15)</f>
        <v>0</v>
      </c>
      <c r="BH154" s="12">
        <f ca="1">-SUM(BH151:BH153)*(BH$6='Inputs &amp; Drivers'!$J$15)</f>
        <v>0</v>
      </c>
      <c r="BI154" s="12">
        <f ca="1">-SUM(BI151:BI153)*(BI$6='Inputs &amp; Drivers'!$J$15)</f>
        <v>0</v>
      </c>
      <c r="BJ154" s="12">
        <f ca="1">-SUM(BJ151:BJ153)*(BJ$6='Inputs &amp; Drivers'!$J$15)</f>
        <v>0</v>
      </c>
      <c r="BK154" s="12">
        <f ca="1">-SUM(BK151:BK153)*(BK$6='Inputs &amp; Drivers'!$J$15)</f>
        <v>0</v>
      </c>
      <c r="BL154" s="12">
        <f ca="1">-SUM(BL151:BL153)*(BL$6='Inputs &amp; Drivers'!$J$15)</f>
        <v>0</v>
      </c>
      <c r="BM154" s="12">
        <f ca="1">-SUM(BM151:BM153)*(BM$6='Inputs &amp; Drivers'!$J$15)</f>
        <v>0</v>
      </c>
      <c r="BN154" s="12">
        <f ca="1">-SUM(BN151:BN153)*(BN$6='Inputs &amp; Drivers'!$J$15)</f>
        <v>0</v>
      </c>
      <c r="BO154" s="12">
        <f ca="1">-SUM(BO151:BO153)*(BO$6='Inputs &amp; Drivers'!$J$15)</f>
        <v>0</v>
      </c>
      <c r="BP154" s="12">
        <f ca="1">-SUM(BP151:BP153)*(BP$6='Inputs &amp; Drivers'!$J$15)</f>
        <v>0</v>
      </c>
      <c r="BQ154" s="12">
        <f ca="1">-SUM(BQ151:BQ153)*(BQ$6='Inputs &amp; Drivers'!$J$15)</f>
        <v>0</v>
      </c>
      <c r="BR154" s="12">
        <f ca="1">-SUM(BR151:BR153)*(BR$6='Inputs &amp; Drivers'!$J$15)</f>
        <v>0</v>
      </c>
      <c r="BS154" s="12">
        <f ca="1">-SUM(BS151:BS153)*(BS$6='Inputs &amp; Drivers'!$J$15)</f>
        <v>0</v>
      </c>
      <c r="BT154" s="12">
        <f ca="1">-SUM(BT151:BT153)*(BT$6='Inputs &amp; Drivers'!$J$15)</f>
        <v>0</v>
      </c>
      <c r="BU154" s="12">
        <f ca="1">-SUM(BU151:BU153)*(BU$6='Inputs &amp; Drivers'!$J$15)</f>
        <v>0</v>
      </c>
      <c r="BV154" s="12">
        <f ca="1">-SUM(BV151:BV153)*(BV$6='Inputs &amp; Drivers'!$J$15)</f>
        <v>0</v>
      </c>
      <c r="BW154" s="12">
        <f ca="1">-SUM(BW151:BW153)*(BW$6='Inputs &amp; Drivers'!$J$15)</f>
        <v>0</v>
      </c>
      <c r="BX154" s="12">
        <f ca="1">-SUM(BX151:BX153)*(BX$6='Inputs &amp; Drivers'!$J$15)</f>
        <v>0</v>
      </c>
      <c r="BY154" s="12">
        <f ca="1">-SUM(BY151:BY153)*(BY$6='Inputs &amp; Drivers'!$J$15)</f>
        <v>0</v>
      </c>
      <c r="BZ154" s="12">
        <f ca="1">-SUM(BZ151:BZ153)*(BZ$6='Inputs &amp; Drivers'!$J$15)</f>
        <v>0</v>
      </c>
      <c r="CA154" s="12">
        <f ca="1">-SUM(CA151:CA153)*(CA$6='Inputs &amp; Drivers'!$J$15)</f>
        <v>0</v>
      </c>
      <c r="CB154" s="12">
        <f ca="1">-SUM(CB151:CB153)*(CB$6='Inputs &amp; Drivers'!$J$15)</f>
        <v>0</v>
      </c>
      <c r="CC154" s="12">
        <f ca="1">-SUM(CC151:CC153)*(CC$6='Inputs &amp; Drivers'!$J$15)</f>
        <v>0</v>
      </c>
      <c r="CD154" s="12">
        <f ca="1">-SUM(CD151:CD153)*(CD$6='Inputs &amp; Drivers'!$J$15)</f>
        <v>0</v>
      </c>
      <c r="CE154" s="12">
        <f ca="1">-SUM(CE151:CE153)*(CE$6='Inputs &amp; Drivers'!$J$15)</f>
        <v>0</v>
      </c>
      <c r="CF154" s="12">
        <f ca="1">-SUM(CF151:CF153)*(CF$6='Inputs &amp; Drivers'!$J$15)</f>
        <v>0</v>
      </c>
      <c r="CG154" s="12">
        <f ca="1">-SUM(CG151:CG153)*(CG$6='Inputs &amp; Drivers'!$J$15)</f>
        <v>0</v>
      </c>
      <c r="CH154" s="12">
        <f ca="1">-SUM(CH151:CH153)*(CH$6='Inputs &amp; Drivers'!$J$15)</f>
        <v>0</v>
      </c>
      <c r="CI154" s="12">
        <f ca="1">-SUM(CI151:CI153)*(CI$6='Inputs &amp; Drivers'!$J$15)</f>
        <v>0</v>
      </c>
      <c r="CJ154" s="12">
        <f ca="1">-SUM(CJ151:CJ153)*(CJ$6='Inputs &amp; Drivers'!$J$15)</f>
        <v>0</v>
      </c>
      <c r="CK154" s="12">
        <f ca="1">-SUM(CK151:CK153)*(CK$6='Inputs &amp; Drivers'!$J$15)</f>
        <v>0</v>
      </c>
      <c r="CL154" s="12">
        <f ca="1">-SUM(CL151:CL153)*(CL$6='Inputs &amp; Drivers'!$J$15)</f>
        <v>0</v>
      </c>
      <c r="CM154" s="12">
        <f ca="1">-SUM(CM151:CM153)*(CM$6='Inputs &amp; Drivers'!$J$15)</f>
        <v>0</v>
      </c>
      <c r="CN154" s="12">
        <f ca="1">-SUM(CN151:CN153)*(CN$6='Inputs &amp; Drivers'!$J$15)</f>
        <v>0</v>
      </c>
      <c r="CO154" s="12">
        <f ca="1">-SUM(CO151:CO153)*(CO$6='Inputs &amp; Drivers'!$J$15)</f>
        <v>0</v>
      </c>
      <c r="CP154" s="12">
        <f ca="1">-SUM(CP151:CP153)*(CP$6='Inputs &amp; Drivers'!$J$15)</f>
        <v>0</v>
      </c>
      <c r="CQ154" s="12">
        <f ca="1">-SUM(CQ151:CQ153)*(CQ$6='Inputs &amp; Drivers'!$J$15)</f>
        <v>0</v>
      </c>
      <c r="CR154" s="12">
        <f ca="1">-SUM(CR151:CR153)*(CR$6='Inputs &amp; Drivers'!$J$15)</f>
        <v>0</v>
      </c>
      <c r="CS154" s="12">
        <f ca="1">-SUM(CS151:CS153)*(CS$6='Inputs &amp; Drivers'!$J$15)</f>
        <v>0</v>
      </c>
      <c r="CT154" s="12">
        <f ca="1">-SUM(CT151:CT153)*(CT$6='Inputs &amp; Drivers'!$J$15)</f>
        <v>0</v>
      </c>
      <c r="CU154" s="12">
        <f ca="1">-SUM(CU151:CU153)*(CU$6='Inputs &amp; Drivers'!$J$15)</f>
        <v>0</v>
      </c>
      <c r="CV154" s="12">
        <f ca="1">-SUM(CV151:CV153)*(CV$6='Inputs &amp; Drivers'!$J$15)</f>
        <v>0</v>
      </c>
      <c r="CW154" s="12">
        <f ca="1">-SUM(CW151:CW153)*(CW$6='Inputs &amp; Drivers'!$J$15)</f>
        <v>0</v>
      </c>
      <c r="CX154" s="12">
        <f ca="1">-SUM(CX151:CX153)*(CX$6='Inputs &amp; Drivers'!$J$15)</f>
        <v>0</v>
      </c>
      <c r="CY154" s="12">
        <f ca="1">-SUM(CY151:CY153)*(CY$6='Inputs &amp; Drivers'!$J$15)</f>
        <v>0</v>
      </c>
      <c r="CZ154" s="12">
        <f ca="1">-SUM(CZ151:CZ153)*(CZ$6='Inputs &amp; Drivers'!$J$15)</f>
        <v>0</v>
      </c>
      <c r="DA154" s="12">
        <f ca="1">-SUM(DA151:DA153)*(DA$6='Inputs &amp; Drivers'!$J$15)</f>
        <v>0</v>
      </c>
      <c r="DB154" s="12">
        <f ca="1">-SUM(DB151:DB153)*(DB$6='Inputs &amp; Drivers'!$J$15)</f>
        <v>0</v>
      </c>
      <c r="DC154" s="12">
        <f ca="1">-SUM(DC151:DC153)*(DC$6='Inputs &amp; Drivers'!$J$15)</f>
        <v>0</v>
      </c>
      <c r="DD154" s="12">
        <f ca="1">-SUM(DD151:DD153)*(DD$6='Inputs &amp; Drivers'!$J$15)</f>
        <v>0</v>
      </c>
      <c r="DE154" s="12">
        <f ca="1">-SUM(DE151:DE153)*(DE$6='Inputs &amp; Drivers'!$J$15)</f>
        <v>0</v>
      </c>
      <c r="DF154" s="12">
        <f ca="1">-SUM(DF151:DF153)*(DF$6='Inputs &amp; Drivers'!$J$15)</f>
        <v>0</v>
      </c>
      <c r="DG154" s="12">
        <f ca="1">-SUM(DG151:DG153)*(DG$6='Inputs &amp; Drivers'!$J$15)</f>
        <v>0</v>
      </c>
      <c r="DH154" s="12">
        <f ca="1">-SUM(DH151:DH153)*(DH$6='Inputs &amp; Drivers'!$J$15)</f>
        <v>0</v>
      </c>
      <c r="DI154" s="12">
        <f ca="1">-SUM(DI151:DI153)*(DI$6='Inputs &amp; Drivers'!$J$15)</f>
        <v>0</v>
      </c>
      <c r="DJ154" s="12">
        <f ca="1">-SUM(DJ151:DJ153)*(DJ$6='Inputs &amp; Drivers'!$J$15)</f>
        <v>0</v>
      </c>
      <c r="DK154" s="12">
        <f ca="1">-SUM(DK151:DK153)*(DK$6='Inputs &amp; Drivers'!$J$15)</f>
        <v>0</v>
      </c>
      <c r="DL154" s="12">
        <f ca="1">-SUM(DL151:DL153)*(DL$6='Inputs &amp; Drivers'!$J$15)</f>
        <v>0</v>
      </c>
      <c r="DM154" s="12">
        <f ca="1">-SUM(DM151:DM153)*(DM$6='Inputs &amp; Drivers'!$J$15)</f>
        <v>0</v>
      </c>
      <c r="DN154" s="12">
        <f ca="1">-SUM(DN151:DN153)*(DN$6='Inputs &amp; Drivers'!$J$15)</f>
        <v>0</v>
      </c>
      <c r="DO154" s="12">
        <f ca="1">-SUM(DO151:DO153)*(DO$6='Inputs &amp; Drivers'!$J$15)</f>
        <v>0</v>
      </c>
      <c r="DP154" s="12">
        <f ca="1">-SUM(DP151:DP153)*(DP$6='Inputs &amp; Drivers'!$J$15)</f>
        <v>0</v>
      </c>
      <c r="DQ154" s="12">
        <f ca="1">-SUM(DQ151:DQ153)*(DQ$6='Inputs &amp; Drivers'!$J$15)</f>
        <v>0</v>
      </c>
      <c r="DR154" s="12">
        <f ca="1">-SUM(DR151:DR153)*(DR$6='Inputs &amp; Drivers'!$J$15)</f>
        <v>0</v>
      </c>
      <c r="DS154" s="12">
        <f ca="1">-SUM(DS151:DS153)*(DS$6='Inputs &amp; Drivers'!$J$15)</f>
        <v>0</v>
      </c>
      <c r="DT154" s="12">
        <f ca="1">-SUM(DT151:DT153)*(DT$6='Inputs &amp; Drivers'!$J$15)</f>
        <v>0</v>
      </c>
      <c r="DU154" s="12">
        <f ca="1">-SUM(DU151:DU153)*(DU$6='Inputs &amp; Drivers'!$J$15)</f>
        <v>0</v>
      </c>
      <c r="DV154" s="12">
        <f ca="1">-SUM(DV151:DV153)*(DV$6='Inputs &amp; Drivers'!$J$15)</f>
        <v>0</v>
      </c>
      <c r="DW154" s="12">
        <f ca="1">-SUM(DW151:DW153)*(DW$6='Inputs &amp; Drivers'!$J$15)</f>
        <v>0</v>
      </c>
      <c r="DX154" s="12">
        <f ca="1">-SUM(DX151:DX153)*(DX$6='Inputs &amp; Drivers'!$J$15)</f>
        <v>0</v>
      </c>
      <c r="DY154" s="12">
        <f ca="1">-SUM(DY151:DY153)*(DY$6='Inputs &amp; Drivers'!$J$15)</f>
        <v>0</v>
      </c>
      <c r="DZ154" s="12">
        <f ca="1">-SUM(DZ151:DZ153)*(DZ$6='Inputs &amp; Drivers'!$J$15)</f>
        <v>0</v>
      </c>
      <c r="EA154" s="12">
        <f ca="1">-SUM(EA151:EA153)*(EA$6='Inputs &amp; Drivers'!$J$15)</f>
        <v>0</v>
      </c>
      <c r="EB154" s="12">
        <f ca="1">-SUM(EB151:EB153)*(EB$6='Inputs &amp; Drivers'!$J$15)</f>
        <v>0</v>
      </c>
      <c r="EC154" s="12">
        <f ca="1">-SUM(EC151:EC153)*(EC$6='Inputs &amp; Drivers'!$J$15)</f>
        <v>0</v>
      </c>
      <c r="ED154" s="12">
        <f ca="1">-SUM(ED151:ED153)*(ED$6='Inputs &amp; Drivers'!$J$15)</f>
        <v>0</v>
      </c>
      <c r="EE154" s="12">
        <f ca="1">-SUM(EE151:EE153)*(EE$6='Inputs &amp; Drivers'!$J$15)</f>
        <v>0</v>
      </c>
      <c r="EF154" s="12">
        <f ca="1">-SUM(EF151:EF153)*(EF$6='Inputs &amp; Drivers'!$J$15)</f>
        <v>0</v>
      </c>
      <c r="EG154" s="12">
        <f ca="1">-SUM(EG151:EG153)*(EG$6='Inputs &amp; Drivers'!$J$15)</f>
        <v>0</v>
      </c>
      <c r="EH154" s="12">
        <f ca="1">-SUM(EH151:EH153)*(EH$6='Inputs &amp; Drivers'!$J$15)</f>
        <v>0</v>
      </c>
      <c r="EI154" s="12">
        <f ca="1">-SUM(EI151:EI153)*(EI$6='Inputs &amp; Drivers'!$J$15)</f>
        <v>0</v>
      </c>
      <c r="EJ154" s="12">
        <f ca="1">-SUM(EJ151:EJ153)*(EJ$6='Inputs &amp; Drivers'!$J$15)</f>
        <v>0</v>
      </c>
      <c r="EK154" s="12"/>
      <c r="EL154" s="12">
        <f t="shared" ca="1" si="289"/>
        <v>0</v>
      </c>
      <c r="EM154" s="12">
        <f t="shared" ca="1" si="289"/>
        <v>0</v>
      </c>
      <c r="EN154" s="12">
        <f t="shared" ca="1" si="289"/>
        <v>0</v>
      </c>
      <c r="EO154" s="12">
        <f t="shared" ca="1" si="289"/>
        <v>-40000000</v>
      </c>
      <c r="EP154" s="12">
        <f t="shared" ca="1" si="289"/>
        <v>0</v>
      </c>
      <c r="EQ154" s="12">
        <f t="shared" ca="1" si="289"/>
        <v>0</v>
      </c>
      <c r="ER154" s="12">
        <f t="shared" ca="1" si="289"/>
        <v>0</v>
      </c>
      <c r="ES154" s="12">
        <f t="shared" ca="1" si="289"/>
        <v>0</v>
      </c>
      <c r="ET154" s="12">
        <f t="shared" ca="1" si="289"/>
        <v>0</v>
      </c>
      <c r="EU154" s="12">
        <f t="shared" ca="1" si="289"/>
        <v>0</v>
      </c>
      <c r="EV154" s="12">
        <f t="shared" ca="1" si="289"/>
        <v>0</v>
      </c>
      <c r="EW154" s="12">
        <f t="shared" ca="1" si="289"/>
        <v>0</v>
      </c>
    </row>
    <row r="155" spans="2:153" x14ac:dyDescent="0.4">
      <c r="B155" s="89" t="s">
        <v>99</v>
      </c>
      <c r="C155" s="89"/>
      <c r="D155" s="89"/>
      <c r="E155" s="90"/>
      <c r="F155" s="90">
        <f ca="1">SUM(F151:F154)</f>
        <v>0</v>
      </c>
      <c r="G155" s="98"/>
      <c r="H155" s="90">
        <f ca="1">SUM(H151:H154)</f>
        <v>0</v>
      </c>
      <c r="I155" s="90">
        <f ca="1">SUM(I151:I154)</f>
        <v>0</v>
      </c>
      <c r="J155" s="90">
        <f t="shared" ref="J155:BU155" ca="1" si="295">SUM(J151:J154)</f>
        <v>0</v>
      </c>
      <c r="K155" s="90">
        <f t="shared" ca="1" si="295"/>
        <v>0</v>
      </c>
      <c r="L155" s="90">
        <f t="shared" ca="1" si="295"/>
        <v>0</v>
      </c>
      <c r="M155" s="90">
        <f t="shared" ca="1" si="295"/>
        <v>0</v>
      </c>
      <c r="N155" s="90">
        <f t="shared" ca="1" si="295"/>
        <v>0</v>
      </c>
      <c r="O155" s="90">
        <f t="shared" ca="1" si="295"/>
        <v>0</v>
      </c>
      <c r="P155" s="90">
        <f t="shared" ca="1" si="295"/>
        <v>0</v>
      </c>
      <c r="Q155" s="90">
        <f t="shared" ca="1" si="295"/>
        <v>0</v>
      </c>
      <c r="R155" s="90">
        <f t="shared" ca="1" si="295"/>
        <v>1363300.000572212</v>
      </c>
      <c r="S155" s="90">
        <f t="shared" ca="1" si="295"/>
        <v>4510509.9489095043</v>
      </c>
      <c r="T155" s="90">
        <f t="shared" ca="1" si="295"/>
        <v>7670861.1315651201</v>
      </c>
      <c r="U155" s="90">
        <f t="shared" ca="1" si="295"/>
        <v>10844163.053942338</v>
      </c>
      <c r="V155" s="90">
        <f t="shared" ca="1" si="295"/>
        <v>14026099.437731128</v>
      </c>
      <c r="W155" s="90">
        <f t="shared" ca="1" si="295"/>
        <v>17225239.043077394</v>
      </c>
      <c r="X155" s="90">
        <f t="shared" ca="1" si="295"/>
        <v>20435011.22497119</v>
      </c>
      <c r="Y155" s="90">
        <f t="shared" ca="1" si="295"/>
        <v>23687741.841677148</v>
      </c>
      <c r="Z155" s="90">
        <f t="shared" ca="1" si="295"/>
        <v>26922548.938104328</v>
      </c>
      <c r="AA155" s="90">
        <f t="shared" ca="1" si="295"/>
        <v>30173399.112615548</v>
      </c>
      <c r="AB155" s="90">
        <f t="shared" ca="1" si="295"/>
        <v>33437221.834561452</v>
      </c>
      <c r="AC155" s="90">
        <f t="shared" ca="1" si="295"/>
        <v>36709802.767007604</v>
      </c>
      <c r="AD155" s="90">
        <f t="shared" ca="1" si="295"/>
        <v>40000000</v>
      </c>
      <c r="AE155" s="90">
        <f t="shared" ca="1" si="295"/>
        <v>40000000</v>
      </c>
      <c r="AF155" s="90">
        <f t="shared" ca="1" si="295"/>
        <v>40000000</v>
      </c>
      <c r="AG155" s="90">
        <f t="shared" ca="1" si="295"/>
        <v>40000000</v>
      </c>
      <c r="AH155" s="90">
        <f t="shared" ca="1" si="295"/>
        <v>40000000</v>
      </c>
      <c r="AI155" s="90">
        <f t="shared" ca="1" si="295"/>
        <v>40000000</v>
      </c>
      <c r="AJ155" s="90">
        <f t="shared" ca="1" si="295"/>
        <v>40000000</v>
      </c>
      <c r="AK155" s="90">
        <f t="shared" ca="1" si="295"/>
        <v>40000000</v>
      </c>
      <c r="AL155" s="90">
        <f t="shared" ca="1" si="295"/>
        <v>40000000</v>
      </c>
      <c r="AM155" s="90">
        <f t="shared" ca="1" si="295"/>
        <v>40000000</v>
      </c>
      <c r="AN155" s="90">
        <f t="shared" ca="1" si="295"/>
        <v>40000000</v>
      </c>
      <c r="AO155" s="90">
        <f t="shared" ca="1" si="295"/>
        <v>40000000</v>
      </c>
      <c r="AP155" s="90">
        <f t="shared" ca="1" si="295"/>
        <v>40000000</v>
      </c>
      <c r="AQ155" s="90">
        <f t="shared" ca="1" si="295"/>
        <v>40000000</v>
      </c>
      <c r="AR155" s="90">
        <f t="shared" ca="1" si="295"/>
        <v>0</v>
      </c>
      <c r="AS155" s="90">
        <f t="shared" ca="1" si="295"/>
        <v>0</v>
      </c>
      <c r="AT155" s="90">
        <f t="shared" ca="1" si="295"/>
        <v>0</v>
      </c>
      <c r="AU155" s="90">
        <f t="shared" ca="1" si="295"/>
        <v>0</v>
      </c>
      <c r="AV155" s="90">
        <f t="shared" ca="1" si="295"/>
        <v>0</v>
      </c>
      <c r="AW155" s="90">
        <f t="shared" ca="1" si="295"/>
        <v>0</v>
      </c>
      <c r="AX155" s="90">
        <f t="shared" ca="1" si="295"/>
        <v>0</v>
      </c>
      <c r="AY155" s="90">
        <f t="shared" ca="1" si="295"/>
        <v>0</v>
      </c>
      <c r="AZ155" s="90">
        <f t="shared" ca="1" si="295"/>
        <v>0</v>
      </c>
      <c r="BA155" s="90">
        <f t="shared" ca="1" si="295"/>
        <v>0</v>
      </c>
      <c r="BB155" s="90">
        <f t="shared" ca="1" si="295"/>
        <v>0</v>
      </c>
      <c r="BC155" s="90">
        <f t="shared" ca="1" si="295"/>
        <v>0</v>
      </c>
      <c r="BD155" s="90">
        <f t="shared" ca="1" si="295"/>
        <v>0</v>
      </c>
      <c r="BE155" s="90">
        <f t="shared" ca="1" si="295"/>
        <v>0</v>
      </c>
      <c r="BF155" s="90">
        <f t="shared" ca="1" si="295"/>
        <v>0</v>
      </c>
      <c r="BG155" s="90">
        <f t="shared" ca="1" si="295"/>
        <v>0</v>
      </c>
      <c r="BH155" s="90">
        <f t="shared" ca="1" si="295"/>
        <v>0</v>
      </c>
      <c r="BI155" s="90">
        <f t="shared" ca="1" si="295"/>
        <v>0</v>
      </c>
      <c r="BJ155" s="90">
        <f t="shared" ca="1" si="295"/>
        <v>0</v>
      </c>
      <c r="BK155" s="90">
        <f t="shared" ca="1" si="295"/>
        <v>0</v>
      </c>
      <c r="BL155" s="90">
        <f t="shared" ca="1" si="295"/>
        <v>0</v>
      </c>
      <c r="BM155" s="90">
        <f t="shared" ca="1" si="295"/>
        <v>0</v>
      </c>
      <c r="BN155" s="90">
        <f t="shared" ca="1" si="295"/>
        <v>0</v>
      </c>
      <c r="BO155" s="90">
        <f t="shared" ca="1" si="295"/>
        <v>0</v>
      </c>
      <c r="BP155" s="90">
        <f t="shared" ca="1" si="295"/>
        <v>0</v>
      </c>
      <c r="BQ155" s="90">
        <f t="shared" ca="1" si="295"/>
        <v>0</v>
      </c>
      <c r="BR155" s="90">
        <f t="shared" ca="1" si="295"/>
        <v>0</v>
      </c>
      <c r="BS155" s="90">
        <f t="shared" ca="1" si="295"/>
        <v>0</v>
      </c>
      <c r="BT155" s="90">
        <f t="shared" ca="1" si="295"/>
        <v>0</v>
      </c>
      <c r="BU155" s="90">
        <f t="shared" ca="1" si="295"/>
        <v>0</v>
      </c>
      <c r="BV155" s="90">
        <f t="shared" ref="BV155:EG155" ca="1" si="296">SUM(BV151:BV154)</f>
        <v>0</v>
      </c>
      <c r="BW155" s="90">
        <f t="shared" ca="1" si="296"/>
        <v>0</v>
      </c>
      <c r="BX155" s="90">
        <f t="shared" ca="1" si="296"/>
        <v>0</v>
      </c>
      <c r="BY155" s="90">
        <f t="shared" ca="1" si="296"/>
        <v>0</v>
      </c>
      <c r="BZ155" s="90">
        <f t="shared" ca="1" si="296"/>
        <v>0</v>
      </c>
      <c r="CA155" s="90">
        <f t="shared" ca="1" si="296"/>
        <v>0</v>
      </c>
      <c r="CB155" s="90">
        <f t="shared" ca="1" si="296"/>
        <v>0</v>
      </c>
      <c r="CC155" s="90">
        <f t="shared" ca="1" si="296"/>
        <v>0</v>
      </c>
      <c r="CD155" s="90">
        <f t="shared" ca="1" si="296"/>
        <v>0</v>
      </c>
      <c r="CE155" s="90">
        <f t="shared" ca="1" si="296"/>
        <v>0</v>
      </c>
      <c r="CF155" s="90">
        <f t="shared" ca="1" si="296"/>
        <v>0</v>
      </c>
      <c r="CG155" s="90">
        <f t="shared" ca="1" si="296"/>
        <v>0</v>
      </c>
      <c r="CH155" s="90">
        <f t="shared" ca="1" si="296"/>
        <v>0</v>
      </c>
      <c r="CI155" s="90">
        <f t="shared" ca="1" si="296"/>
        <v>0</v>
      </c>
      <c r="CJ155" s="90">
        <f t="shared" ca="1" si="296"/>
        <v>0</v>
      </c>
      <c r="CK155" s="90">
        <f t="shared" ca="1" si="296"/>
        <v>0</v>
      </c>
      <c r="CL155" s="90">
        <f t="shared" ca="1" si="296"/>
        <v>0</v>
      </c>
      <c r="CM155" s="90">
        <f t="shared" ca="1" si="296"/>
        <v>0</v>
      </c>
      <c r="CN155" s="90">
        <f t="shared" ca="1" si="296"/>
        <v>0</v>
      </c>
      <c r="CO155" s="90">
        <f t="shared" ca="1" si="296"/>
        <v>0</v>
      </c>
      <c r="CP155" s="90">
        <f t="shared" ca="1" si="296"/>
        <v>0</v>
      </c>
      <c r="CQ155" s="90">
        <f t="shared" ca="1" si="296"/>
        <v>0</v>
      </c>
      <c r="CR155" s="90">
        <f t="shared" ca="1" si="296"/>
        <v>0</v>
      </c>
      <c r="CS155" s="90">
        <f t="shared" ca="1" si="296"/>
        <v>0</v>
      </c>
      <c r="CT155" s="90">
        <f t="shared" ca="1" si="296"/>
        <v>0</v>
      </c>
      <c r="CU155" s="90">
        <f t="shared" ca="1" si="296"/>
        <v>0</v>
      </c>
      <c r="CV155" s="90">
        <f t="shared" ca="1" si="296"/>
        <v>0</v>
      </c>
      <c r="CW155" s="90">
        <f t="shared" ca="1" si="296"/>
        <v>0</v>
      </c>
      <c r="CX155" s="90">
        <f t="shared" ca="1" si="296"/>
        <v>0</v>
      </c>
      <c r="CY155" s="90">
        <f t="shared" ca="1" si="296"/>
        <v>0</v>
      </c>
      <c r="CZ155" s="90">
        <f t="shared" ca="1" si="296"/>
        <v>0</v>
      </c>
      <c r="DA155" s="90">
        <f t="shared" ca="1" si="296"/>
        <v>0</v>
      </c>
      <c r="DB155" s="90">
        <f t="shared" ca="1" si="296"/>
        <v>0</v>
      </c>
      <c r="DC155" s="90">
        <f t="shared" ca="1" si="296"/>
        <v>0</v>
      </c>
      <c r="DD155" s="90">
        <f t="shared" ca="1" si="296"/>
        <v>0</v>
      </c>
      <c r="DE155" s="90">
        <f t="shared" ca="1" si="296"/>
        <v>0</v>
      </c>
      <c r="DF155" s="90">
        <f t="shared" ca="1" si="296"/>
        <v>0</v>
      </c>
      <c r="DG155" s="90">
        <f t="shared" ca="1" si="296"/>
        <v>0</v>
      </c>
      <c r="DH155" s="90">
        <f t="shared" ca="1" si="296"/>
        <v>0</v>
      </c>
      <c r="DI155" s="90">
        <f t="shared" ca="1" si="296"/>
        <v>0</v>
      </c>
      <c r="DJ155" s="90">
        <f t="shared" ca="1" si="296"/>
        <v>0</v>
      </c>
      <c r="DK155" s="90">
        <f t="shared" ca="1" si="296"/>
        <v>0</v>
      </c>
      <c r="DL155" s="90">
        <f t="shared" ca="1" si="296"/>
        <v>0</v>
      </c>
      <c r="DM155" s="90">
        <f t="shared" ca="1" si="296"/>
        <v>0</v>
      </c>
      <c r="DN155" s="90">
        <f t="shared" ca="1" si="296"/>
        <v>0</v>
      </c>
      <c r="DO155" s="90">
        <f t="shared" ca="1" si="296"/>
        <v>0</v>
      </c>
      <c r="DP155" s="90">
        <f t="shared" ca="1" si="296"/>
        <v>0</v>
      </c>
      <c r="DQ155" s="90">
        <f t="shared" ca="1" si="296"/>
        <v>0</v>
      </c>
      <c r="DR155" s="90">
        <f t="shared" ca="1" si="296"/>
        <v>0</v>
      </c>
      <c r="DS155" s="90">
        <f t="shared" ca="1" si="296"/>
        <v>0</v>
      </c>
      <c r="DT155" s="90">
        <f t="shared" ca="1" si="296"/>
        <v>0</v>
      </c>
      <c r="DU155" s="90">
        <f t="shared" ca="1" si="296"/>
        <v>0</v>
      </c>
      <c r="DV155" s="90">
        <f t="shared" ca="1" si="296"/>
        <v>0</v>
      </c>
      <c r="DW155" s="90">
        <f t="shared" ca="1" si="296"/>
        <v>0</v>
      </c>
      <c r="DX155" s="90">
        <f t="shared" ca="1" si="296"/>
        <v>0</v>
      </c>
      <c r="DY155" s="90">
        <f t="shared" ca="1" si="296"/>
        <v>0</v>
      </c>
      <c r="DZ155" s="90">
        <f t="shared" ca="1" si="296"/>
        <v>0</v>
      </c>
      <c r="EA155" s="90">
        <f t="shared" ca="1" si="296"/>
        <v>0</v>
      </c>
      <c r="EB155" s="90">
        <f t="shared" ca="1" si="296"/>
        <v>0</v>
      </c>
      <c r="EC155" s="90">
        <f t="shared" ca="1" si="296"/>
        <v>0</v>
      </c>
      <c r="ED155" s="90">
        <f t="shared" ca="1" si="296"/>
        <v>0</v>
      </c>
      <c r="EE155" s="90">
        <f t="shared" ca="1" si="296"/>
        <v>0</v>
      </c>
      <c r="EF155" s="90">
        <f t="shared" ca="1" si="296"/>
        <v>0</v>
      </c>
      <c r="EG155" s="90">
        <f t="shared" ca="1" si="296"/>
        <v>0</v>
      </c>
      <c r="EH155" s="90">
        <f ca="1">SUM(EH151:EH154)</f>
        <v>0</v>
      </c>
      <c r="EI155" s="90">
        <f ca="1">SUM(EI151:EI154)</f>
        <v>0</v>
      </c>
      <c r="EJ155" s="90">
        <f ca="1">SUM(EJ151:EJ154)</f>
        <v>0</v>
      </c>
      <c r="EK155" s="121"/>
      <c r="EL155" s="117">
        <f ca="1">SUM(EL151:EL154)</f>
        <v>0</v>
      </c>
      <c r="EM155" s="117">
        <f t="shared" ref="EM155:EW155" ca="1" si="297">SUM(EM151:EM154)</f>
        <v>7670861.1315651201</v>
      </c>
      <c r="EN155" s="117">
        <f t="shared" ca="1" si="297"/>
        <v>40000000</v>
      </c>
      <c r="EO155" s="117">
        <f t="shared" ca="1" si="297"/>
        <v>0</v>
      </c>
      <c r="EP155" s="117">
        <f t="shared" ca="1" si="297"/>
        <v>0</v>
      </c>
      <c r="EQ155" s="117">
        <f t="shared" ca="1" si="297"/>
        <v>0</v>
      </c>
      <c r="ER155" s="117">
        <f t="shared" ca="1" si="297"/>
        <v>0</v>
      </c>
      <c r="ES155" s="117">
        <f t="shared" ca="1" si="297"/>
        <v>0</v>
      </c>
      <c r="ET155" s="117">
        <f t="shared" ca="1" si="297"/>
        <v>0</v>
      </c>
      <c r="EU155" s="117">
        <f t="shared" ca="1" si="297"/>
        <v>0</v>
      </c>
      <c r="EV155" s="117">
        <f t="shared" ca="1" si="297"/>
        <v>0</v>
      </c>
      <c r="EW155" s="117">
        <f t="shared" ca="1" si="297"/>
        <v>0</v>
      </c>
    </row>
    <row r="156" spans="2:153" x14ac:dyDescent="0.4">
      <c r="B156" s="9" t="s">
        <v>146</v>
      </c>
      <c r="H156" s="115" t="str">
        <f t="shared" ref="H156:AM156" si="298">IFERROR(-H80/(H148+H153),"n/a")</f>
        <v>n/a</v>
      </c>
      <c r="I156" s="115" t="str">
        <f t="shared" ca="1" si="298"/>
        <v>n/a</v>
      </c>
      <c r="J156" s="115" t="str">
        <f t="shared" ca="1" si="298"/>
        <v>n/a</v>
      </c>
      <c r="K156" s="115" t="str">
        <f t="shared" ca="1" si="298"/>
        <v>n/a</v>
      </c>
      <c r="L156" s="115" t="str">
        <f t="shared" ca="1" si="298"/>
        <v>n/a</v>
      </c>
      <c r="M156" s="115" t="str">
        <f t="shared" ca="1" si="298"/>
        <v>n/a</v>
      </c>
      <c r="N156" s="115" t="str">
        <f t="shared" ca="1" si="298"/>
        <v>n/a</v>
      </c>
      <c r="O156" s="115" t="str">
        <f t="shared" ca="1" si="298"/>
        <v>n/a</v>
      </c>
      <c r="P156" s="115" t="str">
        <f t="shared" ca="1" si="298"/>
        <v>n/a</v>
      </c>
      <c r="Q156" s="115" t="str">
        <f t="shared" ca="1" si="298"/>
        <v>n/a</v>
      </c>
      <c r="R156" s="115" t="str">
        <f t="shared" ca="1" si="298"/>
        <v>n/a</v>
      </c>
      <c r="S156" s="115">
        <f t="shared" ca="1" si="298"/>
        <v>0</v>
      </c>
      <c r="T156" s="115">
        <f t="shared" ca="1" si="298"/>
        <v>0</v>
      </c>
      <c r="U156" s="115">
        <f t="shared" ca="1" si="298"/>
        <v>0</v>
      </c>
      <c r="V156" s="115">
        <f t="shared" ca="1" si="298"/>
        <v>0</v>
      </c>
      <c r="W156" s="115">
        <f t="shared" ca="1" si="298"/>
        <v>0</v>
      </c>
      <c r="X156" s="115">
        <f t="shared" ca="1" si="298"/>
        <v>0</v>
      </c>
      <c r="Y156" s="115">
        <f t="shared" ca="1" si="298"/>
        <v>-0.33445152432394609</v>
      </c>
      <c r="Z156" s="115">
        <f t="shared" ca="1" si="298"/>
        <v>6.3747045663467894E-2</v>
      </c>
      <c r="AA156" s="115">
        <f t="shared" ca="1" si="298"/>
        <v>0.36472625260694036</v>
      </c>
      <c r="AB156" s="115">
        <f t="shared" ca="1" si="298"/>
        <v>0.60426382129768597</v>
      </c>
      <c r="AC156" s="115">
        <f t="shared" ca="1" si="298"/>
        <v>0.82434398318538915</v>
      </c>
      <c r="AD156" s="115">
        <f t="shared" ca="1" si="298"/>
        <v>0.95689670525887094</v>
      </c>
      <c r="AE156" s="115">
        <f t="shared" ca="1" si="298"/>
        <v>1.1262043023456103</v>
      </c>
      <c r="AF156" s="115">
        <f t="shared" ca="1" si="298"/>
        <v>1.3013142497420613</v>
      </c>
      <c r="AG156" s="115">
        <f t="shared" ca="1" si="298"/>
        <v>1.5588484207090243</v>
      </c>
      <c r="AH156" s="115">
        <f t="shared" ca="1" si="298"/>
        <v>1.9681974634697772</v>
      </c>
      <c r="AI156" s="115">
        <f t="shared" ca="1" si="298"/>
        <v>1.7803563718118678</v>
      </c>
      <c r="AJ156" s="115">
        <f t="shared" ca="1" si="298"/>
        <v>1.8424521601203439</v>
      </c>
      <c r="AK156" s="115">
        <f t="shared" ca="1" si="298"/>
        <v>1.7862867234989233</v>
      </c>
      <c r="AL156" s="115">
        <f t="shared" ca="1" si="298"/>
        <v>1.8490772384731604</v>
      </c>
      <c r="AM156" s="115">
        <f t="shared" ca="1" si="298"/>
        <v>1.7926698899885549</v>
      </c>
      <c r="AN156" s="115">
        <f t="shared" ref="AN156:BS156" ca="1" si="299">IFERROR(-AN80/(AN148+AN153),"n/a")</f>
        <v>2.0065647119154493</v>
      </c>
      <c r="AO156" s="115">
        <f t="shared" ca="1" si="299"/>
        <v>2.0775040851047017</v>
      </c>
      <c r="AP156" s="115">
        <f t="shared" ca="1" si="299"/>
        <v>2.0143087192972331</v>
      </c>
      <c r="AQ156" s="115">
        <f t="shared" ca="1" si="299"/>
        <v>2.0859278148976879</v>
      </c>
      <c r="AR156" s="115">
        <f t="shared" ca="1" si="299"/>
        <v>2.0227118390955292</v>
      </c>
      <c r="AS156" s="115" t="str">
        <f t="shared" ca="1" si="299"/>
        <v>n/a</v>
      </c>
      <c r="AT156" s="115" t="str">
        <f t="shared" ca="1" si="299"/>
        <v>n/a</v>
      </c>
      <c r="AU156" s="115" t="str">
        <f t="shared" ca="1" si="299"/>
        <v>n/a</v>
      </c>
      <c r="AV156" s="115" t="str">
        <f t="shared" ca="1" si="299"/>
        <v>n/a</v>
      </c>
      <c r="AW156" s="115" t="str">
        <f t="shared" ca="1" si="299"/>
        <v>n/a</v>
      </c>
      <c r="AX156" s="115" t="str">
        <f t="shared" ca="1" si="299"/>
        <v>n/a</v>
      </c>
      <c r="AY156" s="115" t="str">
        <f t="shared" ca="1" si="299"/>
        <v>n/a</v>
      </c>
      <c r="AZ156" s="115" t="str">
        <f t="shared" ca="1" si="299"/>
        <v>n/a</v>
      </c>
      <c r="BA156" s="115" t="str">
        <f t="shared" ca="1" si="299"/>
        <v>n/a</v>
      </c>
      <c r="BB156" s="115" t="str">
        <f t="shared" ca="1" si="299"/>
        <v>n/a</v>
      </c>
      <c r="BC156" s="115" t="str">
        <f t="shared" ca="1" si="299"/>
        <v>n/a</v>
      </c>
      <c r="BD156" s="115" t="str">
        <f t="shared" ca="1" si="299"/>
        <v>n/a</v>
      </c>
      <c r="BE156" s="115" t="str">
        <f t="shared" ca="1" si="299"/>
        <v>n/a</v>
      </c>
      <c r="BF156" s="115" t="str">
        <f t="shared" ca="1" si="299"/>
        <v>n/a</v>
      </c>
      <c r="BG156" s="115" t="str">
        <f t="shared" ca="1" si="299"/>
        <v>n/a</v>
      </c>
      <c r="BH156" s="115" t="str">
        <f t="shared" ca="1" si="299"/>
        <v>n/a</v>
      </c>
      <c r="BI156" s="115" t="str">
        <f t="shared" ca="1" si="299"/>
        <v>n/a</v>
      </c>
      <c r="BJ156" s="115" t="str">
        <f t="shared" ca="1" si="299"/>
        <v>n/a</v>
      </c>
      <c r="BK156" s="115" t="str">
        <f t="shared" ca="1" si="299"/>
        <v>n/a</v>
      </c>
      <c r="BL156" s="115" t="str">
        <f t="shared" ca="1" si="299"/>
        <v>n/a</v>
      </c>
      <c r="BM156" s="115" t="str">
        <f t="shared" ca="1" si="299"/>
        <v>n/a</v>
      </c>
      <c r="BN156" s="115" t="str">
        <f t="shared" ca="1" si="299"/>
        <v>n/a</v>
      </c>
      <c r="BO156" s="115" t="str">
        <f t="shared" ca="1" si="299"/>
        <v>n/a</v>
      </c>
      <c r="BP156" s="115" t="str">
        <f t="shared" ca="1" si="299"/>
        <v>n/a</v>
      </c>
      <c r="BQ156" s="115" t="str">
        <f t="shared" ca="1" si="299"/>
        <v>n/a</v>
      </c>
      <c r="BR156" s="115" t="str">
        <f t="shared" ca="1" si="299"/>
        <v>n/a</v>
      </c>
      <c r="BS156" s="115" t="str">
        <f t="shared" ca="1" si="299"/>
        <v>n/a</v>
      </c>
      <c r="BT156" s="115" t="str">
        <f t="shared" ref="BT156:CY156" ca="1" si="300">IFERROR(-BT80/(BT148+BT153),"n/a")</f>
        <v>n/a</v>
      </c>
      <c r="BU156" s="115" t="str">
        <f t="shared" ca="1" si="300"/>
        <v>n/a</v>
      </c>
      <c r="BV156" s="115" t="str">
        <f t="shared" ca="1" si="300"/>
        <v>n/a</v>
      </c>
      <c r="BW156" s="115" t="str">
        <f t="shared" ca="1" si="300"/>
        <v>n/a</v>
      </c>
      <c r="BX156" s="115" t="str">
        <f t="shared" ca="1" si="300"/>
        <v>n/a</v>
      </c>
      <c r="BY156" s="115" t="str">
        <f t="shared" ca="1" si="300"/>
        <v>n/a</v>
      </c>
      <c r="BZ156" s="115" t="str">
        <f t="shared" ca="1" si="300"/>
        <v>n/a</v>
      </c>
      <c r="CA156" s="115" t="str">
        <f t="shared" ca="1" si="300"/>
        <v>n/a</v>
      </c>
      <c r="CB156" s="115" t="str">
        <f t="shared" ca="1" si="300"/>
        <v>n/a</v>
      </c>
      <c r="CC156" s="115" t="str">
        <f t="shared" ca="1" si="300"/>
        <v>n/a</v>
      </c>
      <c r="CD156" s="115" t="str">
        <f t="shared" ca="1" si="300"/>
        <v>n/a</v>
      </c>
      <c r="CE156" s="115" t="str">
        <f t="shared" ca="1" si="300"/>
        <v>n/a</v>
      </c>
      <c r="CF156" s="115" t="str">
        <f t="shared" ca="1" si="300"/>
        <v>n/a</v>
      </c>
      <c r="CG156" s="115" t="str">
        <f t="shared" ca="1" si="300"/>
        <v>n/a</v>
      </c>
      <c r="CH156" s="115" t="str">
        <f t="shared" ca="1" si="300"/>
        <v>n/a</v>
      </c>
      <c r="CI156" s="115" t="str">
        <f t="shared" ca="1" si="300"/>
        <v>n/a</v>
      </c>
      <c r="CJ156" s="115" t="str">
        <f t="shared" ca="1" si="300"/>
        <v>n/a</v>
      </c>
      <c r="CK156" s="115" t="str">
        <f t="shared" ca="1" si="300"/>
        <v>n/a</v>
      </c>
      <c r="CL156" s="115" t="str">
        <f t="shared" ca="1" si="300"/>
        <v>n/a</v>
      </c>
      <c r="CM156" s="115" t="str">
        <f t="shared" ca="1" si="300"/>
        <v>n/a</v>
      </c>
      <c r="CN156" s="115" t="str">
        <f t="shared" ca="1" si="300"/>
        <v>n/a</v>
      </c>
      <c r="CO156" s="115" t="str">
        <f t="shared" ca="1" si="300"/>
        <v>n/a</v>
      </c>
      <c r="CP156" s="115" t="str">
        <f t="shared" ca="1" si="300"/>
        <v>n/a</v>
      </c>
      <c r="CQ156" s="115" t="str">
        <f t="shared" ca="1" si="300"/>
        <v>n/a</v>
      </c>
      <c r="CR156" s="115" t="str">
        <f t="shared" ca="1" si="300"/>
        <v>n/a</v>
      </c>
      <c r="CS156" s="115" t="str">
        <f t="shared" ca="1" si="300"/>
        <v>n/a</v>
      </c>
      <c r="CT156" s="115" t="str">
        <f t="shared" ca="1" si="300"/>
        <v>n/a</v>
      </c>
      <c r="CU156" s="115" t="str">
        <f t="shared" ca="1" si="300"/>
        <v>n/a</v>
      </c>
      <c r="CV156" s="115" t="str">
        <f t="shared" ca="1" si="300"/>
        <v>n/a</v>
      </c>
      <c r="CW156" s="115" t="str">
        <f t="shared" ca="1" si="300"/>
        <v>n/a</v>
      </c>
      <c r="CX156" s="115" t="str">
        <f t="shared" ca="1" si="300"/>
        <v>n/a</v>
      </c>
      <c r="CY156" s="115" t="str">
        <f t="shared" ca="1" si="300"/>
        <v>n/a</v>
      </c>
      <c r="CZ156" s="115" t="str">
        <f t="shared" ref="CZ156:EJ156" ca="1" si="301">IFERROR(-CZ80/(CZ148+CZ153),"n/a")</f>
        <v>n/a</v>
      </c>
      <c r="DA156" s="115" t="str">
        <f t="shared" ca="1" si="301"/>
        <v>n/a</v>
      </c>
      <c r="DB156" s="115" t="str">
        <f t="shared" ca="1" si="301"/>
        <v>n/a</v>
      </c>
      <c r="DC156" s="115" t="str">
        <f t="shared" ca="1" si="301"/>
        <v>n/a</v>
      </c>
      <c r="DD156" s="115" t="str">
        <f t="shared" ca="1" si="301"/>
        <v>n/a</v>
      </c>
      <c r="DE156" s="115" t="str">
        <f t="shared" ca="1" si="301"/>
        <v>n/a</v>
      </c>
      <c r="DF156" s="115" t="str">
        <f t="shared" ca="1" si="301"/>
        <v>n/a</v>
      </c>
      <c r="DG156" s="115" t="str">
        <f t="shared" ca="1" si="301"/>
        <v>n/a</v>
      </c>
      <c r="DH156" s="115" t="str">
        <f t="shared" ca="1" si="301"/>
        <v>n/a</v>
      </c>
      <c r="DI156" s="115" t="str">
        <f t="shared" ca="1" si="301"/>
        <v>n/a</v>
      </c>
      <c r="DJ156" s="115" t="str">
        <f t="shared" ca="1" si="301"/>
        <v>n/a</v>
      </c>
      <c r="DK156" s="115" t="str">
        <f t="shared" ca="1" si="301"/>
        <v>n/a</v>
      </c>
      <c r="DL156" s="115" t="str">
        <f t="shared" ca="1" si="301"/>
        <v>n/a</v>
      </c>
      <c r="DM156" s="115" t="str">
        <f t="shared" ca="1" si="301"/>
        <v>n/a</v>
      </c>
      <c r="DN156" s="115" t="str">
        <f t="shared" ca="1" si="301"/>
        <v>n/a</v>
      </c>
      <c r="DO156" s="115" t="str">
        <f t="shared" ca="1" si="301"/>
        <v>n/a</v>
      </c>
      <c r="DP156" s="115" t="str">
        <f t="shared" ca="1" si="301"/>
        <v>n/a</v>
      </c>
      <c r="DQ156" s="115" t="str">
        <f t="shared" ca="1" si="301"/>
        <v>n/a</v>
      </c>
      <c r="DR156" s="115" t="str">
        <f t="shared" ca="1" si="301"/>
        <v>n/a</v>
      </c>
      <c r="DS156" s="115" t="str">
        <f t="shared" ca="1" si="301"/>
        <v>n/a</v>
      </c>
      <c r="DT156" s="115" t="str">
        <f t="shared" ca="1" si="301"/>
        <v>n/a</v>
      </c>
      <c r="DU156" s="115" t="str">
        <f t="shared" ca="1" si="301"/>
        <v>n/a</v>
      </c>
      <c r="DV156" s="115" t="str">
        <f t="shared" ca="1" si="301"/>
        <v>n/a</v>
      </c>
      <c r="DW156" s="115" t="str">
        <f t="shared" ca="1" si="301"/>
        <v>n/a</v>
      </c>
      <c r="DX156" s="115" t="str">
        <f t="shared" ca="1" si="301"/>
        <v>n/a</v>
      </c>
      <c r="DY156" s="115" t="str">
        <f t="shared" ca="1" si="301"/>
        <v>n/a</v>
      </c>
      <c r="DZ156" s="115" t="str">
        <f t="shared" ca="1" si="301"/>
        <v>n/a</v>
      </c>
      <c r="EA156" s="115" t="str">
        <f t="shared" ca="1" si="301"/>
        <v>n/a</v>
      </c>
      <c r="EB156" s="115" t="str">
        <f t="shared" ca="1" si="301"/>
        <v>n/a</v>
      </c>
      <c r="EC156" s="115" t="str">
        <f t="shared" ca="1" si="301"/>
        <v>n/a</v>
      </c>
      <c r="ED156" s="115" t="str">
        <f t="shared" ca="1" si="301"/>
        <v>n/a</v>
      </c>
      <c r="EE156" s="115" t="str">
        <f t="shared" ca="1" si="301"/>
        <v>n/a</v>
      </c>
      <c r="EF156" s="115" t="str">
        <f t="shared" ca="1" si="301"/>
        <v>n/a</v>
      </c>
      <c r="EG156" s="115" t="str">
        <f t="shared" ca="1" si="301"/>
        <v>n/a</v>
      </c>
      <c r="EH156" s="115" t="str">
        <f t="shared" ca="1" si="301"/>
        <v>n/a</v>
      </c>
      <c r="EI156" s="115" t="str">
        <f t="shared" ca="1" si="301"/>
        <v>n/a</v>
      </c>
      <c r="EJ156" s="115" t="str">
        <f t="shared" ca="1" si="301"/>
        <v>n/a</v>
      </c>
      <c r="EL156" s="115" t="str">
        <f t="shared" ref="EL156:EW156" si="302">IFERROR(-EL80/(EL148+EL153),"n/a")</f>
        <v>n/a</v>
      </c>
      <c r="EM156" s="115">
        <f t="shared" ca="1" si="302"/>
        <v>0</v>
      </c>
      <c r="EN156" s="115">
        <f t="shared" ca="1" si="302"/>
        <v>0.60605374876029983</v>
      </c>
      <c r="EO156" s="115">
        <f t="shared" ca="1" si="302"/>
        <v>1.8977326981561804</v>
      </c>
      <c r="EP156" s="115" t="str">
        <f t="shared" ca="1" si="302"/>
        <v>n/a</v>
      </c>
      <c r="EQ156" s="115" t="str">
        <f t="shared" ca="1" si="302"/>
        <v>n/a</v>
      </c>
      <c r="ER156" s="115" t="str">
        <f t="shared" ca="1" si="302"/>
        <v>n/a</v>
      </c>
      <c r="ES156" s="115" t="str">
        <f t="shared" ca="1" si="302"/>
        <v>n/a</v>
      </c>
      <c r="ET156" s="115" t="str">
        <f t="shared" ca="1" si="302"/>
        <v>n/a</v>
      </c>
      <c r="EU156" s="115" t="str">
        <f t="shared" ca="1" si="302"/>
        <v>n/a</v>
      </c>
      <c r="EV156" s="115" t="str">
        <f t="shared" ca="1" si="302"/>
        <v>n/a</v>
      </c>
      <c r="EW156" s="115" t="str">
        <f t="shared" ca="1" si="302"/>
        <v>n/a</v>
      </c>
    </row>
    <row r="157" spans="2:153" x14ac:dyDescent="0.4">
      <c r="B157" s="9" t="s">
        <v>147</v>
      </c>
      <c r="H157" s="116" t="str">
        <f t="shared" ref="H157:AM157" ca="1" si="303">IFERROR(H80*12/H155,"n/a")</f>
        <v>n/a</v>
      </c>
      <c r="I157" s="116" t="str">
        <f t="shared" ca="1" si="303"/>
        <v>n/a</v>
      </c>
      <c r="J157" s="116" t="str">
        <f t="shared" ca="1" si="303"/>
        <v>n/a</v>
      </c>
      <c r="K157" s="116" t="str">
        <f t="shared" ca="1" si="303"/>
        <v>n/a</v>
      </c>
      <c r="L157" s="116" t="str">
        <f t="shared" ca="1" si="303"/>
        <v>n/a</v>
      </c>
      <c r="M157" s="116" t="str">
        <f t="shared" ca="1" si="303"/>
        <v>n/a</v>
      </c>
      <c r="N157" s="116" t="str">
        <f t="shared" ca="1" si="303"/>
        <v>n/a</v>
      </c>
      <c r="O157" s="116" t="str">
        <f t="shared" ca="1" si="303"/>
        <v>n/a</v>
      </c>
      <c r="P157" s="116" t="str">
        <f t="shared" ca="1" si="303"/>
        <v>n/a</v>
      </c>
      <c r="Q157" s="116" t="str">
        <f t="shared" ca="1" si="303"/>
        <v>n/a</v>
      </c>
      <c r="R157" s="116">
        <f t="shared" ca="1" si="303"/>
        <v>0</v>
      </c>
      <c r="S157" s="116">
        <f t="shared" ca="1" si="303"/>
        <v>0</v>
      </c>
      <c r="T157" s="116">
        <f t="shared" ca="1" si="303"/>
        <v>0</v>
      </c>
      <c r="U157" s="116">
        <f t="shared" ca="1" si="303"/>
        <v>0</v>
      </c>
      <c r="V157" s="116">
        <f t="shared" ca="1" si="303"/>
        <v>0</v>
      </c>
      <c r="W157" s="116">
        <f t="shared" ca="1" si="303"/>
        <v>0</v>
      </c>
      <c r="X157" s="116">
        <f t="shared" ca="1" si="303"/>
        <v>0</v>
      </c>
      <c r="Y157" s="116">
        <f t="shared" ca="1" si="303"/>
        <v>-1.409078200613836E-2</v>
      </c>
      <c r="Z157" s="116">
        <f t="shared" ca="1" si="303"/>
        <v>2.6440802416849633E-3</v>
      </c>
      <c r="AA157" s="116">
        <f t="shared" ca="1" si="303"/>
        <v>1.5825209878301234E-2</v>
      </c>
      <c r="AB157" s="116">
        <f t="shared" ca="1" si="303"/>
        <v>2.6472580696161867E-2</v>
      </c>
      <c r="AC157" s="116">
        <f t="shared" ca="1" si="303"/>
        <v>3.5254787717937608E-2</v>
      </c>
      <c r="AD157" s="116">
        <f t="shared" ca="1" si="303"/>
        <v>4.261460044656764E-2</v>
      </c>
      <c r="AE157" s="116">
        <f t="shared" ca="1" si="303"/>
        <v>5.290840240161538E-2</v>
      </c>
      <c r="AF157" s="116">
        <f t="shared" ca="1" si="303"/>
        <v>6.3236398655956497E-2</v>
      </c>
      <c r="AG157" s="116">
        <f t="shared" ca="1" si="303"/>
        <v>7.5843379675352485E-2</v>
      </c>
      <c r="AH157" s="116">
        <f t="shared" ca="1" si="303"/>
        <v>8.6567701403182457E-2</v>
      </c>
      <c r="AI157" s="116">
        <f t="shared" ca="1" si="303"/>
        <v>8.6786082533314851E-2</v>
      </c>
      <c r="AJ157" s="116">
        <f t="shared" ca="1" si="303"/>
        <v>8.7005012886066921E-2</v>
      </c>
      <c r="AK157" s="116">
        <f t="shared" ca="1" si="303"/>
        <v>8.7224493839944905E-2</v>
      </c>
      <c r="AL157" s="116">
        <f t="shared" ca="1" si="303"/>
        <v>8.7444526776910364E-2</v>
      </c>
      <c r="AM157" s="116">
        <f t="shared" ca="1" si="303"/>
        <v>8.7665113082388835E-2</v>
      </c>
      <c r="AN157" s="116">
        <f t="shared" ref="AN157:BS157" ca="1" si="304">IFERROR(AN80*12/AN155,"n/a")</f>
        <v>9.816770717351174E-2</v>
      </c>
      <c r="AO157" s="116">
        <f t="shared" ca="1" si="304"/>
        <v>9.8415108018762923E-2</v>
      </c>
      <c r="AP157" s="116">
        <f t="shared" ca="1" si="304"/>
        <v>9.866313066875608E-2</v>
      </c>
      <c r="AQ157" s="116">
        <f t="shared" ca="1" si="304"/>
        <v>9.8911776683507507E-2</v>
      </c>
      <c r="AR157" s="116" t="str">
        <f t="shared" ca="1" si="304"/>
        <v>n/a</v>
      </c>
      <c r="AS157" s="116" t="str">
        <f t="shared" ca="1" si="304"/>
        <v>n/a</v>
      </c>
      <c r="AT157" s="116" t="str">
        <f t="shared" ca="1" si="304"/>
        <v>n/a</v>
      </c>
      <c r="AU157" s="116" t="str">
        <f t="shared" ca="1" si="304"/>
        <v>n/a</v>
      </c>
      <c r="AV157" s="116" t="str">
        <f t="shared" ca="1" si="304"/>
        <v>n/a</v>
      </c>
      <c r="AW157" s="116" t="str">
        <f t="shared" ca="1" si="304"/>
        <v>n/a</v>
      </c>
      <c r="AX157" s="116" t="str">
        <f t="shared" ca="1" si="304"/>
        <v>n/a</v>
      </c>
      <c r="AY157" s="116" t="str">
        <f t="shared" ca="1" si="304"/>
        <v>n/a</v>
      </c>
      <c r="AZ157" s="116" t="str">
        <f t="shared" ca="1" si="304"/>
        <v>n/a</v>
      </c>
      <c r="BA157" s="116" t="str">
        <f t="shared" ca="1" si="304"/>
        <v>n/a</v>
      </c>
      <c r="BB157" s="116" t="str">
        <f t="shared" ca="1" si="304"/>
        <v>n/a</v>
      </c>
      <c r="BC157" s="116" t="str">
        <f t="shared" ca="1" si="304"/>
        <v>n/a</v>
      </c>
      <c r="BD157" s="116" t="str">
        <f t="shared" ca="1" si="304"/>
        <v>n/a</v>
      </c>
      <c r="BE157" s="116" t="str">
        <f t="shared" ca="1" si="304"/>
        <v>n/a</v>
      </c>
      <c r="BF157" s="116" t="str">
        <f t="shared" ca="1" si="304"/>
        <v>n/a</v>
      </c>
      <c r="BG157" s="116" t="str">
        <f t="shared" ca="1" si="304"/>
        <v>n/a</v>
      </c>
      <c r="BH157" s="116" t="str">
        <f t="shared" ca="1" si="304"/>
        <v>n/a</v>
      </c>
      <c r="BI157" s="116" t="str">
        <f t="shared" ca="1" si="304"/>
        <v>n/a</v>
      </c>
      <c r="BJ157" s="116" t="str">
        <f t="shared" ca="1" si="304"/>
        <v>n/a</v>
      </c>
      <c r="BK157" s="116" t="str">
        <f t="shared" ca="1" si="304"/>
        <v>n/a</v>
      </c>
      <c r="BL157" s="116" t="str">
        <f t="shared" ca="1" si="304"/>
        <v>n/a</v>
      </c>
      <c r="BM157" s="116" t="str">
        <f t="shared" ca="1" si="304"/>
        <v>n/a</v>
      </c>
      <c r="BN157" s="116" t="str">
        <f t="shared" ca="1" si="304"/>
        <v>n/a</v>
      </c>
      <c r="BO157" s="116" t="str">
        <f t="shared" ca="1" si="304"/>
        <v>n/a</v>
      </c>
      <c r="BP157" s="116" t="str">
        <f t="shared" ca="1" si="304"/>
        <v>n/a</v>
      </c>
      <c r="BQ157" s="116" t="str">
        <f t="shared" ca="1" si="304"/>
        <v>n/a</v>
      </c>
      <c r="BR157" s="116" t="str">
        <f t="shared" ca="1" si="304"/>
        <v>n/a</v>
      </c>
      <c r="BS157" s="116" t="str">
        <f t="shared" ca="1" si="304"/>
        <v>n/a</v>
      </c>
      <c r="BT157" s="116" t="str">
        <f t="shared" ref="BT157:CY157" ca="1" si="305">IFERROR(BT80*12/BT155,"n/a")</f>
        <v>n/a</v>
      </c>
      <c r="BU157" s="116" t="str">
        <f t="shared" ca="1" si="305"/>
        <v>n/a</v>
      </c>
      <c r="BV157" s="116" t="str">
        <f t="shared" ca="1" si="305"/>
        <v>n/a</v>
      </c>
      <c r="BW157" s="116" t="str">
        <f t="shared" ca="1" si="305"/>
        <v>n/a</v>
      </c>
      <c r="BX157" s="116" t="str">
        <f t="shared" ca="1" si="305"/>
        <v>n/a</v>
      </c>
      <c r="BY157" s="116" t="str">
        <f t="shared" ca="1" si="305"/>
        <v>n/a</v>
      </c>
      <c r="BZ157" s="116" t="str">
        <f t="shared" ca="1" si="305"/>
        <v>n/a</v>
      </c>
      <c r="CA157" s="116" t="str">
        <f t="shared" ca="1" si="305"/>
        <v>n/a</v>
      </c>
      <c r="CB157" s="116" t="str">
        <f t="shared" ca="1" si="305"/>
        <v>n/a</v>
      </c>
      <c r="CC157" s="116" t="str">
        <f t="shared" ca="1" si="305"/>
        <v>n/a</v>
      </c>
      <c r="CD157" s="116" t="str">
        <f t="shared" ca="1" si="305"/>
        <v>n/a</v>
      </c>
      <c r="CE157" s="116" t="str">
        <f t="shared" ca="1" si="305"/>
        <v>n/a</v>
      </c>
      <c r="CF157" s="116" t="str">
        <f t="shared" ca="1" si="305"/>
        <v>n/a</v>
      </c>
      <c r="CG157" s="116" t="str">
        <f t="shared" ca="1" si="305"/>
        <v>n/a</v>
      </c>
      <c r="CH157" s="116" t="str">
        <f t="shared" ca="1" si="305"/>
        <v>n/a</v>
      </c>
      <c r="CI157" s="116" t="str">
        <f t="shared" ca="1" si="305"/>
        <v>n/a</v>
      </c>
      <c r="CJ157" s="116" t="str">
        <f t="shared" ca="1" si="305"/>
        <v>n/a</v>
      </c>
      <c r="CK157" s="116" t="str">
        <f t="shared" ca="1" si="305"/>
        <v>n/a</v>
      </c>
      <c r="CL157" s="116" t="str">
        <f t="shared" ca="1" si="305"/>
        <v>n/a</v>
      </c>
      <c r="CM157" s="116" t="str">
        <f t="shared" ca="1" si="305"/>
        <v>n/a</v>
      </c>
      <c r="CN157" s="116" t="str">
        <f t="shared" ca="1" si="305"/>
        <v>n/a</v>
      </c>
      <c r="CO157" s="116" t="str">
        <f t="shared" ca="1" si="305"/>
        <v>n/a</v>
      </c>
      <c r="CP157" s="116" t="str">
        <f t="shared" ca="1" si="305"/>
        <v>n/a</v>
      </c>
      <c r="CQ157" s="116" t="str">
        <f t="shared" ca="1" si="305"/>
        <v>n/a</v>
      </c>
      <c r="CR157" s="116" t="str">
        <f t="shared" ca="1" si="305"/>
        <v>n/a</v>
      </c>
      <c r="CS157" s="116" t="str">
        <f t="shared" ca="1" si="305"/>
        <v>n/a</v>
      </c>
      <c r="CT157" s="116" t="str">
        <f t="shared" ca="1" si="305"/>
        <v>n/a</v>
      </c>
      <c r="CU157" s="116" t="str">
        <f t="shared" ca="1" si="305"/>
        <v>n/a</v>
      </c>
      <c r="CV157" s="116" t="str">
        <f t="shared" ca="1" si="305"/>
        <v>n/a</v>
      </c>
      <c r="CW157" s="116" t="str">
        <f t="shared" ca="1" si="305"/>
        <v>n/a</v>
      </c>
      <c r="CX157" s="116" t="str">
        <f t="shared" ca="1" si="305"/>
        <v>n/a</v>
      </c>
      <c r="CY157" s="116" t="str">
        <f t="shared" ca="1" si="305"/>
        <v>n/a</v>
      </c>
      <c r="CZ157" s="116" t="str">
        <f t="shared" ref="CZ157:EJ157" ca="1" si="306">IFERROR(CZ80*12/CZ155,"n/a")</f>
        <v>n/a</v>
      </c>
      <c r="DA157" s="116" t="str">
        <f t="shared" ca="1" si="306"/>
        <v>n/a</v>
      </c>
      <c r="DB157" s="116" t="str">
        <f t="shared" ca="1" si="306"/>
        <v>n/a</v>
      </c>
      <c r="DC157" s="116" t="str">
        <f t="shared" ca="1" si="306"/>
        <v>n/a</v>
      </c>
      <c r="DD157" s="116" t="str">
        <f t="shared" ca="1" si="306"/>
        <v>n/a</v>
      </c>
      <c r="DE157" s="116" t="str">
        <f t="shared" ca="1" si="306"/>
        <v>n/a</v>
      </c>
      <c r="DF157" s="116" t="str">
        <f t="shared" ca="1" si="306"/>
        <v>n/a</v>
      </c>
      <c r="DG157" s="116" t="str">
        <f t="shared" ca="1" si="306"/>
        <v>n/a</v>
      </c>
      <c r="DH157" s="116" t="str">
        <f t="shared" ca="1" si="306"/>
        <v>n/a</v>
      </c>
      <c r="DI157" s="116" t="str">
        <f t="shared" ca="1" si="306"/>
        <v>n/a</v>
      </c>
      <c r="DJ157" s="116" t="str">
        <f t="shared" ca="1" si="306"/>
        <v>n/a</v>
      </c>
      <c r="DK157" s="116" t="str">
        <f t="shared" ca="1" si="306"/>
        <v>n/a</v>
      </c>
      <c r="DL157" s="116" t="str">
        <f t="shared" ca="1" si="306"/>
        <v>n/a</v>
      </c>
      <c r="DM157" s="116" t="str">
        <f t="shared" ca="1" si="306"/>
        <v>n/a</v>
      </c>
      <c r="DN157" s="116" t="str">
        <f t="shared" ca="1" si="306"/>
        <v>n/a</v>
      </c>
      <c r="DO157" s="116" t="str">
        <f t="shared" ca="1" si="306"/>
        <v>n/a</v>
      </c>
      <c r="DP157" s="116" t="str">
        <f t="shared" ca="1" si="306"/>
        <v>n/a</v>
      </c>
      <c r="DQ157" s="116" t="str">
        <f t="shared" ca="1" si="306"/>
        <v>n/a</v>
      </c>
      <c r="DR157" s="116" t="str">
        <f t="shared" ca="1" si="306"/>
        <v>n/a</v>
      </c>
      <c r="DS157" s="116" t="str">
        <f t="shared" ca="1" si="306"/>
        <v>n/a</v>
      </c>
      <c r="DT157" s="116" t="str">
        <f t="shared" ca="1" si="306"/>
        <v>n/a</v>
      </c>
      <c r="DU157" s="116" t="str">
        <f t="shared" ca="1" si="306"/>
        <v>n/a</v>
      </c>
      <c r="DV157" s="116" t="str">
        <f t="shared" ca="1" si="306"/>
        <v>n/a</v>
      </c>
      <c r="DW157" s="116" t="str">
        <f t="shared" ca="1" si="306"/>
        <v>n/a</v>
      </c>
      <c r="DX157" s="116" t="str">
        <f t="shared" ca="1" si="306"/>
        <v>n/a</v>
      </c>
      <c r="DY157" s="116" t="str">
        <f t="shared" ca="1" si="306"/>
        <v>n/a</v>
      </c>
      <c r="DZ157" s="116" t="str">
        <f t="shared" ca="1" si="306"/>
        <v>n/a</v>
      </c>
      <c r="EA157" s="116" t="str">
        <f t="shared" ca="1" si="306"/>
        <v>n/a</v>
      </c>
      <c r="EB157" s="116" t="str">
        <f t="shared" ca="1" si="306"/>
        <v>n/a</v>
      </c>
      <c r="EC157" s="116" t="str">
        <f t="shared" ca="1" si="306"/>
        <v>n/a</v>
      </c>
      <c r="ED157" s="116" t="str">
        <f t="shared" ca="1" si="306"/>
        <v>n/a</v>
      </c>
      <c r="EE157" s="116" t="str">
        <f t="shared" ca="1" si="306"/>
        <v>n/a</v>
      </c>
      <c r="EF157" s="116" t="str">
        <f t="shared" ca="1" si="306"/>
        <v>n/a</v>
      </c>
      <c r="EG157" s="116" t="str">
        <f t="shared" ca="1" si="306"/>
        <v>n/a</v>
      </c>
      <c r="EH157" s="116" t="str">
        <f t="shared" ca="1" si="306"/>
        <v>n/a</v>
      </c>
      <c r="EI157" s="116" t="str">
        <f t="shared" ca="1" si="306"/>
        <v>n/a</v>
      </c>
      <c r="EJ157" s="116" t="str">
        <f t="shared" ca="1" si="306"/>
        <v>n/a</v>
      </c>
      <c r="EL157" s="116" t="str">
        <f t="shared" ref="EL157:EW157" ca="1" si="307">IFERROR(EL80/EL155,"n/a")</f>
        <v>n/a</v>
      </c>
      <c r="EM157" s="116">
        <f t="shared" ca="1" si="307"/>
        <v>0</v>
      </c>
      <c r="EN157" s="116">
        <f t="shared" ca="1" si="307"/>
        <v>1.8218018466766378E-2</v>
      </c>
      <c r="EO157" s="116" t="str">
        <f t="shared" ca="1" si="307"/>
        <v>n/a</v>
      </c>
      <c r="EP157" s="116" t="str">
        <f t="shared" ca="1" si="307"/>
        <v>n/a</v>
      </c>
      <c r="EQ157" s="116" t="str">
        <f t="shared" ca="1" si="307"/>
        <v>n/a</v>
      </c>
      <c r="ER157" s="116" t="str">
        <f t="shared" ca="1" si="307"/>
        <v>n/a</v>
      </c>
      <c r="ES157" s="116" t="str">
        <f t="shared" ca="1" si="307"/>
        <v>n/a</v>
      </c>
      <c r="ET157" s="116" t="str">
        <f t="shared" ca="1" si="307"/>
        <v>n/a</v>
      </c>
      <c r="EU157" s="116" t="str">
        <f t="shared" ca="1" si="307"/>
        <v>n/a</v>
      </c>
      <c r="EV157" s="116" t="str">
        <f t="shared" ca="1" si="307"/>
        <v>n/a</v>
      </c>
      <c r="EW157" s="116" t="str">
        <f t="shared" ca="1" si="307"/>
        <v>n/a</v>
      </c>
    </row>
    <row r="159" spans="2:153" x14ac:dyDescent="0.4">
      <c r="B159" s="230" t="s">
        <v>100</v>
      </c>
      <c r="C159" s="225"/>
      <c r="D159" s="225"/>
      <c r="E159" s="225"/>
      <c r="F159" s="231">
        <f t="shared" ref="F159:AM159" ca="1" si="308">F98+F148+F150+F152+F153+F154</f>
        <v>15915269.785236657</v>
      </c>
      <c r="G159" s="232"/>
      <c r="H159" s="226">
        <f t="shared" ca="1" si="308"/>
        <v>-6100000</v>
      </c>
      <c r="I159" s="226">
        <f t="shared" ca="1" si="308"/>
        <v>0</v>
      </c>
      <c r="J159" s="226">
        <f t="shared" ca="1" si="308"/>
        <v>0</v>
      </c>
      <c r="K159" s="226">
        <f t="shared" ca="1" si="308"/>
        <v>-360500</v>
      </c>
      <c r="L159" s="226">
        <f t="shared" ca="1" si="308"/>
        <v>-360500</v>
      </c>
      <c r="M159" s="226">
        <f t="shared" ca="1" si="308"/>
        <v>-360500</v>
      </c>
      <c r="N159" s="226">
        <f t="shared" ca="1" si="308"/>
        <v>-360500</v>
      </c>
      <c r="O159" s="226">
        <f t="shared" ca="1" si="308"/>
        <v>-3141750</v>
      </c>
      <c r="P159" s="226">
        <f t="shared" ca="1" si="308"/>
        <v>-3141750</v>
      </c>
      <c r="Q159" s="226">
        <f t="shared" ca="1" si="308"/>
        <v>-3141750</v>
      </c>
      <c r="R159" s="226">
        <f t="shared" ca="1" si="308"/>
        <v>-1778449.999427788</v>
      </c>
      <c r="S159" s="226">
        <f t="shared" ca="1" si="308"/>
        <v>0</v>
      </c>
      <c r="T159" s="226">
        <f t="shared" ca="1" si="308"/>
        <v>0</v>
      </c>
      <c r="U159" s="226">
        <f t="shared" ca="1" si="308"/>
        <v>0</v>
      </c>
      <c r="V159" s="226">
        <f t="shared" ca="1" si="308"/>
        <v>0</v>
      </c>
      <c r="W159" s="226">
        <f t="shared" ca="1" si="308"/>
        <v>0</v>
      </c>
      <c r="X159" s="226">
        <f t="shared" ca="1" si="308"/>
        <v>0</v>
      </c>
      <c r="Y159" s="226">
        <f t="shared" ca="1" si="308"/>
        <v>-3750</v>
      </c>
      <c r="Z159" s="226">
        <f t="shared" ca="1" si="308"/>
        <v>2182.1149752531201</v>
      </c>
      <c r="AA159" s="226">
        <f t="shared" ca="1" si="308"/>
        <v>36041.69780824054</v>
      </c>
      <c r="AB159" s="226">
        <f t="shared" ca="1" si="308"/>
        <v>70014.129439241253</v>
      </c>
      <c r="AC159" s="226">
        <f t="shared" ca="1" si="308"/>
        <v>104099.69197651744</v>
      </c>
      <c r="AD159" s="226">
        <f t="shared" ca="1" si="308"/>
        <v>138298.66815521801</v>
      </c>
      <c r="AE159" s="226">
        <f t="shared" ca="1" si="308"/>
        <v>16013.341338717873</v>
      </c>
      <c r="AF159" s="226">
        <f t="shared" ca="1" si="308"/>
        <v>45057.139964299422</v>
      </c>
      <c r="AG159" s="226">
        <f t="shared" ca="1" si="308"/>
        <v>86883.043362286058</v>
      </c>
      <c r="AH159" s="226">
        <f t="shared" ca="1" si="308"/>
        <v>138198.20467727483</v>
      </c>
      <c r="AI159" s="226">
        <f t="shared" ca="1" si="308"/>
        <v>123048.71955549388</v>
      </c>
      <c r="AJ159" s="226">
        <f t="shared" ca="1" si="308"/>
        <v>128858.70962022309</v>
      </c>
      <c r="AK159" s="226">
        <f t="shared" ca="1" si="308"/>
        <v>124231.43502203858</v>
      </c>
      <c r="AL159" s="226">
        <f t="shared" ca="1" si="308"/>
        <v>130095.42258970125</v>
      </c>
      <c r="AM159" s="226">
        <f t="shared" ca="1" si="308"/>
        <v>125460.43249685163</v>
      </c>
      <c r="AN159" s="226">
        <f t="shared" ref="AN159:BS159" ca="1" si="309">AN98+AN148+AN150+AN152+AN153+AN154</f>
        <v>160398.1239117058</v>
      </c>
      <c r="AO159" s="226">
        <f t="shared" ca="1" si="309"/>
        <v>166394.36006254304</v>
      </c>
      <c r="AP159" s="226">
        <f t="shared" ca="1" si="309"/>
        <v>161856.64667363136</v>
      </c>
      <c r="AQ159" s="226">
        <f t="shared" ca="1" si="309"/>
        <v>167893.92227835837</v>
      </c>
      <c r="AR159" s="226">
        <f t="shared" ca="1" si="309"/>
        <v>32739693.980756834</v>
      </c>
      <c r="AS159" s="226">
        <f t="shared" ca="1" si="309"/>
        <v>0</v>
      </c>
      <c r="AT159" s="226">
        <f t="shared" ca="1" si="309"/>
        <v>0</v>
      </c>
      <c r="AU159" s="226">
        <f t="shared" ca="1" si="309"/>
        <v>0</v>
      </c>
      <c r="AV159" s="226">
        <f t="shared" ca="1" si="309"/>
        <v>0</v>
      </c>
      <c r="AW159" s="226">
        <f t="shared" ca="1" si="309"/>
        <v>0</v>
      </c>
      <c r="AX159" s="226">
        <f t="shared" ca="1" si="309"/>
        <v>0</v>
      </c>
      <c r="AY159" s="226">
        <f t="shared" ca="1" si="309"/>
        <v>0</v>
      </c>
      <c r="AZ159" s="226">
        <f t="shared" ca="1" si="309"/>
        <v>0</v>
      </c>
      <c r="BA159" s="226">
        <f t="shared" ca="1" si="309"/>
        <v>0</v>
      </c>
      <c r="BB159" s="226">
        <f t="shared" ca="1" si="309"/>
        <v>0</v>
      </c>
      <c r="BC159" s="226">
        <f t="shared" ca="1" si="309"/>
        <v>0</v>
      </c>
      <c r="BD159" s="226">
        <f t="shared" ca="1" si="309"/>
        <v>0</v>
      </c>
      <c r="BE159" s="226">
        <f t="shared" ca="1" si="309"/>
        <v>0</v>
      </c>
      <c r="BF159" s="226">
        <f t="shared" ca="1" si="309"/>
        <v>0</v>
      </c>
      <c r="BG159" s="226">
        <f t="shared" ca="1" si="309"/>
        <v>0</v>
      </c>
      <c r="BH159" s="226">
        <f t="shared" ca="1" si="309"/>
        <v>0</v>
      </c>
      <c r="BI159" s="226">
        <f t="shared" ca="1" si="309"/>
        <v>0</v>
      </c>
      <c r="BJ159" s="226">
        <f t="shared" ca="1" si="309"/>
        <v>0</v>
      </c>
      <c r="BK159" s="226">
        <f t="shared" ca="1" si="309"/>
        <v>0</v>
      </c>
      <c r="BL159" s="226">
        <f t="shared" ca="1" si="309"/>
        <v>0</v>
      </c>
      <c r="BM159" s="226">
        <f t="shared" ca="1" si="309"/>
        <v>0</v>
      </c>
      <c r="BN159" s="226">
        <f t="shared" ca="1" si="309"/>
        <v>0</v>
      </c>
      <c r="BO159" s="226">
        <f t="shared" ca="1" si="309"/>
        <v>0</v>
      </c>
      <c r="BP159" s="226">
        <f t="shared" ca="1" si="309"/>
        <v>0</v>
      </c>
      <c r="BQ159" s="226">
        <f t="shared" ca="1" si="309"/>
        <v>0</v>
      </c>
      <c r="BR159" s="226">
        <f t="shared" ca="1" si="309"/>
        <v>0</v>
      </c>
      <c r="BS159" s="226">
        <f t="shared" ca="1" si="309"/>
        <v>0</v>
      </c>
      <c r="BT159" s="226">
        <f t="shared" ref="BT159:CY159" ca="1" si="310">BT98+BT148+BT150+BT152+BT153+BT154</f>
        <v>0</v>
      </c>
      <c r="BU159" s="226">
        <f t="shared" ca="1" si="310"/>
        <v>0</v>
      </c>
      <c r="BV159" s="226">
        <f t="shared" ca="1" si="310"/>
        <v>0</v>
      </c>
      <c r="BW159" s="226">
        <f t="shared" ca="1" si="310"/>
        <v>0</v>
      </c>
      <c r="BX159" s="226">
        <f t="shared" ca="1" si="310"/>
        <v>0</v>
      </c>
      <c r="BY159" s="226">
        <f t="shared" ca="1" si="310"/>
        <v>0</v>
      </c>
      <c r="BZ159" s="226">
        <f t="shared" ca="1" si="310"/>
        <v>0</v>
      </c>
      <c r="CA159" s="226">
        <f t="shared" ca="1" si="310"/>
        <v>0</v>
      </c>
      <c r="CB159" s="226">
        <f t="shared" ca="1" si="310"/>
        <v>0</v>
      </c>
      <c r="CC159" s="226">
        <f t="shared" ca="1" si="310"/>
        <v>0</v>
      </c>
      <c r="CD159" s="226">
        <f t="shared" ca="1" si="310"/>
        <v>0</v>
      </c>
      <c r="CE159" s="226">
        <f t="shared" ca="1" si="310"/>
        <v>0</v>
      </c>
      <c r="CF159" s="226">
        <f t="shared" ca="1" si="310"/>
        <v>0</v>
      </c>
      <c r="CG159" s="226">
        <f t="shared" ca="1" si="310"/>
        <v>0</v>
      </c>
      <c r="CH159" s="226">
        <f t="shared" ca="1" si="310"/>
        <v>0</v>
      </c>
      <c r="CI159" s="226">
        <f t="shared" ca="1" si="310"/>
        <v>0</v>
      </c>
      <c r="CJ159" s="226">
        <f t="shared" ca="1" si="310"/>
        <v>0</v>
      </c>
      <c r="CK159" s="226">
        <f t="shared" ca="1" si="310"/>
        <v>0</v>
      </c>
      <c r="CL159" s="226">
        <f t="shared" ca="1" si="310"/>
        <v>0</v>
      </c>
      <c r="CM159" s="226">
        <f t="shared" ca="1" si="310"/>
        <v>0</v>
      </c>
      <c r="CN159" s="226">
        <f t="shared" ca="1" si="310"/>
        <v>0</v>
      </c>
      <c r="CO159" s="226">
        <f t="shared" ca="1" si="310"/>
        <v>0</v>
      </c>
      <c r="CP159" s="226">
        <f t="shared" ca="1" si="310"/>
        <v>0</v>
      </c>
      <c r="CQ159" s="226">
        <f t="shared" ca="1" si="310"/>
        <v>0</v>
      </c>
      <c r="CR159" s="226">
        <f t="shared" ca="1" si="310"/>
        <v>0</v>
      </c>
      <c r="CS159" s="226">
        <f t="shared" ca="1" si="310"/>
        <v>0</v>
      </c>
      <c r="CT159" s="226">
        <f t="shared" ca="1" si="310"/>
        <v>0</v>
      </c>
      <c r="CU159" s="226">
        <f t="shared" ca="1" si="310"/>
        <v>0</v>
      </c>
      <c r="CV159" s="226">
        <f t="shared" ca="1" si="310"/>
        <v>0</v>
      </c>
      <c r="CW159" s="226">
        <f t="shared" ca="1" si="310"/>
        <v>0</v>
      </c>
      <c r="CX159" s="226">
        <f t="shared" ca="1" si="310"/>
        <v>0</v>
      </c>
      <c r="CY159" s="226">
        <f t="shared" ca="1" si="310"/>
        <v>0</v>
      </c>
      <c r="CZ159" s="226">
        <f t="shared" ref="CZ159:EW159" ca="1" si="311">CZ98+CZ148+CZ150+CZ152+CZ153+CZ154</f>
        <v>0</v>
      </c>
      <c r="DA159" s="226">
        <f t="shared" ca="1" si="311"/>
        <v>0</v>
      </c>
      <c r="DB159" s="226">
        <f t="shared" ca="1" si="311"/>
        <v>0</v>
      </c>
      <c r="DC159" s="226">
        <f t="shared" ca="1" si="311"/>
        <v>0</v>
      </c>
      <c r="DD159" s="226">
        <f t="shared" ca="1" si="311"/>
        <v>0</v>
      </c>
      <c r="DE159" s="226">
        <f t="shared" ca="1" si="311"/>
        <v>0</v>
      </c>
      <c r="DF159" s="226">
        <f t="shared" ca="1" si="311"/>
        <v>0</v>
      </c>
      <c r="DG159" s="226">
        <f t="shared" ca="1" si="311"/>
        <v>0</v>
      </c>
      <c r="DH159" s="226">
        <f t="shared" ca="1" si="311"/>
        <v>0</v>
      </c>
      <c r="DI159" s="226">
        <f t="shared" ca="1" si="311"/>
        <v>0</v>
      </c>
      <c r="DJ159" s="226">
        <f t="shared" ca="1" si="311"/>
        <v>0</v>
      </c>
      <c r="DK159" s="226">
        <f t="shared" ca="1" si="311"/>
        <v>0</v>
      </c>
      <c r="DL159" s="226">
        <f t="shared" ca="1" si="311"/>
        <v>0</v>
      </c>
      <c r="DM159" s="226">
        <f t="shared" ca="1" si="311"/>
        <v>0</v>
      </c>
      <c r="DN159" s="226">
        <f t="shared" ca="1" si="311"/>
        <v>0</v>
      </c>
      <c r="DO159" s="226">
        <f t="shared" ca="1" si="311"/>
        <v>0</v>
      </c>
      <c r="DP159" s="226">
        <f t="shared" ca="1" si="311"/>
        <v>0</v>
      </c>
      <c r="DQ159" s="226">
        <f t="shared" ca="1" si="311"/>
        <v>0</v>
      </c>
      <c r="DR159" s="226">
        <f t="shared" ca="1" si="311"/>
        <v>0</v>
      </c>
      <c r="DS159" s="226">
        <f t="shared" ca="1" si="311"/>
        <v>0</v>
      </c>
      <c r="DT159" s="226">
        <f t="shared" ca="1" si="311"/>
        <v>0</v>
      </c>
      <c r="DU159" s="226">
        <f t="shared" ca="1" si="311"/>
        <v>0</v>
      </c>
      <c r="DV159" s="226">
        <f t="shared" ca="1" si="311"/>
        <v>0</v>
      </c>
      <c r="DW159" s="226">
        <f t="shared" ca="1" si="311"/>
        <v>0</v>
      </c>
      <c r="DX159" s="226">
        <f t="shared" ca="1" si="311"/>
        <v>0</v>
      </c>
      <c r="DY159" s="226">
        <f t="shared" ca="1" si="311"/>
        <v>0</v>
      </c>
      <c r="DZ159" s="226">
        <f t="shared" ca="1" si="311"/>
        <v>0</v>
      </c>
      <c r="EA159" s="226">
        <f t="shared" ca="1" si="311"/>
        <v>0</v>
      </c>
      <c r="EB159" s="226">
        <f t="shared" ca="1" si="311"/>
        <v>0</v>
      </c>
      <c r="EC159" s="226">
        <f t="shared" ca="1" si="311"/>
        <v>0</v>
      </c>
      <c r="ED159" s="226">
        <f t="shared" ca="1" si="311"/>
        <v>0</v>
      </c>
      <c r="EE159" s="226">
        <f t="shared" ca="1" si="311"/>
        <v>0</v>
      </c>
      <c r="EF159" s="226">
        <f t="shared" ca="1" si="311"/>
        <v>0</v>
      </c>
      <c r="EG159" s="226">
        <f t="shared" ca="1" si="311"/>
        <v>0</v>
      </c>
      <c r="EH159" s="226">
        <f t="shared" ca="1" si="311"/>
        <v>0</v>
      </c>
      <c r="EI159" s="226">
        <f t="shared" ca="1" si="311"/>
        <v>0</v>
      </c>
      <c r="EJ159" s="226">
        <f t="shared" ca="1" si="311"/>
        <v>0</v>
      </c>
      <c r="EK159" s="19"/>
      <c r="EL159" s="226">
        <f t="shared" ca="1" si="311"/>
        <v>-6100000</v>
      </c>
      <c r="EM159" s="226">
        <f t="shared" ca="1" si="311"/>
        <v>-12645699.999427788</v>
      </c>
      <c r="EN159" s="226">
        <f t="shared" ca="1" si="311"/>
        <v>407956.78365748748</v>
      </c>
      <c r="EO159" s="226">
        <f t="shared" ca="1" si="311"/>
        <v>34253013.001006946</v>
      </c>
      <c r="EP159" s="226">
        <f t="shared" ca="1" si="311"/>
        <v>0</v>
      </c>
      <c r="EQ159" s="226">
        <f t="shared" ca="1" si="311"/>
        <v>0</v>
      </c>
      <c r="ER159" s="226">
        <f t="shared" ca="1" si="311"/>
        <v>0</v>
      </c>
      <c r="ES159" s="226">
        <f t="shared" ca="1" si="311"/>
        <v>0</v>
      </c>
      <c r="ET159" s="226">
        <f t="shared" ca="1" si="311"/>
        <v>0</v>
      </c>
      <c r="EU159" s="226">
        <f t="shared" ca="1" si="311"/>
        <v>0</v>
      </c>
      <c r="EV159" s="226">
        <f t="shared" ca="1" si="311"/>
        <v>0</v>
      </c>
      <c r="EW159" s="226">
        <f t="shared" ca="1" si="311"/>
        <v>0</v>
      </c>
    </row>
    <row r="160" spans="2:153" x14ac:dyDescent="0.4">
      <c r="B160" s="9" t="s">
        <v>205</v>
      </c>
      <c r="G160" s="9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  <c r="AA160" s="159"/>
      <c r="AB160" s="159"/>
      <c r="AC160" s="159"/>
      <c r="AD160" s="159"/>
      <c r="AE160" s="159"/>
      <c r="AF160" s="159"/>
      <c r="AG160" s="159"/>
      <c r="AH160" s="159"/>
      <c r="AI160" s="159"/>
      <c r="AJ160" s="159"/>
      <c r="AK160" s="159"/>
      <c r="AL160" s="159"/>
      <c r="AM160" s="159"/>
      <c r="AN160" s="159"/>
      <c r="AO160" s="159"/>
      <c r="AP160" s="159"/>
      <c r="AQ160" s="159"/>
      <c r="AR160" s="159"/>
      <c r="AS160" s="159"/>
      <c r="AT160" s="159"/>
      <c r="AU160" s="159"/>
      <c r="AV160" s="159"/>
      <c r="AW160" s="159"/>
      <c r="AX160" s="159"/>
      <c r="AY160" s="159"/>
      <c r="AZ160" s="159"/>
      <c r="BA160" s="159"/>
      <c r="BB160" s="159"/>
      <c r="BC160" s="159"/>
      <c r="BD160" s="159"/>
      <c r="BE160" s="159"/>
      <c r="BF160" s="159"/>
      <c r="BG160" s="159"/>
      <c r="BH160" s="159"/>
      <c r="BI160" s="159"/>
      <c r="BJ160" s="159"/>
      <c r="BK160" s="159"/>
      <c r="BL160" s="159"/>
      <c r="BM160" s="159"/>
      <c r="BN160" s="159"/>
      <c r="BO160" s="159"/>
      <c r="BP160" s="159"/>
      <c r="BQ160" s="159"/>
      <c r="BR160" s="159"/>
      <c r="BS160" s="159"/>
      <c r="BT160" s="159"/>
      <c r="BU160" s="159"/>
      <c r="BV160" s="159"/>
      <c r="BW160" s="159"/>
      <c r="BX160" s="159"/>
      <c r="BY160" s="159"/>
      <c r="BZ160" s="159"/>
      <c r="CA160" s="159"/>
      <c r="CB160" s="159"/>
      <c r="CC160" s="159"/>
      <c r="CD160" s="159"/>
      <c r="CE160" s="159"/>
      <c r="CF160" s="159"/>
      <c r="CG160" s="159"/>
      <c r="CH160" s="159"/>
      <c r="CI160" s="159"/>
      <c r="CJ160" s="159"/>
      <c r="CK160" s="159"/>
      <c r="CL160" s="159"/>
      <c r="CM160" s="159"/>
      <c r="CN160" s="159"/>
      <c r="CO160" s="159"/>
      <c r="CP160" s="159"/>
      <c r="CQ160" s="159"/>
      <c r="CR160" s="159"/>
      <c r="CS160" s="159"/>
      <c r="CT160" s="159"/>
      <c r="CU160" s="159"/>
      <c r="CV160" s="159"/>
      <c r="CW160" s="159"/>
      <c r="CX160" s="159"/>
      <c r="CY160" s="159"/>
      <c r="CZ160" s="159"/>
      <c r="DA160" s="159"/>
      <c r="DB160" s="159"/>
      <c r="DC160" s="159"/>
      <c r="DD160" s="159"/>
      <c r="DE160" s="159"/>
      <c r="DF160" s="159"/>
      <c r="DG160" s="159"/>
      <c r="DH160" s="159"/>
      <c r="DI160" s="159"/>
      <c r="DJ160" s="159"/>
      <c r="DK160" s="159"/>
      <c r="DL160" s="159"/>
      <c r="DM160" s="159"/>
      <c r="DN160" s="159"/>
      <c r="DO160" s="159"/>
      <c r="DP160" s="159"/>
      <c r="DQ160" s="159"/>
      <c r="DR160" s="159"/>
      <c r="DS160" s="159"/>
      <c r="DT160" s="159"/>
      <c r="DU160" s="159"/>
      <c r="DV160" s="159"/>
      <c r="DW160" s="159"/>
      <c r="DX160" s="159"/>
      <c r="DY160" s="159"/>
      <c r="DZ160" s="159"/>
      <c r="EA160" s="159"/>
      <c r="EB160" s="159"/>
      <c r="EC160" s="159"/>
      <c r="ED160" s="159"/>
      <c r="EE160" s="159"/>
      <c r="EF160" s="159"/>
      <c r="EG160" s="159"/>
      <c r="EH160" s="159"/>
      <c r="EI160" s="159"/>
      <c r="EJ160" s="159"/>
      <c r="EL160" s="188"/>
      <c r="EM160" s="159">
        <f t="shared" ref="EM160:EW160" ca="1" si="312">(EM159-EM96-EM154)/EM178</f>
        <v>0.40792288369096008</v>
      </c>
      <c r="EN160" s="159">
        <f t="shared" ca="1" si="312"/>
        <v>1.6974074857997843</v>
      </c>
      <c r="EO160" s="159">
        <f t="shared" ca="1" si="312"/>
        <v>8.9426257016248775E-2</v>
      </c>
      <c r="EP160" s="159">
        <f t="shared" ca="1" si="312"/>
        <v>0</v>
      </c>
      <c r="EQ160" s="159">
        <f t="shared" ca="1" si="312"/>
        <v>0</v>
      </c>
      <c r="ER160" s="20">
        <f t="shared" ca="1" si="312"/>
        <v>0</v>
      </c>
      <c r="ES160" s="20">
        <f t="shared" ca="1" si="312"/>
        <v>0</v>
      </c>
      <c r="ET160" s="20">
        <f t="shared" ca="1" si="312"/>
        <v>0</v>
      </c>
      <c r="EU160" s="20">
        <f t="shared" ca="1" si="312"/>
        <v>0</v>
      </c>
      <c r="EV160" s="20">
        <f t="shared" ca="1" si="312"/>
        <v>0</v>
      </c>
      <c r="EW160" s="20">
        <f t="shared" ca="1" si="312"/>
        <v>0</v>
      </c>
    </row>
    <row r="161" spans="2:153" x14ac:dyDescent="0.4">
      <c r="BB161" s="12"/>
    </row>
    <row r="162" spans="2:153" x14ac:dyDescent="0.4">
      <c r="B162" s="108" t="s">
        <v>142</v>
      </c>
      <c r="C162" s="113">
        <f ca="1">-SUMIF(H159:EJ159,"&lt;0")</f>
        <v>18749449.999427788</v>
      </c>
      <c r="H162" s="15"/>
      <c r="BB162" s="160"/>
    </row>
    <row r="163" spans="2:153" x14ac:dyDescent="0.4">
      <c r="B163" s="109" t="s">
        <v>143</v>
      </c>
      <c r="C163" s="112">
        <f ca="1">XIRR(H159:EJ159,$H$6:$EJ$6)</f>
        <v>0.27464950680732725</v>
      </c>
    </row>
    <row r="164" spans="2:153" x14ac:dyDescent="0.4">
      <c r="B164" s="109" t="s">
        <v>144</v>
      </c>
      <c r="C164" s="111">
        <f ca="1">SUM(H159:EJ159)</f>
        <v>15915269.785236642</v>
      </c>
    </row>
    <row r="165" spans="2:153" x14ac:dyDescent="0.4">
      <c r="B165" s="110" t="s">
        <v>145</v>
      </c>
      <c r="C165" s="114">
        <f ca="1">SUMIF(H159:EJ159,"&gt;"&amp;0)/C162</f>
        <v>1.8488392878576363</v>
      </c>
    </row>
    <row r="168" spans="2:153" x14ac:dyDescent="0.4">
      <c r="B168" s="94" t="s">
        <v>148</v>
      </c>
      <c r="E168" s="56" t="s">
        <v>149</v>
      </c>
      <c r="F168" s="56" t="s">
        <v>150</v>
      </c>
    </row>
    <row r="169" spans="2:153" x14ac:dyDescent="0.4">
      <c r="B169" s="1" t="s">
        <v>263</v>
      </c>
      <c r="E169" s="12">
        <f t="shared" ref="E169:E174" si="313">H169</f>
        <v>5700000</v>
      </c>
      <c r="F169" s="12">
        <f t="shared" ref="F169:F174" si="314">SUMIF($H$6:$EJ$6,$C$5,$H169:$EJ169)</f>
        <v>5700000</v>
      </c>
      <c r="H169" s="12">
        <f>-SUM($H$90:H90)</f>
        <v>5700000</v>
      </c>
      <c r="I169" s="12">
        <f>-SUM($H$90:I90)</f>
        <v>5700000</v>
      </c>
      <c r="J169" s="12">
        <f>-SUM($H$90:J90)</f>
        <v>5700000</v>
      </c>
      <c r="K169" s="12">
        <f>-SUM($H$90:K90)</f>
        <v>5700000</v>
      </c>
      <c r="L169" s="12">
        <f>-SUM($H$90:L90)</f>
        <v>5700000</v>
      </c>
      <c r="M169" s="12">
        <f>-SUM($H$90:M90)</f>
        <v>5700000</v>
      </c>
      <c r="N169" s="12">
        <f>-SUM($H$90:N90)</f>
        <v>5700000</v>
      </c>
      <c r="O169" s="12">
        <f>-SUM($H$90:O90)</f>
        <v>5700000</v>
      </c>
      <c r="P169" s="12">
        <f>-SUM($H$90:P90)</f>
        <v>5700000</v>
      </c>
      <c r="Q169" s="12">
        <f>-SUM($H$90:Q90)</f>
        <v>5700000</v>
      </c>
      <c r="R169" s="12">
        <f>-SUM($H$90:R90)</f>
        <v>5700000</v>
      </c>
      <c r="S169" s="12">
        <f>-SUM($H$90:S90)</f>
        <v>5700000</v>
      </c>
      <c r="T169" s="12">
        <f>-SUM($H$90:T90)</f>
        <v>5700000</v>
      </c>
      <c r="U169" s="12">
        <f>-SUM($H$90:U90)</f>
        <v>5700000</v>
      </c>
      <c r="V169" s="12">
        <f>-SUM($H$90:V90)</f>
        <v>5700000</v>
      </c>
      <c r="W169" s="12">
        <f>-SUM($H$90:W90)</f>
        <v>5700000</v>
      </c>
      <c r="X169" s="12">
        <f>-SUM($H$90:X90)</f>
        <v>5700000</v>
      </c>
      <c r="Y169" s="12">
        <f>-SUM($H$90:Y90)</f>
        <v>5700000</v>
      </c>
      <c r="Z169" s="12">
        <f>-SUM($H$90:Z90)</f>
        <v>5700000</v>
      </c>
      <c r="AA169" s="12">
        <f>-SUM($H$90:AA90)</f>
        <v>5700000</v>
      </c>
      <c r="AB169" s="12">
        <f>-SUM($H$90:AB90)</f>
        <v>5700000</v>
      </c>
      <c r="AC169" s="12">
        <f>-SUM($H$90:AC90)</f>
        <v>5700000</v>
      </c>
      <c r="AD169" s="12">
        <f>-SUM($H$90:AD90)</f>
        <v>5700000</v>
      </c>
      <c r="AE169" s="12">
        <f>-SUM($H$90:AE90)</f>
        <v>5700000</v>
      </c>
      <c r="AF169" s="12">
        <f>-SUM($H$90:AF90)</f>
        <v>5700000</v>
      </c>
      <c r="AG169" s="12">
        <f>-SUM($H$90:AG90)</f>
        <v>5700000</v>
      </c>
      <c r="AH169" s="12">
        <f>-SUM($H$90:AH90)</f>
        <v>5700000</v>
      </c>
      <c r="AI169" s="12">
        <f>-SUM($H$90:AI90)</f>
        <v>5700000</v>
      </c>
      <c r="AJ169" s="12">
        <f>-SUM($H$90:AJ90)</f>
        <v>5700000</v>
      </c>
      <c r="AK169" s="12">
        <f>-SUM($H$90:AK90)</f>
        <v>5700000</v>
      </c>
      <c r="AL169" s="12">
        <f>-SUM($H$90:AL90)</f>
        <v>5700000</v>
      </c>
      <c r="AM169" s="12">
        <f>-SUM($H$90:AM90)</f>
        <v>5700000</v>
      </c>
      <c r="AN169" s="12">
        <f>-SUM($H$90:AN90)</f>
        <v>5700000</v>
      </c>
      <c r="AO169" s="12">
        <f>-SUM($H$90:AO90)</f>
        <v>5700000</v>
      </c>
      <c r="AP169" s="12">
        <f>-SUM($H$90:AP90)</f>
        <v>5700000</v>
      </c>
      <c r="AQ169" s="12">
        <f>-SUM($H$90:AQ90)</f>
        <v>5700000</v>
      </c>
      <c r="AR169" s="12">
        <f>-SUM($H$90:AR90)</f>
        <v>5700000</v>
      </c>
      <c r="AS169" s="12">
        <f>-SUM($H$90:AS90)</f>
        <v>5700000</v>
      </c>
      <c r="AT169" s="12">
        <f>-SUM($H$90:AT90)</f>
        <v>5700000</v>
      </c>
      <c r="AU169" s="12">
        <f>-SUM($H$90:AU90)</f>
        <v>5700000</v>
      </c>
      <c r="AV169" s="12">
        <f>-SUM($H$90:AV90)</f>
        <v>5700000</v>
      </c>
      <c r="AW169" s="12">
        <f>-SUM($H$90:AW90)</f>
        <v>5700000</v>
      </c>
      <c r="AX169" s="12">
        <f>-SUM($H$90:AX90)</f>
        <v>5700000</v>
      </c>
      <c r="AY169" s="12">
        <f>-SUM($H$90:AY90)</f>
        <v>5700000</v>
      </c>
      <c r="AZ169" s="12">
        <f>-SUM($H$90:AZ90)</f>
        <v>5700000</v>
      </c>
      <c r="BA169" s="12">
        <f>-SUM($H$90:BA90)</f>
        <v>5700000</v>
      </c>
      <c r="BB169" s="12">
        <f>-SUM($H$90:BB90)</f>
        <v>5700000</v>
      </c>
      <c r="BC169" s="12">
        <f>-SUM($H$90:BC90)</f>
        <v>5700000</v>
      </c>
      <c r="BD169" s="12">
        <f>-SUM($H$90:BD90)</f>
        <v>5700000</v>
      </c>
      <c r="BE169" s="12">
        <f>-SUM($H$90:BE90)</f>
        <v>5700000</v>
      </c>
      <c r="BF169" s="12">
        <f>-SUM($H$90:BF90)</f>
        <v>5700000</v>
      </c>
      <c r="BG169" s="12">
        <f>-SUM($H$90:BG90)</f>
        <v>5700000</v>
      </c>
      <c r="BH169" s="12">
        <f>-SUM($H$90:BH90)</f>
        <v>5700000</v>
      </c>
      <c r="BI169" s="12">
        <f>-SUM($H$90:BI90)</f>
        <v>5700000</v>
      </c>
      <c r="BJ169" s="12">
        <f>-SUM($H$90:BJ90)</f>
        <v>5700000</v>
      </c>
      <c r="BK169" s="12">
        <f>-SUM($H$90:BK90)</f>
        <v>5700000</v>
      </c>
      <c r="BL169" s="12">
        <f>-SUM($H$90:BL90)</f>
        <v>5700000</v>
      </c>
      <c r="BM169" s="12">
        <f>-SUM($H$90:BM90)</f>
        <v>5700000</v>
      </c>
      <c r="BN169" s="12">
        <f>-SUM($H$90:BN90)</f>
        <v>5700000</v>
      </c>
      <c r="BO169" s="12">
        <f>-SUM($H$90:BO90)</f>
        <v>5700000</v>
      </c>
      <c r="BP169" s="12">
        <f>-SUM($H$90:BP90)</f>
        <v>5700000</v>
      </c>
      <c r="BQ169" s="12">
        <f>-SUM($H$90:BQ90)</f>
        <v>5700000</v>
      </c>
      <c r="BR169" s="12">
        <f>-SUM($H$90:BR90)</f>
        <v>5700000</v>
      </c>
      <c r="BS169" s="12">
        <f>-SUM($H$90:BS90)</f>
        <v>5700000</v>
      </c>
      <c r="BT169" s="12">
        <f>-SUM($H$90:BT90)</f>
        <v>5700000</v>
      </c>
      <c r="BU169" s="12">
        <f>-SUM($H$90:BU90)</f>
        <v>5700000</v>
      </c>
      <c r="BV169" s="12">
        <f>-SUM($H$90:BV90)</f>
        <v>5700000</v>
      </c>
      <c r="BW169" s="12">
        <f>-SUM($H$90:BW90)</f>
        <v>5700000</v>
      </c>
      <c r="BX169" s="12">
        <f>-SUM($H$90:BX90)</f>
        <v>5700000</v>
      </c>
      <c r="BY169" s="12">
        <f>-SUM($H$90:BY90)</f>
        <v>5700000</v>
      </c>
      <c r="BZ169" s="12">
        <f>-SUM($H$90:BZ90)</f>
        <v>5700000</v>
      </c>
      <c r="CA169" s="12">
        <f>-SUM($H$90:CA90)</f>
        <v>5700000</v>
      </c>
      <c r="CB169" s="12">
        <f>-SUM($H$90:CB90)</f>
        <v>5700000</v>
      </c>
      <c r="CC169" s="12">
        <f>-SUM($H$90:CC90)</f>
        <v>5700000</v>
      </c>
      <c r="CD169" s="12">
        <f>-SUM($H$90:CD90)</f>
        <v>5700000</v>
      </c>
      <c r="CE169" s="12">
        <f>-SUM($H$90:CE90)</f>
        <v>5700000</v>
      </c>
      <c r="CF169" s="12">
        <f>-SUM($H$90:CF90)</f>
        <v>5700000</v>
      </c>
      <c r="CG169" s="12">
        <f>-SUM($H$90:CG90)</f>
        <v>5700000</v>
      </c>
      <c r="CH169" s="12">
        <f>-SUM($H$90:CH90)</f>
        <v>5700000</v>
      </c>
      <c r="CI169" s="12">
        <f>-SUM($H$90:CI90)</f>
        <v>5700000</v>
      </c>
      <c r="CJ169" s="12">
        <f>-SUM($H$90:CJ90)</f>
        <v>5700000</v>
      </c>
      <c r="CK169" s="12">
        <f>-SUM($H$90:CK90)</f>
        <v>5700000</v>
      </c>
      <c r="CL169" s="12">
        <f>-SUM($H$90:CL90)</f>
        <v>5700000</v>
      </c>
      <c r="CM169" s="12">
        <f>-SUM($H$90:CM90)</f>
        <v>5700000</v>
      </c>
      <c r="CN169" s="12">
        <f>-SUM($H$90:CN90)</f>
        <v>5700000</v>
      </c>
      <c r="CO169" s="12">
        <f>-SUM($H$90:CO90)</f>
        <v>5700000</v>
      </c>
      <c r="CP169" s="12">
        <f>-SUM($H$90:CP90)</f>
        <v>5700000</v>
      </c>
      <c r="CQ169" s="12">
        <f>-SUM($H$90:CQ90)</f>
        <v>5700000</v>
      </c>
      <c r="CR169" s="12">
        <f>-SUM($H$90:CR90)</f>
        <v>5700000</v>
      </c>
      <c r="CS169" s="12">
        <f>-SUM($H$90:CS90)</f>
        <v>5700000</v>
      </c>
      <c r="CT169" s="12">
        <f>-SUM($H$90:CT90)</f>
        <v>5700000</v>
      </c>
      <c r="CU169" s="12">
        <f>-SUM($H$90:CU90)</f>
        <v>5700000</v>
      </c>
      <c r="CV169" s="12">
        <f>-SUM($H$90:CV90)</f>
        <v>5700000</v>
      </c>
      <c r="CW169" s="12">
        <f>-SUM($H$90:CW90)</f>
        <v>5700000</v>
      </c>
      <c r="CX169" s="12">
        <f>-SUM($H$90:CX90)</f>
        <v>5700000</v>
      </c>
      <c r="CY169" s="12">
        <f>-SUM($H$90:CY90)</f>
        <v>5700000</v>
      </c>
      <c r="CZ169" s="12">
        <f>-SUM($H$90:CZ90)</f>
        <v>5700000</v>
      </c>
      <c r="DA169" s="12">
        <f>-SUM($H$90:DA90)</f>
        <v>5700000</v>
      </c>
      <c r="DB169" s="12">
        <f>-SUM($H$90:DB90)</f>
        <v>5700000</v>
      </c>
      <c r="DC169" s="12">
        <f>-SUM($H$90:DC90)</f>
        <v>5700000</v>
      </c>
      <c r="DD169" s="12">
        <f>-SUM($H$90:DD90)</f>
        <v>5700000</v>
      </c>
      <c r="DE169" s="12">
        <f>-SUM($H$90:DE90)</f>
        <v>5700000</v>
      </c>
      <c r="DF169" s="12">
        <f>-SUM($H$90:DF90)</f>
        <v>5700000</v>
      </c>
      <c r="DG169" s="12">
        <f>-SUM($H$90:DG90)</f>
        <v>5700000</v>
      </c>
      <c r="DH169" s="12">
        <f>-SUM($H$90:DH90)</f>
        <v>5700000</v>
      </c>
      <c r="DI169" s="12">
        <f>-SUM($H$90:DI90)</f>
        <v>5700000</v>
      </c>
      <c r="DJ169" s="12">
        <f>-SUM($H$90:DJ90)</f>
        <v>5700000</v>
      </c>
      <c r="DK169" s="12">
        <f>-SUM($H$90:DK90)</f>
        <v>5700000</v>
      </c>
      <c r="DL169" s="12">
        <f>-SUM($H$90:DL90)</f>
        <v>5700000</v>
      </c>
      <c r="DM169" s="12">
        <f>-SUM($H$90:DM90)</f>
        <v>5700000</v>
      </c>
      <c r="DN169" s="12">
        <f>-SUM($H$90:DN90)</f>
        <v>5700000</v>
      </c>
      <c r="DO169" s="12">
        <f>-SUM($H$90:DO90)</f>
        <v>5700000</v>
      </c>
      <c r="DP169" s="12">
        <f>-SUM($H$90:DP90)</f>
        <v>5700000</v>
      </c>
      <c r="DQ169" s="12">
        <f>-SUM($H$90:DQ90)</f>
        <v>5700000</v>
      </c>
      <c r="DR169" s="12">
        <f>-SUM($H$90:DR90)</f>
        <v>5700000</v>
      </c>
      <c r="DS169" s="12">
        <f>-SUM($H$90:DS90)</f>
        <v>5700000</v>
      </c>
      <c r="DT169" s="12">
        <f>-SUM($H$90:DT90)</f>
        <v>5700000</v>
      </c>
      <c r="DU169" s="12">
        <f>-SUM($H$90:DU90)</f>
        <v>5700000</v>
      </c>
      <c r="DV169" s="12">
        <f>-SUM($H$90:DV90)</f>
        <v>5700000</v>
      </c>
      <c r="DW169" s="12">
        <f>-SUM($H$90:DW90)</f>
        <v>5700000</v>
      </c>
      <c r="DX169" s="12">
        <f>-SUM($H$90:DX90)</f>
        <v>5700000</v>
      </c>
      <c r="DY169" s="12">
        <f>-SUM($H$90:DY90)</f>
        <v>5700000</v>
      </c>
      <c r="DZ169" s="12">
        <f>-SUM($H$90:DZ90)</f>
        <v>5700000</v>
      </c>
      <c r="EA169" s="12">
        <f>-SUM($H$90:EA90)</f>
        <v>5700000</v>
      </c>
      <c r="EB169" s="12">
        <f>-SUM($H$90:EB90)</f>
        <v>5700000</v>
      </c>
      <c r="EC169" s="12">
        <f>-SUM($H$90:EC90)</f>
        <v>5700000</v>
      </c>
      <c r="ED169" s="12">
        <f>-SUM($H$90:ED90)</f>
        <v>5700000</v>
      </c>
      <c r="EE169" s="12">
        <f>-SUM($H$90:EE90)</f>
        <v>5700000</v>
      </c>
      <c r="EF169" s="12">
        <f>-SUM($H$90:EF90)</f>
        <v>5700000</v>
      </c>
      <c r="EG169" s="12">
        <f>-SUM($H$90:EG90)</f>
        <v>5700000</v>
      </c>
      <c r="EH169" s="12">
        <f>-SUM($H$90:EH90)</f>
        <v>5700000</v>
      </c>
      <c r="EI169" s="12">
        <f>-SUM($H$90:EI90)</f>
        <v>5700000</v>
      </c>
      <c r="EJ169" s="12">
        <f>-SUM($H$90:EJ90)</f>
        <v>5700000</v>
      </c>
      <c r="EL169" s="12">
        <f t="shared" ref="EL169:EL174" si="315">SUMIF($H$6:$EJ$6,EL$6,$H169:$EJ169)</f>
        <v>5700000</v>
      </c>
      <c r="EM169" s="12">
        <f t="shared" ref="EM169:EW174" si="316">SUMIF($H$6:$EJ$6,EM$6,$H169:$EJ169)</f>
        <v>5700000</v>
      </c>
      <c r="EN169" s="12">
        <f t="shared" si="316"/>
        <v>5700000</v>
      </c>
      <c r="EO169" s="12">
        <f t="shared" si="316"/>
        <v>5700000</v>
      </c>
      <c r="EP169" s="12">
        <f t="shared" si="316"/>
        <v>5700000</v>
      </c>
      <c r="EQ169" s="12">
        <f t="shared" si="316"/>
        <v>5700000</v>
      </c>
      <c r="ER169" s="12">
        <f t="shared" si="316"/>
        <v>5700000</v>
      </c>
      <c r="ES169" s="12">
        <f t="shared" si="316"/>
        <v>5700000</v>
      </c>
      <c r="ET169" s="12">
        <f t="shared" si="316"/>
        <v>5700000</v>
      </c>
      <c r="EU169" s="12">
        <f t="shared" si="316"/>
        <v>5700000</v>
      </c>
      <c r="EV169" s="12">
        <f t="shared" si="316"/>
        <v>5700000</v>
      </c>
      <c r="EW169" s="12">
        <f t="shared" si="316"/>
        <v>5700000</v>
      </c>
    </row>
    <row r="170" spans="2:153" x14ac:dyDescent="0.4">
      <c r="B170" s="1" t="s">
        <v>236</v>
      </c>
      <c r="E170" s="12">
        <f t="shared" si="313"/>
        <v>0</v>
      </c>
      <c r="F170" s="12">
        <f t="shared" si="314"/>
        <v>5460000</v>
      </c>
      <c r="H170" s="12">
        <f>-SUM($H$91:H91)</f>
        <v>0</v>
      </c>
      <c r="I170" s="12">
        <f>-SUM($H$91:I91)</f>
        <v>0</v>
      </c>
      <c r="J170" s="12">
        <f>-SUM($H$91:J91)</f>
        <v>0</v>
      </c>
      <c r="K170" s="12">
        <f>-SUM($H$91:K91)</f>
        <v>273000</v>
      </c>
      <c r="L170" s="12">
        <f>-SUM($H$91:L91)</f>
        <v>546000</v>
      </c>
      <c r="M170" s="12">
        <f>-SUM($H$91:M91)</f>
        <v>819000</v>
      </c>
      <c r="N170" s="12">
        <f>-SUM($H$91:N91)</f>
        <v>1092000</v>
      </c>
      <c r="O170" s="12">
        <f>-SUM($H$91:O91)</f>
        <v>1365000</v>
      </c>
      <c r="P170" s="12">
        <f>-SUM($H$91:P91)</f>
        <v>1638000</v>
      </c>
      <c r="Q170" s="12">
        <f>-SUM($H$91:Q91)</f>
        <v>1911000</v>
      </c>
      <c r="R170" s="12">
        <f>-SUM($H$91:R91)</f>
        <v>2184000</v>
      </c>
      <c r="S170" s="12">
        <f>-SUM($H$91:S91)</f>
        <v>2457000</v>
      </c>
      <c r="T170" s="12">
        <f>-SUM($H$91:T91)</f>
        <v>2730000</v>
      </c>
      <c r="U170" s="12">
        <f>-SUM($H$91:U91)</f>
        <v>3003000</v>
      </c>
      <c r="V170" s="12">
        <f>-SUM($H$91:V91)</f>
        <v>3276000</v>
      </c>
      <c r="W170" s="12">
        <f>-SUM($H$91:W91)</f>
        <v>3549000</v>
      </c>
      <c r="X170" s="12">
        <f>-SUM($H$91:X91)</f>
        <v>3822000</v>
      </c>
      <c r="Y170" s="12">
        <f>-SUM($H$91:Y91)</f>
        <v>4095000</v>
      </c>
      <c r="Z170" s="12">
        <f>-SUM($H$91:Z91)</f>
        <v>4368000</v>
      </c>
      <c r="AA170" s="12">
        <f>-SUM($H$91:AA91)</f>
        <v>4641000</v>
      </c>
      <c r="AB170" s="12">
        <f>-SUM($H$91:AB91)</f>
        <v>4914000</v>
      </c>
      <c r="AC170" s="12">
        <f>-SUM($H$91:AC91)</f>
        <v>5187000</v>
      </c>
      <c r="AD170" s="12">
        <f>-SUM($H$91:AD91)</f>
        <v>5460000</v>
      </c>
      <c r="AE170" s="12">
        <f>-SUM($H$91:AE91)</f>
        <v>5460000</v>
      </c>
      <c r="AF170" s="12">
        <f>-SUM($H$91:AF91)</f>
        <v>5460000</v>
      </c>
      <c r="AG170" s="12">
        <f>-SUM($H$91:AG91)</f>
        <v>5460000</v>
      </c>
      <c r="AH170" s="12">
        <f>-SUM($H$91:AH91)</f>
        <v>5460000</v>
      </c>
      <c r="AI170" s="12">
        <f>-SUM($H$91:AI91)</f>
        <v>5460000</v>
      </c>
      <c r="AJ170" s="12">
        <f>-SUM($H$91:AJ91)</f>
        <v>5460000</v>
      </c>
      <c r="AK170" s="12">
        <f>-SUM($H$91:AK91)</f>
        <v>5460000</v>
      </c>
      <c r="AL170" s="12">
        <f>-SUM($H$91:AL91)</f>
        <v>5460000</v>
      </c>
      <c r="AM170" s="12">
        <f>-SUM($H$91:AM91)</f>
        <v>5460000</v>
      </c>
      <c r="AN170" s="12">
        <f>-SUM($H$91:AN91)</f>
        <v>5460000</v>
      </c>
      <c r="AO170" s="12">
        <f>-SUM($H$91:AO91)</f>
        <v>5460000</v>
      </c>
      <c r="AP170" s="12">
        <f>-SUM($H$91:AP91)</f>
        <v>5460000</v>
      </c>
      <c r="AQ170" s="12">
        <f>-SUM($H$91:AQ91)</f>
        <v>5460000</v>
      </c>
      <c r="AR170" s="12">
        <f>-SUM($H$91:AR91)</f>
        <v>5460000</v>
      </c>
      <c r="AS170" s="12">
        <f>-SUM($H$91:AS91)</f>
        <v>5460000</v>
      </c>
      <c r="AT170" s="12">
        <f>-SUM($H$91:AT91)</f>
        <v>5460000</v>
      </c>
      <c r="AU170" s="12">
        <f>-SUM($H$91:AU91)</f>
        <v>5460000</v>
      </c>
      <c r="AV170" s="12">
        <f>-SUM($H$91:AV91)</f>
        <v>5460000</v>
      </c>
      <c r="AW170" s="12">
        <f>-SUM($H$91:AW91)</f>
        <v>5460000</v>
      </c>
      <c r="AX170" s="12">
        <f>-SUM($H$91:AX91)</f>
        <v>5460000</v>
      </c>
      <c r="AY170" s="12">
        <f>-SUM($H$91:AY91)</f>
        <v>5460000</v>
      </c>
      <c r="AZ170" s="12">
        <f>-SUM($H$91:AZ91)</f>
        <v>5460000</v>
      </c>
      <c r="BA170" s="12">
        <f>-SUM($H$91:BA91)</f>
        <v>5460000</v>
      </c>
      <c r="BB170" s="12">
        <f>-SUM($H$91:BB91)</f>
        <v>5460000</v>
      </c>
      <c r="BC170" s="12">
        <f>-SUM($H$91:BC91)</f>
        <v>5460000</v>
      </c>
      <c r="BD170" s="12">
        <f>-SUM($H$91:BD91)</f>
        <v>5460000</v>
      </c>
      <c r="BE170" s="12">
        <f>-SUM($H$91:BE91)</f>
        <v>5460000</v>
      </c>
      <c r="BF170" s="12">
        <f>-SUM($H$91:BF91)</f>
        <v>5460000</v>
      </c>
      <c r="BG170" s="12">
        <f>-SUM($H$91:BG91)</f>
        <v>5460000</v>
      </c>
      <c r="BH170" s="12">
        <f>-SUM($H$91:BH91)</f>
        <v>5460000</v>
      </c>
      <c r="BI170" s="12">
        <f>-SUM($H$91:BI91)</f>
        <v>5460000</v>
      </c>
      <c r="BJ170" s="12">
        <f>-SUM($H$91:BJ91)</f>
        <v>5460000</v>
      </c>
      <c r="BK170" s="12">
        <f>-SUM($H$91:BK91)</f>
        <v>5460000</v>
      </c>
      <c r="BL170" s="12">
        <f>-SUM($H$91:BL91)</f>
        <v>5460000</v>
      </c>
      <c r="BM170" s="12">
        <f>-SUM($H$91:BM91)</f>
        <v>5460000</v>
      </c>
      <c r="BN170" s="12">
        <f>-SUM($H$91:BN91)</f>
        <v>5460000</v>
      </c>
      <c r="BO170" s="12">
        <f>-SUM($H$91:BO91)</f>
        <v>5460000</v>
      </c>
      <c r="BP170" s="12">
        <f>-SUM($H$91:BP91)</f>
        <v>5460000</v>
      </c>
      <c r="BQ170" s="12">
        <f>-SUM($H$91:BQ91)</f>
        <v>5460000</v>
      </c>
      <c r="BR170" s="12">
        <f>-SUM($H$91:BR91)</f>
        <v>5460000</v>
      </c>
      <c r="BS170" s="12">
        <f>-SUM($H$91:BS91)</f>
        <v>5460000</v>
      </c>
      <c r="BT170" s="12">
        <f>-SUM($H$91:BT91)</f>
        <v>5460000</v>
      </c>
      <c r="BU170" s="12">
        <f>-SUM($H$91:BU91)</f>
        <v>5460000</v>
      </c>
      <c r="BV170" s="12">
        <f>-SUM($H$91:BV91)</f>
        <v>5460000</v>
      </c>
      <c r="BW170" s="12">
        <f>-SUM($H$91:BW91)</f>
        <v>5460000</v>
      </c>
      <c r="BX170" s="12">
        <f>-SUM($H$91:BX91)</f>
        <v>5460000</v>
      </c>
      <c r="BY170" s="12">
        <f>-SUM($H$91:BY91)</f>
        <v>5460000</v>
      </c>
      <c r="BZ170" s="12">
        <f>-SUM($H$91:BZ91)</f>
        <v>5460000</v>
      </c>
      <c r="CA170" s="12">
        <f>-SUM($H$91:CA91)</f>
        <v>5460000</v>
      </c>
      <c r="CB170" s="12">
        <f>-SUM($H$91:CB91)</f>
        <v>5460000</v>
      </c>
      <c r="CC170" s="12">
        <f>-SUM($H$91:CC91)</f>
        <v>5460000</v>
      </c>
      <c r="CD170" s="12">
        <f>-SUM($H$91:CD91)</f>
        <v>5460000</v>
      </c>
      <c r="CE170" s="12">
        <f>-SUM($H$91:CE91)</f>
        <v>5460000</v>
      </c>
      <c r="CF170" s="12">
        <f>-SUM($H$91:CF91)</f>
        <v>5460000</v>
      </c>
      <c r="CG170" s="12">
        <f>-SUM($H$91:CG91)</f>
        <v>5460000</v>
      </c>
      <c r="CH170" s="12">
        <f>-SUM($H$91:CH91)</f>
        <v>5460000</v>
      </c>
      <c r="CI170" s="12">
        <f>-SUM($H$91:CI91)</f>
        <v>5460000</v>
      </c>
      <c r="CJ170" s="12">
        <f>-SUM($H$91:CJ91)</f>
        <v>5460000</v>
      </c>
      <c r="CK170" s="12">
        <f>-SUM($H$91:CK91)</f>
        <v>5460000</v>
      </c>
      <c r="CL170" s="12">
        <f>-SUM($H$91:CL91)</f>
        <v>5460000</v>
      </c>
      <c r="CM170" s="12">
        <f>-SUM($H$91:CM91)</f>
        <v>5460000</v>
      </c>
      <c r="CN170" s="12">
        <f>-SUM($H$91:CN91)</f>
        <v>5460000</v>
      </c>
      <c r="CO170" s="12">
        <f>-SUM($H$91:CO91)</f>
        <v>5460000</v>
      </c>
      <c r="CP170" s="12">
        <f>-SUM($H$91:CP91)</f>
        <v>5460000</v>
      </c>
      <c r="CQ170" s="12">
        <f>-SUM($H$91:CQ91)</f>
        <v>5460000</v>
      </c>
      <c r="CR170" s="12">
        <f>-SUM($H$91:CR91)</f>
        <v>5460000</v>
      </c>
      <c r="CS170" s="12">
        <f>-SUM($H$91:CS91)</f>
        <v>5460000</v>
      </c>
      <c r="CT170" s="12">
        <f>-SUM($H$91:CT91)</f>
        <v>5460000</v>
      </c>
      <c r="CU170" s="12">
        <f>-SUM($H$91:CU91)</f>
        <v>5460000</v>
      </c>
      <c r="CV170" s="12">
        <f>-SUM($H$91:CV91)</f>
        <v>5460000</v>
      </c>
      <c r="CW170" s="12">
        <f>-SUM($H$91:CW91)</f>
        <v>5460000</v>
      </c>
      <c r="CX170" s="12">
        <f>-SUM($H$91:CX91)</f>
        <v>5460000</v>
      </c>
      <c r="CY170" s="12">
        <f>-SUM($H$91:CY91)</f>
        <v>5460000</v>
      </c>
      <c r="CZ170" s="12">
        <f>-SUM($H$91:CZ91)</f>
        <v>5460000</v>
      </c>
      <c r="DA170" s="12">
        <f>-SUM($H$91:DA91)</f>
        <v>5460000</v>
      </c>
      <c r="DB170" s="12">
        <f>-SUM($H$91:DB91)</f>
        <v>5460000</v>
      </c>
      <c r="DC170" s="12">
        <f>-SUM($H$91:DC91)</f>
        <v>5460000</v>
      </c>
      <c r="DD170" s="12">
        <f>-SUM($H$91:DD91)</f>
        <v>5460000</v>
      </c>
      <c r="DE170" s="12">
        <f>-SUM($H$91:DE91)</f>
        <v>5460000</v>
      </c>
      <c r="DF170" s="12">
        <f>-SUM($H$91:DF91)</f>
        <v>5460000</v>
      </c>
      <c r="DG170" s="12">
        <f>-SUM($H$91:DG91)</f>
        <v>5460000</v>
      </c>
      <c r="DH170" s="12">
        <f>-SUM($H$91:DH91)</f>
        <v>5460000</v>
      </c>
      <c r="DI170" s="12">
        <f>-SUM($H$91:DI91)</f>
        <v>5460000</v>
      </c>
      <c r="DJ170" s="12">
        <f>-SUM($H$91:DJ91)</f>
        <v>5460000</v>
      </c>
      <c r="DK170" s="12">
        <f>-SUM($H$91:DK91)</f>
        <v>5460000</v>
      </c>
      <c r="DL170" s="12">
        <f>-SUM($H$91:DL91)</f>
        <v>5460000</v>
      </c>
      <c r="DM170" s="12">
        <f>-SUM($H$91:DM91)</f>
        <v>5460000</v>
      </c>
      <c r="DN170" s="12">
        <f>-SUM($H$91:DN91)</f>
        <v>5460000</v>
      </c>
      <c r="DO170" s="12">
        <f>-SUM($H$91:DO91)</f>
        <v>5460000</v>
      </c>
      <c r="DP170" s="12">
        <f>-SUM($H$91:DP91)</f>
        <v>5460000</v>
      </c>
      <c r="DQ170" s="12">
        <f>-SUM($H$91:DQ91)</f>
        <v>5460000</v>
      </c>
      <c r="DR170" s="12">
        <f>-SUM($H$91:DR91)</f>
        <v>5460000</v>
      </c>
      <c r="DS170" s="12">
        <f>-SUM($H$91:DS91)</f>
        <v>5460000</v>
      </c>
      <c r="DT170" s="12">
        <f>-SUM($H$91:DT91)</f>
        <v>5460000</v>
      </c>
      <c r="DU170" s="12">
        <f>-SUM($H$91:DU91)</f>
        <v>5460000</v>
      </c>
      <c r="DV170" s="12">
        <f>-SUM($H$91:DV91)</f>
        <v>5460000</v>
      </c>
      <c r="DW170" s="12">
        <f>-SUM($H$91:DW91)</f>
        <v>5460000</v>
      </c>
      <c r="DX170" s="12">
        <f>-SUM($H$91:DX91)</f>
        <v>5460000</v>
      </c>
      <c r="DY170" s="12">
        <f>-SUM($H$91:DY91)</f>
        <v>5460000</v>
      </c>
      <c r="DZ170" s="12">
        <f>-SUM($H$91:DZ91)</f>
        <v>5460000</v>
      </c>
      <c r="EA170" s="12">
        <f>-SUM($H$91:EA91)</f>
        <v>5460000</v>
      </c>
      <c r="EB170" s="12">
        <f>-SUM($H$91:EB91)</f>
        <v>5460000</v>
      </c>
      <c r="EC170" s="12">
        <f>-SUM($H$91:EC91)</f>
        <v>5460000</v>
      </c>
      <c r="ED170" s="12">
        <f>-SUM($H$91:ED91)</f>
        <v>5460000</v>
      </c>
      <c r="EE170" s="12">
        <f>-SUM($H$91:EE91)</f>
        <v>5460000</v>
      </c>
      <c r="EF170" s="12">
        <f>-SUM($H$91:EF91)</f>
        <v>5460000</v>
      </c>
      <c r="EG170" s="12">
        <f>-SUM($H$91:EG91)</f>
        <v>5460000</v>
      </c>
      <c r="EH170" s="12">
        <f>-SUM($H$91:EH91)</f>
        <v>5460000</v>
      </c>
      <c r="EI170" s="12">
        <f>-SUM($H$91:EI91)</f>
        <v>5460000</v>
      </c>
      <c r="EJ170" s="12">
        <f>-SUM($H$91:EJ91)</f>
        <v>5460000</v>
      </c>
      <c r="EL170" s="12">
        <f t="shared" si="315"/>
        <v>0</v>
      </c>
      <c r="EM170" s="12">
        <f t="shared" si="316"/>
        <v>2730000</v>
      </c>
      <c r="EN170" s="12">
        <f t="shared" si="316"/>
        <v>5460000</v>
      </c>
      <c r="EO170" s="12">
        <f t="shared" si="316"/>
        <v>5460000</v>
      </c>
      <c r="EP170" s="12">
        <f t="shared" si="316"/>
        <v>5460000</v>
      </c>
      <c r="EQ170" s="12">
        <f t="shared" si="316"/>
        <v>5460000</v>
      </c>
      <c r="ER170" s="12">
        <f t="shared" si="316"/>
        <v>5460000</v>
      </c>
      <c r="ES170" s="12">
        <f t="shared" si="316"/>
        <v>5460000</v>
      </c>
      <c r="ET170" s="12">
        <f t="shared" si="316"/>
        <v>5460000</v>
      </c>
      <c r="EU170" s="12">
        <f t="shared" si="316"/>
        <v>5460000</v>
      </c>
      <c r="EV170" s="12">
        <f t="shared" si="316"/>
        <v>5460000</v>
      </c>
      <c r="EW170" s="12">
        <f t="shared" si="316"/>
        <v>5460000</v>
      </c>
    </row>
    <row r="171" spans="2:153" x14ac:dyDescent="0.4">
      <c r="B171" s="1" t="s">
        <v>235</v>
      </c>
      <c r="E171" s="12">
        <f t="shared" si="313"/>
        <v>0</v>
      </c>
      <c r="F171" s="12">
        <f t="shared" si="314"/>
        <v>44500000</v>
      </c>
      <c r="H171" s="12">
        <f>-SUM($H$92:H92)</f>
        <v>0</v>
      </c>
      <c r="I171" s="12">
        <f>-SUM($H$92:I92)</f>
        <v>0</v>
      </c>
      <c r="J171" s="12">
        <f>-SUM($H$92:J92)</f>
        <v>0</v>
      </c>
      <c r="K171" s="12">
        <f>-SUM($H$92:K92)</f>
        <v>0</v>
      </c>
      <c r="L171" s="12">
        <f>-SUM($H$92:L92)</f>
        <v>0</v>
      </c>
      <c r="M171" s="12">
        <f>-SUM($H$92:M92)</f>
        <v>0</v>
      </c>
      <c r="N171" s="12">
        <f>-SUM($H$92:N92)</f>
        <v>0</v>
      </c>
      <c r="O171" s="12">
        <f>-SUM($H$92:O92)</f>
        <v>2781250</v>
      </c>
      <c r="P171" s="12">
        <f>-SUM($H$92:P92)</f>
        <v>5562500</v>
      </c>
      <c r="Q171" s="12">
        <f>-SUM($H$92:Q92)</f>
        <v>8343750</v>
      </c>
      <c r="R171" s="12">
        <f>-SUM($H$92:R92)</f>
        <v>11125000</v>
      </c>
      <c r="S171" s="12">
        <f>-SUM($H$92:S92)</f>
        <v>13906250</v>
      </c>
      <c r="T171" s="12">
        <f>-SUM($H$92:T92)</f>
        <v>16687500</v>
      </c>
      <c r="U171" s="12">
        <f>-SUM($H$92:U92)</f>
        <v>19468750</v>
      </c>
      <c r="V171" s="12">
        <f>-SUM($H$92:V92)</f>
        <v>22250000</v>
      </c>
      <c r="W171" s="12">
        <f>-SUM($H$92:W92)</f>
        <v>25031250</v>
      </c>
      <c r="X171" s="12">
        <f>-SUM($H$92:X92)</f>
        <v>27812500</v>
      </c>
      <c r="Y171" s="12">
        <f>-SUM($H$92:Y92)</f>
        <v>30593750</v>
      </c>
      <c r="Z171" s="12">
        <f>-SUM($H$92:Z92)</f>
        <v>33375000</v>
      </c>
      <c r="AA171" s="12">
        <f>-SUM($H$92:AA92)</f>
        <v>36156250</v>
      </c>
      <c r="AB171" s="12">
        <f>-SUM($H$92:AB92)</f>
        <v>38937500</v>
      </c>
      <c r="AC171" s="12">
        <f>-SUM($H$92:AC92)</f>
        <v>41718750</v>
      </c>
      <c r="AD171" s="12">
        <f>-SUM($H$92:AD92)</f>
        <v>44500000</v>
      </c>
      <c r="AE171" s="12">
        <f>-SUM($H$92:AE92)</f>
        <v>44500000</v>
      </c>
      <c r="AF171" s="12">
        <f>-SUM($H$92:AF92)</f>
        <v>44500000</v>
      </c>
      <c r="AG171" s="12">
        <f>-SUM($H$92:AG92)</f>
        <v>44500000</v>
      </c>
      <c r="AH171" s="12">
        <f>-SUM($H$92:AH92)</f>
        <v>44500000</v>
      </c>
      <c r="AI171" s="12">
        <f>-SUM($H$92:AI92)</f>
        <v>44500000</v>
      </c>
      <c r="AJ171" s="12">
        <f>-SUM($H$92:AJ92)</f>
        <v>44500000</v>
      </c>
      <c r="AK171" s="12">
        <f>-SUM($H$92:AK92)</f>
        <v>44500000</v>
      </c>
      <c r="AL171" s="12">
        <f>-SUM($H$92:AL92)</f>
        <v>44500000</v>
      </c>
      <c r="AM171" s="12">
        <f>-SUM($H$92:AM92)</f>
        <v>44500000</v>
      </c>
      <c r="AN171" s="12">
        <f>-SUM($H$92:AN92)</f>
        <v>44500000</v>
      </c>
      <c r="AO171" s="12">
        <f>-SUM($H$92:AO92)</f>
        <v>44500000</v>
      </c>
      <c r="AP171" s="12">
        <f>-SUM($H$92:AP92)</f>
        <v>44500000</v>
      </c>
      <c r="AQ171" s="12">
        <f>-SUM($H$92:AQ92)</f>
        <v>44500000</v>
      </c>
      <c r="AR171" s="12">
        <f>-SUM($H$92:AR92)</f>
        <v>44500000</v>
      </c>
      <c r="AS171" s="12">
        <f>-SUM($H$92:AS92)</f>
        <v>44500000</v>
      </c>
      <c r="AT171" s="12">
        <f>-SUM($H$92:AT92)</f>
        <v>44500000</v>
      </c>
      <c r="AU171" s="12">
        <f>-SUM($H$92:AU92)</f>
        <v>44500000</v>
      </c>
      <c r="AV171" s="12">
        <f>-SUM($H$92:AV92)</f>
        <v>44500000</v>
      </c>
      <c r="AW171" s="12">
        <f>-SUM($H$92:AW92)</f>
        <v>44500000</v>
      </c>
      <c r="AX171" s="12">
        <f>-SUM($H$92:AX92)</f>
        <v>44500000</v>
      </c>
      <c r="AY171" s="12">
        <f>-SUM($H$92:AY92)</f>
        <v>44500000</v>
      </c>
      <c r="AZ171" s="12">
        <f>-SUM($H$92:AZ92)</f>
        <v>44500000</v>
      </c>
      <c r="BA171" s="12">
        <f>-SUM($H$92:BA92)</f>
        <v>44500000</v>
      </c>
      <c r="BB171" s="12">
        <f>-SUM($H$92:BB92)</f>
        <v>44500000</v>
      </c>
      <c r="BC171" s="12">
        <f>-SUM($H$92:BC92)</f>
        <v>44500000</v>
      </c>
      <c r="BD171" s="12">
        <f>-SUM($H$92:BD92)</f>
        <v>44500000</v>
      </c>
      <c r="BE171" s="12">
        <f>-SUM($H$92:BE92)</f>
        <v>44500000</v>
      </c>
      <c r="BF171" s="12">
        <f>-SUM($H$92:BF92)</f>
        <v>44500000</v>
      </c>
      <c r="BG171" s="12">
        <f>-SUM($H$92:BG92)</f>
        <v>44500000</v>
      </c>
      <c r="BH171" s="12">
        <f>-SUM($H$92:BH92)</f>
        <v>44500000</v>
      </c>
      <c r="BI171" s="12">
        <f>-SUM($H$92:BI92)</f>
        <v>44500000</v>
      </c>
      <c r="BJ171" s="12">
        <f>-SUM($H$92:BJ92)</f>
        <v>44500000</v>
      </c>
      <c r="BK171" s="12">
        <f>-SUM($H$92:BK92)</f>
        <v>44500000</v>
      </c>
      <c r="BL171" s="12">
        <f>-SUM($H$92:BL92)</f>
        <v>44500000</v>
      </c>
      <c r="BM171" s="12">
        <f>-SUM($H$92:BM92)</f>
        <v>44500000</v>
      </c>
      <c r="BN171" s="12">
        <f>-SUM($H$92:BN92)</f>
        <v>44500000</v>
      </c>
      <c r="BO171" s="12">
        <f>-SUM($H$92:BO92)</f>
        <v>44500000</v>
      </c>
      <c r="BP171" s="12">
        <f>-SUM($H$92:BP92)</f>
        <v>44500000</v>
      </c>
      <c r="BQ171" s="12">
        <f>-SUM($H$92:BQ92)</f>
        <v>44500000</v>
      </c>
      <c r="BR171" s="12">
        <f>-SUM($H$92:BR92)</f>
        <v>44500000</v>
      </c>
      <c r="BS171" s="12">
        <f>-SUM($H$92:BS92)</f>
        <v>44500000</v>
      </c>
      <c r="BT171" s="12">
        <f>-SUM($H$92:BT92)</f>
        <v>44500000</v>
      </c>
      <c r="BU171" s="12">
        <f>-SUM($H$92:BU92)</f>
        <v>44500000</v>
      </c>
      <c r="BV171" s="12">
        <f>-SUM($H$92:BV92)</f>
        <v>44500000</v>
      </c>
      <c r="BW171" s="12">
        <f>-SUM($H$92:BW92)</f>
        <v>44500000</v>
      </c>
      <c r="BX171" s="12">
        <f>-SUM($H$92:BX92)</f>
        <v>44500000</v>
      </c>
      <c r="BY171" s="12">
        <f>-SUM($H$92:BY92)</f>
        <v>44500000</v>
      </c>
      <c r="BZ171" s="12">
        <f>-SUM($H$92:BZ92)</f>
        <v>44500000</v>
      </c>
      <c r="CA171" s="12">
        <f>-SUM($H$92:CA92)</f>
        <v>44500000</v>
      </c>
      <c r="CB171" s="12">
        <f>-SUM($H$92:CB92)</f>
        <v>44500000</v>
      </c>
      <c r="CC171" s="12">
        <f>-SUM($H$92:CC92)</f>
        <v>44500000</v>
      </c>
      <c r="CD171" s="12">
        <f>-SUM($H$92:CD92)</f>
        <v>44500000</v>
      </c>
      <c r="CE171" s="12">
        <f>-SUM($H$92:CE92)</f>
        <v>44500000</v>
      </c>
      <c r="CF171" s="12">
        <f>-SUM($H$92:CF92)</f>
        <v>44500000</v>
      </c>
      <c r="CG171" s="12">
        <f>-SUM($H$92:CG92)</f>
        <v>44500000</v>
      </c>
      <c r="CH171" s="12">
        <f>-SUM($H$92:CH92)</f>
        <v>44500000</v>
      </c>
      <c r="CI171" s="12">
        <f>-SUM($H$92:CI92)</f>
        <v>44500000</v>
      </c>
      <c r="CJ171" s="12">
        <f>-SUM($H$92:CJ92)</f>
        <v>44500000</v>
      </c>
      <c r="CK171" s="12">
        <f>-SUM($H$92:CK92)</f>
        <v>44500000</v>
      </c>
      <c r="CL171" s="12">
        <f>-SUM($H$92:CL92)</f>
        <v>44500000</v>
      </c>
      <c r="CM171" s="12">
        <f>-SUM($H$92:CM92)</f>
        <v>44500000</v>
      </c>
      <c r="CN171" s="12">
        <f>-SUM($H$92:CN92)</f>
        <v>44500000</v>
      </c>
      <c r="CO171" s="12">
        <f>-SUM($H$92:CO92)</f>
        <v>44500000</v>
      </c>
      <c r="CP171" s="12">
        <f>-SUM($H$92:CP92)</f>
        <v>44500000</v>
      </c>
      <c r="CQ171" s="12">
        <f>-SUM($H$92:CQ92)</f>
        <v>44500000</v>
      </c>
      <c r="CR171" s="12">
        <f>-SUM($H$92:CR92)</f>
        <v>44500000</v>
      </c>
      <c r="CS171" s="12">
        <f>-SUM($H$92:CS92)</f>
        <v>44500000</v>
      </c>
      <c r="CT171" s="12">
        <f>-SUM($H$92:CT92)</f>
        <v>44500000</v>
      </c>
      <c r="CU171" s="12">
        <f>-SUM($H$92:CU92)</f>
        <v>44500000</v>
      </c>
      <c r="CV171" s="12">
        <f>-SUM($H$92:CV92)</f>
        <v>44500000</v>
      </c>
      <c r="CW171" s="12">
        <f>-SUM($H$92:CW92)</f>
        <v>44500000</v>
      </c>
      <c r="CX171" s="12">
        <f>-SUM($H$92:CX92)</f>
        <v>44500000</v>
      </c>
      <c r="CY171" s="12">
        <f>-SUM($H$92:CY92)</f>
        <v>44500000</v>
      </c>
      <c r="CZ171" s="12">
        <f>-SUM($H$92:CZ92)</f>
        <v>44500000</v>
      </c>
      <c r="DA171" s="12">
        <f>-SUM($H$92:DA92)</f>
        <v>44500000</v>
      </c>
      <c r="DB171" s="12">
        <f>-SUM($H$92:DB92)</f>
        <v>44500000</v>
      </c>
      <c r="DC171" s="12">
        <f>-SUM($H$92:DC92)</f>
        <v>44500000</v>
      </c>
      <c r="DD171" s="12">
        <f>-SUM($H$92:DD92)</f>
        <v>44500000</v>
      </c>
      <c r="DE171" s="12">
        <f>-SUM($H$92:DE92)</f>
        <v>44500000</v>
      </c>
      <c r="DF171" s="12">
        <f>-SUM($H$92:DF92)</f>
        <v>44500000</v>
      </c>
      <c r="DG171" s="12">
        <f>-SUM($H$92:DG92)</f>
        <v>44500000</v>
      </c>
      <c r="DH171" s="12">
        <f>-SUM($H$92:DH92)</f>
        <v>44500000</v>
      </c>
      <c r="DI171" s="12">
        <f>-SUM($H$92:DI92)</f>
        <v>44500000</v>
      </c>
      <c r="DJ171" s="12">
        <f>-SUM($H$92:DJ92)</f>
        <v>44500000</v>
      </c>
      <c r="DK171" s="12">
        <f>-SUM($H$92:DK92)</f>
        <v>44500000</v>
      </c>
      <c r="DL171" s="12">
        <f>-SUM($H$92:DL92)</f>
        <v>44500000</v>
      </c>
      <c r="DM171" s="12">
        <f>-SUM($H$92:DM92)</f>
        <v>44500000</v>
      </c>
      <c r="DN171" s="12">
        <f>-SUM($H$92:DN92)</f>
        <v>44500000</v>
      </c>
      <c r="DO171" s="12">
        <f>-SUM($H$92:DO92)</f>
        <v>44500000</v>
      </c>
      <c r="DP171" s="12">
        <f>-SUM($H$92:DP92)</f>
        <v>44500000</v>
      </c>
      <c r="DQ171" s="12">
        <f>-SUM($H$92:DQ92)</f>
        <v>44500000</v>
      </c>
      <c r="DR171" s="12">
        <f>-SUM($H$92:DR92)</f>
        <v>44500000</v>
      </c>
      <c r="DS171" s="12">
        <f>-SUM($H$92:DS92)</f>
        <v>44500000</v>
      </c>
      <c r="DT171" s="12">
        <f>-SUM($H$92:DT92)</f>
        <v>44500000</v>
      </c>
      <c r="DU171" s="12">
        <f>-SUM($H$92:DU92)</f>
        <v>44500000</v>
      </c>
      <c r="DV171" s="12">
        <f>-SUM($H$92:DV92)</f>
        <v>44500000</v>
      </c>
      <c r="DW171" s="12">
        <f>-SUM($H$92:DW92)</f>
        <v>44500000</v>
      </c>
      <c r="DX171" s="12">
        <f>-SUM($H$92:DX92)</f>
        <v>44500000</v>
      </c>
      <c r="DY171" s="12">
        <f>-SUM($H$92:DY92)</f>
        <v>44500000</v>
      </c>
      <c r="DZ171" s="12">
        <f>-SUM($H$92:DZ92)</f>
        <v>44500000</v>
      </c>
      <c r="EA171" s="12">
        <f>-SUM($H$92:EA92)</f>
        <v>44500000</v>
      </c>
      <c r="EB171" s="12">
        <f>-SUM($H$92:EB92)</f>
        <v>44500000</v>
      </c>
      <c r="EC171" s="12">
        <f>-SUM($H$92:EC92)</f>
        <v>44500000</v>
      </c>
      <c r="ED171" s="12">
        <f>-SUM($H$92:ED92)</f>
        <v>44500000</v>
      </c>
      <c r="EE171" s="12">
        <f>-SUM($H$92:EE92)</f>
        <v>44500000</v>
      </c>
      <c r="EF171" s="12">
        <f>-SUM($H$92:EF92)</f>
        <v>44500000</v>
      </c>
      <c r="EG171" s="12">
        <f>-SUM($H$92:EG92)</f>
        <v>44500000</v>
      </c>
      <c r="EH171" s="12">
        <f>-SUM($H$92:EH92)</f>
        <v>44500000</v>
      </c>
      <c r="EI171" s="12">
        <f>-SUM($H$92:EI92)</f>
        <v>44500000</v>
      </c>
      <c r="EJ171" s="12">
        <f>-SUM($H$92:EJ92)</f>
        <v>44500000</v>
      </c>
      <c r="EL171" s="12">
        <f t="shared" si="315"/>
        <v>0</v>
      </c>
      <c r="EM171" s="12">
        <f t="shared" si="316"/>
        <v>16687500</v>
      </c>
      <c r="EN171" s="12">
        <f t="shared" si="316"/>
        <v>44500000</v>
      </c>
      <c r="EO171" s="12">
        <f t="shared" si="316"/>
        <v>44500000</v>
      </c>
      <c r="EP171" s="12">
        <f t="shared" si="316"/>
        <v>44500000</v>
      </c>
      <c r="EQ171" s="12">
        <f t="shared" si="316"/>
        <v>44500000</v>
      </c>
      <c r="ER171" s="12">
        <f t="shared" si="316"/>
        <v>44500000</v>
      </c>
      <c r="ES171" s="12">
        <f t="shared" si="316"/>
        <v>44500000</v>
      </c>
      <c r="ET171" s="12">
        <f t="shared" si="316"/>
        <v>44500000</v>
      </c>
      <c r="EU171" s="12">
        <f t="shared" si="316"/>
        <v>44500000</v>
      </c>
      <c r="EV171" s="12">
        <f t="shared" si="316"/>
        <v>44500000</v>
      </c>
      <c r="EW171" s="12">
        <f t="shared" si="316"/>
        <v>44500000</v>
      </c>
    </row>
    <row r="172" spans="2:153" x14ac:dyDescent="0.4">
      <c r="B172" s="1" t="s">
        <v>264</v>
      </c>
      <c r="E172" s="12">
        <f t="shared" si="313"/>
        <v>0</v>
      </c>
      <c r="F172" s="12">
        <f t="shared" si="314"/>
        <v>1750000</v>
      </c>
      <c r="H172" s="12">
        <f>-SUM($H$93:H93)</f>
        <v>0</v>
      </c>
      <c r="I172" s="12">
        <f>-SUM($H$93:I93)</f>
        <v>0</v>
      </c>
      <c r="J172" s="12">
        <f>-SUM($H$93:J93)</f>
        <v>0</v>
      </c>
      <c r="K172" s="12">
        <f>-SUM($H$93:K93)</f>
        <v>87500</v>
      </c>
      <c r="L172" s="12">
        <f>-SUM($H$93:L93)</f>
        <v>175000</v>
      </c>
      <c r="M172" s="12">
        <f>-SUM($H$93:M93)</f>
        <v>262500</v>
      </c>
      <c r="N172" s="12">
        <f>-SUM($H$93:N93)</f>
        <v>350000</v>
      </c>
      <c r="O172" s="12">
        <f>-SUM($H$93:O93)</f>
        <v>437500</v>
      </c>
      <c r="P172" s="12">
        <f>-SUM($H$93:P93)</f>
        <v>525000</v>
      </c>
      <c r="Q172" s="12">
        <f>-SUM($H$93:Q93)</f>
        <v>612500</v>
      </c>
      <c r="R172" s="12">
        <f>-SUM($H$93:R93)</f>
        <v>700000</v>
      </c>
      <c r="S172" s="12">
        <f>-SUM($H$93:S93)</f>
        <v>787500</v>
      </c>
      <c r="T172" s="12">
        <f>-SUM($H$93:T93)</f>
        <v>875000</v>
      </c>
      <c r="U172" s="12">
        <f>-SUM($H$93:U93)</f>
        <v>962500</v>
      </c>
      <c r="V172" s="12">
        <f>-SUM($H$93:V93)</f>
        <v>1050000</v>
      </c>
      <c r="W172" s="12">
        <f>-SUM($H$93:W93)</f>
        <v>1137500</v>
      </c>
      <c r="X172" s="12">
        <f>-SUM($H$93:X93)</f>
        <v>1225000</v>
      </c>
      <c r="Y172" s="12">
        <f>-SUM($H$93:Y93)</f>
        <v>1312500</v>
      </c>
      <c r="Z172" s="12">
        <f>-SUM($H$93:Z93)</f>
        <v>1400000</v>
      </c>
      <c r="AA172" s="12">
        <f>-SUM($H$93:AA93)</f>
        <v>1487500</v>
      </c>
      <c r="AB172" s="12">
        <f>-SUM($H$93:AB93)</f>
        <v>1575000</v>
      </c>
      <c r="AC172" s="12">
        <f>-SUM($H$93:AC93)</f>
        <v>1662500</v>
      </c>
      <c r="AD172" s="12">
        <f>-SUM($H$93:AD93)</f>
        <v>1750000</v>
      </c>
      <c r="AE172" s="12">
        <f>-SUM($H$93:AE93)</f>
        <v>1750000</v>
      </c>
      <c r="AF172" s="12">
        <f>-SUM($H$93:AF93)</f>
        <v>1750000</v>
      </c>
      <c r="AG172" s="12">
        <f>-SUM($H$93:AG93)</f>
        <v>1750000</v>
      </c>
      <c r="AH172" s="12">
        <f>-SUM($H$93:AH93)</f>
        <v>1750000</v>
      </c>
      <c r="AI172" s="12">
        <f>-SUM($H$93:AI93)</f>
        <v>1750000</v>
      </c>
      <c r="AJ172" s="12">
        <f>-SUM($H$93:AJ93)</f>
        <v>1750000</v>
      </c>
      <c r="AK172" s="12">
        <f>-SUM($H$93:AK93)</f>
        <v>1750000</v>
      </c>
      <c r="AL172" s="12">
        <f>-SUM($H$93:AL93)</f>
        <v>1750000</v>
      </c>
      <c r="AM172" s="12">
        <f>-SUM($H$93:AM93)</f>
        <v>1750000</v>
      </c>
      <c r="AN172" s="12">
        <f>-SUM($H$93:AN93)</f>
        <v>1750000</v>
      </c>
      <c r="AO172" s="12">
        <f>-SUM($H$93:AO93)</f>
        <v>1750000</v>
      </c>
      <c r="AP172" s="12">
        <f>-SUM($H$93:AP93)</f>
        <v>1750000</v>
      </c>
      <c r="AQ172" s="12">
        <f>-SUM($H$93:AQ93)</f>
        <v>1750000</v>
      </c>
      <c r="AR172" s="12">
        <f>-SUM($H$93:AR93)</f>
        <v>1750000</v>
      </c>
      <c r="AS172" s="12">
        <f>-SUM($H$93:AS93)</f>
        <v>1750000</v>
      </c>
      <c r="AT172" s="12">
        <f>-SUM($H$93:AT93)</f>
        <v>1750000</v>
      </c>
      <c r="AU172" s="12">
        <f>-SUM($H$93:AU93)</f>
        <v>1750000</v>
      </c>
      <c r="AV172" s="12">
        <f>-SUM($H$93:AV93)</f>
        <v>1750000</v>
      </c>
      <c r="AW172" s="12">
        <f>-SUM($H$93:AW93)</f>
        <v>1750000</v>
      </c>
      <c r="AX172" s="12">
        <f>-SUM($H$93:AX93)</f>
        <v>1750000</v>
      </c>
      <c r="AY172" s="12">
        <f>-SUM($H$93:AY93)</f>
        <v>1750000</v>
      </c>
      <c r="AZ172" s="12">
        <f>-SUM($H$93:AZ93)</f>
        <v>1750000</v>
      </c>
      <c r="BA172" s="12">
        <f>-SUM($H$93:BA93)</f>
        <v>1750000</v>
      </c>
      <c r="BB172" s="12">
        <f>-SUM($H$93:BB93)</f>
        <v>1750000</v>
      </c>
      <c r="BC172" s="12">
        <f>-SUM($H$93:BC93)</f>
        <v>1750000</v>
      </c>
      <c r="BD172" s="12">
        <f>-SUM($H$93:BD93)</f>
        <v>1750000</v>
      </c>
      <c r="BE172" s="12">
        <f>-SUM($H$93:BE93)</f>
        <v>1750000</v>
      </c>
      <c r="BF172" s="12">
        <f>-SUM($H$93:BF93)</f>
        <v>1750000</v>
      </c>
      <c r="BG172" s="12">
        <f>-SUM($H$93:BG93)</f>
        <v>1750000</v>
      </c>
      <c r="BH172" s="12">
        <f>-SUM($H$93:BH93)</f>
        <v>1750000</v>
      </c>
      <c r="BI172" s="12">
        <f>-SUM($H$93:BI93)</f>
        <v>1750000</v>
      </c>
      <c r="BJ172" s="12">
        <f>-SUM($H$93:BJ93)</f>
        <v>1750000</v>
      </c>
      <c r="BK172" s="12">
        <f>-SUM($H$93:BK93)</f>
        <v>1750000</v>
      </c>
      <c r="BL172" s="12">
        <f>-SUM($H$93:BL93)</f>
        <v>1750000</v>
      </c>
      <c r="BM172" s="12">
        <f>-SUM($H$93:BM93)</f>
        <v>1750000</v>
      </c>
      <c r="BN172" s="12">
        <f>-SUM($H$93:BN93)</f>
        <v>1750000</v>
      </c>
      <c r="BO172" s="12">
        <f>-SUM($H$93:BO93)</f>
        <v>1750000</v>
      </c>
      <c r="BP172" s="12">
        <f>-SUM($H$93:BP93)</f>
        <v>1750000</v>
      </c>
      <c r="BQ172" s="12">
        <f>-SUM($H$93:BQ93)</f>
        <v>1750000</v>
      </c>
      <c r="BR172" s="12">
        <f>-SUM($H$93:BR93)</f>
        <v>1750000</v>
      </c>
      <c r="BS172" s="12">
        <f>-SUM($H$93:BS93)</f>
        <v>1750000</v>
      </c>
      <c r="BT172" s="12">
        <f>-SUM($H$93:BT93)</f>
        <v>1750000</v>
      </c>
      <c r="BU172" s="12">
        <f>-SUM($H$93:BU93)</f>
        <v>1750000</v>
      </c>
      <c r="BV172" s="12">
        <f>-SUM($H$93:BV93)</f>
        <v>1750000</v>
      </c>
      <c r="BW172" s="12">
        <f>-SUM($H$93:BW93)</f>
        <v>1750000</v>
      </c>
      <c r="BX172" s="12">
        <f>-SUM($H$93:BX93)</f>
        <v>1750000</v>
      </c>
      <c r="BY172" s="12">
        <f>-SUM($H$93:BY93)</f>
        <v>1750000</v>
      </c>
      <c r="BZ172" s="12">
        <f>-SUM($H$93:BZ93)</f>
        <v>1750000</v>
      </c>
      <c r="CA172" s="12">
        <f>-SUM($H$93:CA93)</f>
        <v>1750000</v>
      </c>
      <c r="CB172" s="12">
        <f>-SUM($H$93:CB93)</f>
        <v>1750000</v>
      </c>
      <c r="CC172" s="12">
        <f>-SUM($H$93:CC93)</f>
        <v>1750000</v>
      </c>
      <c r="CD172" s="12">
        <f>-SUM($H$93:CD93)</f>
        <v>1750000</v>
      </c>
      <c r="CE172" s="12">
        <f>-SUM($H$93:CE93)</f>
        <v>1750000</v>
      </c>
      <c r="CF172" s="12">
        <f>-SUM($H$93:CF93)</f>
        <v>1750000</v>
      </c>
      <c r="CG172" s="12">
        <f>-SUM($H$93:CG93)</f>
        <v>1750000</v>
      </c>
      <c r="CH172" s="12">
        <f>-SUM($H$93:CH93)</f>
        <v>1750000</v>
      </c>
      <c r="CI172" s="12">
        <f>-SUM($H$93:CI93)</f>
        <v>1750000</v>
      </c>
      <c r="CJ172" s="12">
        <f>-SUM($H$93:CJ93)</f>
        <v>1750000</v>
      </c>
      <c r="CK172" s="12">
        <f>-SUM($H$93:CK93)</f>
        <v>1750000</v>
      </c>
      <c r="CL172" s="12">
        <f>-SUM($H$93:CL93)</f>
        <v>1750000</v>
      </c>
      <c r="CM172" s="12">
        <f>-SUM($H$93:CM93)</f>
        <v>1750000</v>
      </c>
      <c r="CN172" s="12">
        <f>-SUM($H$93:CN93)</f>
        <v>1750000</v>
      </c>
      <c r="CO172" s="12">
        <f>-SUM($H$93:CO93)</f>
        <v>1750000</v>
      </c>
      <c r="CP172" s="12">
        <f>-SUM($H$93:CP93)</f>
        <v>1750000</v>
      </c>
      <c r="CQ172" s="12">
        <f>-SUM($H$93:CQ93)</f>
        <v>1750000</v>
      </c>
      <c r="CR172" s="12">
        <f>-SUM($H$93:CR93)</f>
        <v>1750000</v>
      </c>
      <c r="CS172" s="12">
        <f>-SUM($H$93:CS93)</f>
        <v>1750000</v>
      </c>
      <c r="CT172" s="12">
        <f>-SUM($H$93:CT93)</f>
        <v>1750000</v>
      </c>
      <c r="CU172" s="12">
        <f>-SUM($H$93:CU93)</f>
        <v>1750000</v>
      </c>
      <c r="CV172" s="12">
        <f>-SUM($H$93:CV93)</f>
        <v>1750000</v>
      </c>
      <c r="CW172" s="12">
        <f>-SUM($H$93:CW93)</f>
        <v>1750000</v>
      </c>
      <c r="CX172" s="12">
        <f>-SUM($H$93:CX93)</f>
        <v>1750000</v>
      </c>
      <c r="CY172" s="12">
        <f>-SUM($H$93:CY93)</f>
        <v>1750000</v>
      </c>
      <c r="CZ172" s="12">
        <f>-SUM($H$93:CZ93)</f>
        <v>1750000</v>
      </c>
      <c r="DA172" s="12">
        <f>-SUM($H$93:DA93)</f>
        <v>1750000</v>
      </c>
      <c r="DB172" s="12">
        <f>-SUM($H$93:DB93)</f>
        <v>1750000</v>
      </c>
      <c r="DC172" s="12">
        <f>-SUM($H$93:DC93)</f>
        <v>1750000</v>
      </c>
      <c r="DD172" s="12">
        <f>-SUM($H$93:DD93)</f>
        <v>1750000</v>
      </c>
      <c r="DE172" s="12">
        <f>-SUM($H$93:DE93)</f>
        <v>1750000</v>
      </c>
      <c r="DF172" s="12">
        <f>-SUM($H$93:DF93)</f>
        <v>1750000</v>
      </c>
      <c r="DG172" s="12">
        <f>-SUM($H$93:DG93)</f>
        <v>1750000</v>
      </c>
      <c r="DH172" s="12">
        <f>-SUM($H$93:DH93)</f>
        <v>1750000</v>
      </c>
      <c r="DI172" s="12">
        <f>-SUM($H$93:DI93)</f>
        <v>1750000</v>
      </c>
      <c r="DJ172" s="12">
        <f>-SUM($H$93:DJ93)</f>
        <v>1750000</v>
      </c>
      <c r="DK172" s="12">
        <f>-SUM($H$93:DK93)</f>
        <v>1750000</v>
      </c>
      <c r="DL172" s="12">
        <f>-SUM($H$93:DL93)</f>
        <v>1750000</v>
      </c>
      <c r="DM172" s="12">
        <f>-SUM($H$93:DM93)</f>
        <v>1750000</v>
      </c>
      <c r="DN172" s="12">
        <f>-SUM($H$93:DN93)</f>
        <v>1750000</v>
      </c>
      <c r="DO172" s="12">
        <f>-SUM($H$93:DO93)</f>
        <v>1750000</v>
      </c>
      <c r="DP172" s="12">
        <f>-SUM($H$93:DP93)</f>
        <v>1750000</v>
      </c>
      <c r="DQ172" s="12">
        <f>-SUM($H$93:DQ93)</f>
        <v>1750000</v>
      </c>
      <c r="DR172" s="12">
        <f>-SUM($H$93:DR93)</f>
        <v>1750000</v>
      </c>
      <c r="DS172" s="12">
        <f>-SUM($H$93:DS93)</f>
        <v>1750000</v>
      </c>
      <c r="DT172" s="12">
        <f>-SUM($H$93:DT93)</f>
        <v>1750000</v>
      </c>
      <c r="DU172" s="12">
        <f>-SUM($H$93:DU93)</f>
        <v>1750000</v>
      </c>
      <c r="DV172" s="12">
        <f>-SUM($H$93:DV93)</f>
        <v>1750000</v>
      </c>
      <c r="DW172" s="12">
        <f>-SUM($H$93:DW93)</f>
        <v>1750000</v>
      </c>
      <c r="DX172" s="12">
        <f>-SUM($H$93:DX93)</f>
        <v>1750000</v>
      </c>
      <c r="DY172" s="12">
        <f>-SUM($H$93:DY93)</f>
        <v>1750000</v>
      </c>
      <c r="DZ172" s="12">
        <f>-SUM($H$93:DZ93)</f>
        <v>1750000</v>
      </c>
      <c r="EA172" s="12">
        <f>-SUM($H$93:EA93)</f>
        <v>1750000</v>
      </c>
      <c r="EB172" s="12">
        <f>-SUM($H$93:EB93)</f>
        <v>1750000</v>
      </c>
      <c r="EC172" s="12">
        <f>-SUM($H$93:EC93)</f>
        <v>1750000</v>
      </c>
      <c r="ED172" s="12">
        <f>-SUM($H$93:ED93)</f>
        <v>1750000</v>
      </c>
      <c r="EE172" s="12">
        <f>-SUM($H$93:EE93)</f>
        <v>1750000</v>
      </c>
      <c r="EF172" s="12">
        <f>-SUM($H$93:EF93)</f>
        <v>1750000</v>
      </c>
      <c r="EG172" s="12">
        <f>-SUM($H$93:EG93)</f>
        <v>1750000</v>
      </c>
      <c r="EH172" s="12">
        <f>-SUM($H$93:EH93)</f>
        <v>1750000</v>
      </c>
      <c r="EI172" s="12">
        <f>-SUM($H$93:EI93)</f>
        <v>1750000</v>
      </c>
      <c r="EJ172" s="12">
        <f>-SUM($H$93:EJ93)</f>
        <v>1750000</v>
      </c>
      <c r="EL172" s="12">
        <f t="shared" si="315"/>
        <v>0</v>
      </c>
      <c r="EM172" s="12">
        <f t="shared" si="316"/>
        <v>875000</v>
      </c>
      <c r="EN172" s="12">
        <f t="shared" si="316"/>
        <v>1750000</v>
      </c>
      <c r="EO172" s="12">
        <f t="shared" si="316"/>
        <v>1750000</v>
      </c>
      <c r="EP172" s="12">
        <f t="shared" si="316"/>
        <v>1750000</v>
      </c>
      <c r="EQ172" s="12">
        <f t="shared" si="316"/>
        <v>1750000</v>
      </c>
      <c r="ER172" s="12">
        <f t="shared" si="316"/>
        <v>1750000</v>
      </c>
      <c r="ES172" s="12">
        <f t="shared" si="316"/>
        <v>1750000</v>
      </c>
      <c r="ET172" s="12">
        <f t="shared" si="316"/>
        <v>1750000</v>
      </c>
      <c r="EU172" s="12">
        <f t="shared" si="316"/>
        <v>1750000</v>
      </c>
      <c r="EV172" s="12">
        <f t="shared" si="316"/>
        <v>1750000</v>
      </c>
      <c r="EW172" s="12">
        <f t="shared" si="316"/>
        <v>1750000</v>
      </c>
    </row>
    <row r="173" spans="2:153" x14ac:dyDescent="0.4">
      <c r="B173" s="1" t="s">
        <v>297</v>
      </c>
      <c r="E173" s="12">
        <f t="shared" ca="1" si="313"/>
        <v>1335699.9994277903</v>
      </c>
      <c r="F173" s="12">
        <f t="shared" ca="1" si="314"/>
        <v>1335699.9994277903</v>
      </c>
      <c r="H173" s="12">
        <f ca="1">SUM($H$130:H130)+SUM($H$138:H138)-SUM($H$150:H150)</f>
        <v>1335699.9994277903</v>
      </c>
      <c r="I173" s="12">
        <f ca="1">SUM($H$130:I130)+SUM($H$138:I138)-SUM($H$150:I150)</f>
        <v>1335699.9994277903</v>
      </c>
      <c r="J173" s="12">
        <f ca="1">SUM($H$130:J130)+SUM($H$138:J138)-SUM($H$150:J150)</f>
        <v>1335699.9994277903</v>
      </c>
      <c r="K173" s="12">
        <f ca="1">SUM($H$130:K130)+SUM($H$138:K138)-SUM($H$150:K150)</f>
        <v>1335699.9994277903</v>
      </c>
      <c r="L173" s="12">
        <f ca="1">SUM($H$130:L130)+SUM($H$138:L138)-SUM($H$150:L150)</f>
        <v>1335699.9994277903</v>
      </c>
      <c r="M173" s="12">
        <f ca="1">SUM($H$130:M130)+SUM($H$138:M138)-SUM($H$150:M150)</f>
        <v>1335699.9994277903</v>
      </c>
      <c r="N173" s="12">
        <f ca="1">SUM($H$130:N130)+SUM($H$138:N138)-SUM($H$150:N150)</f>
        <v>1335699.9994277903</v>
      </c>
      <c r="O173" s="12">
        <f ca="1">SUM($H$130:O130)+SUM($H$138:O138)-SUM($H$150:O150)</f>
        <v>1335699.9994277903</v>
      </c>
      <c r="P173" s="12">
        <f ca="1">SUM($H$130:P130)+SUM($H$138:P138)-SUM($H$150:P150)</f>
        <v>1335699.9994277903</v>
      </c>
      <c r="Q173" s="12">
        <f ca="1">SUM($H$130:Q130)+SUM($H$138:Q138)-SUM($H$150:Q150)</f>
        <v>1335699.9994277903</v>
      </c>
      <c r="R173" s="12">
        <f ca="1">SUM($H$130:R130)+SUM($H$138:R138)-SUM($H$150:R150)</f>
        <v>1335699.9994277903</v>
      </c>
      <c r="S173" s="12">
        <f ca="1">SUM($H$130:S130)+SUM($H$138:S138)-SUM($H$150:S150)</f>
        <v>1335699.9994277903</v>
      </c>
      <c r="T173" s="12">
        <f ca="1">SUM($H$130:T130)+SUM($H$138:T138)-SUM($H$150:T150)</f>
        <v>1335699.9994277903</v>
      </c>
      <c r="U173" s="12">
        <f ca="1">SUM($H$130:U130)+SUM($H$138:U138)-SUM($H$150:U150)</f>
        <v>1335699.9994277903</v>
      </c>
      <c r="V173" s="12">
        <f ca="1">SUM($H$130:V130)+SUM($H$138:V138)-SUM($H$150:V150)</f>
        <v>1335699.9994277903</v>
      </c>
      <c r="W173" s="12">
        <f ca="1">SUM($H$130:W130)+SUM($H$138:W138)-SUM($H$150:W150)</f>
        <v>1335699.9994277903</v>
      </c>
      <c r="X173" s="12">
        <f ca="1">SUM($H$130:X130)+SUM($H$138:X138)-SUM($H$150:X150)</f>
        <v>1335699.9994277903</v>
      </c>
      <c r="Y173" s="12">
        <f ca="1">SUM($H$130:Y130)+SUM($H$138:Y138)-SUM($H$150:Y150)</f>
        <v>1335699.9994277903</v>
      </c>
      <c r="Z173" s="12">
        <f ca="1">SUM($H$130:Z130)+SUM($H$138:Z138)-SUM($H$150:Z150)</f>
        <v>1335699.9994277903</v>
      </c>
      <c r="AA173" s="12">
        <f ca="1">SUM($H$130:AA130)+SUM($H$138:AA138)-SUM($H$150:AA150)</f>
        <v>1335699.9994277903</v>
      </c>
      <c r="AB173" s="12">
        <f ca="1">SUM($H$130:AB130)+SUM($H$138:AB138)-SUM($H$150:AB150)</f>
        <v>1335699.9994277903</v>
      </c>
      <c r="AC173" s="12">
        <f ca="1">SUM($H$130:AC130)+SUM($H$138:AC138)-SUM($H$150:AC150)</f>
        <v>1335699.9994277903</v>
      </c>
      <c r="AD173" s="12">
        <f ca="1">SUM($H$130:AD130)+SUM($H$138:AD138)-SUM($H$150:AD150)</f>
        <v>1335699.9994277903</v>
      </c>
      <c r="AE173" s="12">
        <f ca="1">SUM($H$130:AE130)+SUM($H$138:AE138)-SUM($H$150:AE150)</f>
        <v>1335699.9994277903</v>
      </c>
      <c r="AF173" s="12">
        <f ca="1">SUM($H$130:AF130)+SUM($H$138:AF138)-SUM($H$150:AF150)</f>
        <v>1335699.9994277903</v>
      </c>
      <c r="AG173" s="12">
        <f ca="1">SUM($H$130:AG130)+SUM($H$138:AG138)-SUM($H$150:AG150)</f>
        <v>1335699.9994277903</v>
      </c>
      <c r="AH173" s="12">
        <f ca="1">SUM($H$130:AH130)+SUM($H$138:AH138)-SUM($H$150:AH150)</f>
        <v>1335699.9994277903</v>
      </c>
      <c r="AI173" s="12">
        <f ca="1">SUM($H$130:AI130)+SUM($H$138:AI138)-SUM($H$150:AI150)</f>
        <v>1335699.9994277903</v>
      </c>
      <c r="AJ173" s="12">
        <f ca="1">SUM($H$130:AJ130)+SUM($H$138:AJ138)-SUM($H$150:AJ150)</f>
        <v>1335699.9994277903</v>
      </c>
      <c r="AK173" s="12">
        <f ca="1">SUM($H$130:AK130)+SUM($H$138:AK138)-SUM($H$150:AK150)</f>
        <v>1335699.9994277903</v>
      </c>
      <c r="AL173" s="12">
        <f ca="1">SUM($H$130:AL130)+SUM($H$138:AL138)-SUM($H$150:AL150)</f>
        <v>1335699.9994277903</v>
      </c>
      <c r="AM173" s="12">
        <f ca="1">SUM($H$130:AM130)+SUM($H$138:AM138)-SUM($H$150:AM150)</f>
        <v>1335699.9994277903</v>
      </c>
      <c r="AN173" s="12">
        <f ca="1">SUM($H$130:AN130)+SUM($H$138:AN138)-SUM($H$150:AN150)</f>
        <v>1335699.9994277903</v>
      </c>
      <c r="AO173" s="12">
        <f ca="1">SUM($H$130:AO130)+SUM($H$138:AO138)-SUM($H$150:AO150)</f>
        <v>1335699.9994277903</v>
      </c>
      <c r="AP173" s="12">
        <f ca="1">SUM($H$130:AP130)+SUM($H$138:AP138)-SUM($H$150:AP150)</f>
        <v>1335699.9994277903</v>
      </c>
      <c r="AQ173" s="12">
        <f ca="1">SUM($H$130:AQ130)+SUM($H$138:AQ138)-SUM($H$150:AQ150)</f>
        <v>1335699.9994277903</v>
      </c>
      <c r="AR173" s="12">
        <f ca="1">SUM($H$130:AR130)+SUM($H$138:AR138)-SUM($H$150:AR150)</f>
        <v>1335699.9994277903</v>
      </c>
      <c r="AS173" s="12">
        <f ca="1">SUM($H$130:AS130)+SUM($H$138:AS138)-SUM($H$150:AS150)</f>
        <v>1335699.9994277903</v>
      </c>
      <c r="AT173" s="12">
        <f ca="1">SUM($H$130:AT130)+SUM($H$138:AT138)-SUM($H$150:AT150)</f>
        <v>1335699.9994277903</v>
      </c>
      <c r="AU173" s="12">
        <f ca="1">SUM($H$130:AU130)+SUM($H$138:AU138)-SUM($H$150:AU150)</f>
        <v>1335699.9994277903</v>
      </c>
      <c r="AV173" s="12">
        <f ca="1">SUM($H$130:AV130)+SUM($H$138:AV138)-SUM($H$150:AV150)</f>
        <v>1335699.9994277903</v>
      </c>
      <c r="AW173" s="12">
        <f ca="1">SUM($H$130:AW130)+SUM($H$138:AW138)-SUM($H$150:AW150)</f>
        <v>1335699.9994277903</v>
      </c>
      <c r="AX173" s="12">
        <f ca="1">SUM($H$130:AX130)+SUM($H$138:AX138)-SUM($H$150:AX150)</f>
        <v>1335699.9994277903</v>
      </c>
      <c r="AY173" s="12">
        <f ca="1">SUM($H$130:AY130)+SUM($H$138:AY138)-SUM($H$150:AY150)</f>
        <v>1335699.9994277903</v>
      </c>
      <c r="AZ173" s="12">
        <f ca="1">SUM($H$130:AZ130)+SUM($H$138:AZ138)-SUM($H$150:AZ150)</f>
        <v>1335699.9994277903</v>
      </c>
      <c r="BA173" s="12">
        <f ca="1">SUM($H$130:BA130)+SUM($H$138:BA138)-SUM($H$150:BA150)</f>
        <v>1335699.9994277903</v>
      </c>
      <c r="BB173" s="12">
        <f ca="1">SUM($H$130:BB130)+SUM($H$138:BB138)-SUM($H$150:BB150)</f>
        <v>1335699.9994277903</v>
      </c>
      <c r="BC173" s="12">
        <f ca="1">SUM($H$130:BC130)+SUM($H$138:BC138)-SUM($H$150:BC150)</f>
        <v>1335699.9994277903</v>
      </c>
      <c r="BD173" s="12">
        <f ca="1">SUM($H$130:BD130)+SUM($H$138:BD138)-SUM($H$150:BD150)</f>
        <v>1335699.9994277903</v>
      </c>
      <c r="BE173" s="12">
        <f ca="1">SUM($H$130:BE130)+SUM($H$138:BE138)-SUM($H$150:BE150)</f>
        <v>1335699.9994277903</v>
      </c>
      <c r="BF173" s="12">
        <f ca="1">SUM($H$130:BF130)+SUM($H$138:BF138)-SUM($H$150:BF150)</f>
        <v>1335699.9994277903</v>
      </c>
      <c r="BG173" s="12">
        <f ca="1">SUM($H$130:BG130)+SUM($H$138:BG138)-SUM($H$150:BG150)</f>
        <v>1335699.9994277903</v>
      </c>
      <c r="BH173" s="12">
        <f ca="1">SUM($H$130:BH130)+SUM($H$138:BH138)-SUM($H$150:BH150)</f>
        <v>1335699.9994277903</v>
      </c>
      <c r="BI173" s="12">
        <f ca="1">SUM($H$130:BI130)+SUM($H$138:BI138)-SUM($H$150:BI150)</f>
        <v>1335699.9994277903</v>
      </c>
      <c r="BJ173" s="12">
        <f ca="1">SUM($H$130:BJ130)+SUM($H$138:BJ138)-SUM($H$150:BJ150)</f>
        <v>1335699.9994277903</v>
      </c>
      <c r="BK173" s="12">
        <f ca="1">SUM($H$130:BK130)+SUM($H$138:BK138)-SUM($H$150:BK150)</f>
        <v>1335699.9994277903</v>
      </c>
      <c r="BL173" s="12">
        <f ca="1">SUM($H$130:BL130)+SUM($H$138:BL138)-SUM($H$150:BL150)</f>
        <v>1335699.9994277903</v>
      </c>
      <c r="BM173" s="12">
        <f ca="1">SUM($H$130:BM130)+SUM($H$138:BM138)-SUM($H$150:BM150)</f>
        <v>1335699.9994277903</v>
      </c>
      <c r="BN173" s="12">
        <f ca="1">SUM($H$130:BN130)+SUM($H$138:BN138)-SUM($H$150:BN150)</f>
        <v>1335699.9994277903</v>
      </c>
      <c r="BO173" s="12">
        <f ca="1">SUM($H$130:BO130)+SUM($H$138:BO138)-SUM($H$150:BO150)</f>
        <v>1335699.9994277903</v>
      </c>
      <c r="BP173" s="12">
        <f ca="1">SUM($H$130:BP130)+SUM($H$138:BP138)-SUM($H$150:BP150)</f>
        <v>1335699.9994277903</v>
      </c>
      <c r="BQ173" s="12">
        <f ca="1">SUM($H$130:BQ130)+SUM($H$138:BQ138)-SUM($H$150:BQ150)</f>
        <v>1335699.9994277903</v>
      </c>
      <c r="BR173" s="12">
        <f ca="1">SUM($H$130:BR130)+SUM($H$138:BR138)-SUM($H$150:BR150)</f>
        <v>1335699.9994277903</v>
      </c>
      <c r="BS173" s="12">
        <f ca="1">SUM($H$130:BS130)+SUM($H$138:BS138)-SUM($H$150:BS150)</f>
        <v>1335699.9994277903</v>
      </c>
      <c r="BT173" s="12">
        <f ca="1">SUM($H$130:BT130)+SUM($H$138:BT138)-SUM($H$150:BT150)</f>
        <v>1335699.9994277903</v>
      </c>
      <c r="BU173" s="12">
        <f ca="1">SUM($H$130:BU130)+SUM($H$138:BU138)-SUM($H$150:BU150)</f>
        <v>1335699.9994277903</v>
      </c>
      <c r="BV173" s="12">
        <f ca="1">SUM($H$130:BV130)+SUM($H$138:BV138)-SUM($H$150:BV150)</f>
        <v>1335699.9994277903</v>
      </c>
      <c r="BW173" s="12">
        <f ca="1">SUM($H$130:BW130)+SUM($H$138:BW138)-SUM($H$150:BW150)</f>
        <v>1335699.9994277903</v>
      </c>
      <c r="BX173" s="12">
        <f ca="1">SUM($H$130:BX130)+SUM($H$138:BX138)-SUM($H$150:BX150)</f>
        <v>1335699.9994277903</v>
      </c>
      <c r="BY173" s="12">
        <f ca="1">SUM($H$130:BY130)+SUM($H$138:BY138)-SUM($H$150:BY150)</f>
        <v>1335699.9994277903</v>
      </c>
      <c r="BZ173" s="12">
        <f ca="1">SUM($H$130:BZ130)+SUM($H$138:BZ138)-SUM($H$150:BZ150)</f>
        <v>1335699.9994277903</v>
      </c>
      <c r="CA173" s="12">
        <f ca="1">SUM($H$130:CA130)+SUM($H$138:CA138)-SUM($H$150:CA150)</f>
        <v>1335699.9994277903</v>
      </c>
      <c r="CB173" s="12">
        <f ca="1">SUM($H$130:CB130)+SUM($H$138:CB138)-SUM($H$150:CB150)</f>
        <v>1335699.9994277903</v>
      </c>
      <c r="CC173" s="12">
        <f ca="1">SUM($H$130:CC130)+SUM($H$138:CC138)-SUM($H$150:CC150)</f>
        <v>1335699.9994277903</v>
      </c>
      <c r="CD173" s="12">
        <f ca="1">SUM($H$130:CD130)+SUM($H$138:CD138)-SUM($H$150:CD150)</f>
        <v>1335699.9994277903</v>
      </c>
      <c r="CE173" s="12">
        <f ca="1">SUM($H$130:CE130)+SUM($H$138:CE138)-SUM($H$150:CE150)</f>
        <v>1335699.9994277903</v>
      </c>
      <c r="CF173" s="12">
        <f ca="1">SUM($H$130:CF130)+SUM($H$138:CF138)-SUM($H$150:CF150)</f>
        <v>1335699.9994277903</v>
      </c>
      <c r="CG173" s="12">
        <f ca="1">SUM($H$130:CG130)+SUM($H$138:CG138)-SUM($H$150:CG150)</f>
        <v>1335699.9994277903</v>
      </c>
      <c r="CH173" s="12">
        <f ca="1">SUM($H$130:CH130)+SUM($H$138:CH138)-SUM($H$150:CH150)</f>
        <v>1335699.9994277903</v>
      </c>
      <c r="CI173" s="12">
        <f ca="1">SUM($H$130:CI130)+SUM($H$138:CI138)-SUM($H$150:CI150)</f>
        <v>1335699.9994277903</v>
      </c>
      <c r="CJ173" s="12">
        <f ca="1">SUM($H$130:CJ130)+SUM($H$138:CJ138)-SUM($H$150:CJ150)</f>
        <v>1335699.9994277903</v>
      </c>
      <c r="CK173" s="12">
        <f ca="1">SUM($H$130:CK130)+SUM($H$138:CK138)-SUM($H$150:CK150)</f>
        <v>1335699.9994277903</v>
      </c>
      <c r="CL173" s="12">
        <f ca="1">SUM($H$130:CL130)+SUM($H$138:CL138)-SUM($H$150:CL150)</f>
        <v>1335699.9994277903</v>
      </c>
      <c r="CM173" s="12">
        <f ca="1">SUM($H$130:CM130)+SUM($H$138:CM138)-SUM($H$150:CM150)</f>
        <v>1335699.9994277903</v>
      </c>
      <c r="CN173" s="12">
        <f ca="1">SUM($H$130:CN130)+SUM($H$138:CN138)-SUM($H$150:CN150)</f>
        <v>1335699.9994277903</v>
      </c>
      <c r="CO173" s="12">
        <f ca="1">SUM($H$130:CO130)+SUM($H$138:CO138)-SUM($H$150:CO150)</f>
        <v>1335699.9994277903</v>
      </c>
      <c r="CP173" s="12">
        <f ca="1">SUM($H$130:CP130)+SUM($H$138:CP138)-SUM($H$150:CP150)</f>
        <v>1335699.9994277903</v>
      </c>
      <c r="CQ173" s="12">
        <f ca="1">SUM($H$130:CQ130)+SUM($H$138:CQ138)-SUM($H$150:CQ150)</f>
        <v>1335699.9994277903</v>
      </c>
      <c r="CR173" s="12">
        <f ca="1">SUM($H$130:CR130)+SUM($H$138:CR138)-SUM($H$150:CR150)</f>
        <v>1335699.9994277903</v>
      </c>
      <c r="CS173" s="12">
        <f ca="1">SUM($H$130:CS130)+SUM($H$138:CS138)-SUM($H$150:CS150)</f>
        <v>1335699.9994277903</v>
      </c>
      <c r="CT173" s="12">
        <f ca="1">SUM($H$130:CT130)+SUM($H$138:CT138)-SUM($H$150:CT150)</f>
        <v>1335699.9994277903</v>
      </c>
      <c r="CU173" s="12">
        <f ca="1">SUM($H$130:CU130)+SUM($H$138:CU138)-SUM($H$150:CU150)</f>
        <v>1335699.9994277903</v>
      </c>
      <c r="CV173" s="12">
        <f ca="1">SUM($H$130:CV130)+SUM($H$138:CV138)-SUM($H$150:CV150)</f>
        <v>1335699.9994277903</v>
      </c>
      <c r="CW173" s="12">
        <f ca="1">SUM($H$130:CW130)+SUM($H$138:CW138)-SUM($H$150:CW150)</f>
        <v>1335699.9994277903</v>
      </c>
      <c r="CX173" s="12">
        <f ca="1">SUM($H$130:CX130)+SUM($H$138:CX138)-SUM($H$150:CX150)</f>
        <v>1335699.9994277903</v>
      </c>
      <c r="CY173" s="12">
        <f ca="1">SUM($H$130:CY130)+SUM($H$138:CY138)-SUM($H$150:CY150)</f>
        <v>1335699.9994277903</v>
      </c>
      <c r="CZ173" s="12">
        <f ca="1">SUM($H$130:CZ130)+SUM($H$138:CZ138)-SUM($H$150:CZ150)</f>
        <v>1335699.9994277903</v>
      </c>
      <c r="DA173" s="12">
        <f ca="1">SUM($H$130:DA130)+SUM($H$138:DA138)-SUM($H$150:DA150)</f>
        <v>1335699.9994277903</v>
      </c>
      <c r="DB173" s="12">
        <f ca="1">SUM($H$130:DB130)+SUM($H$138:DB138)-SUM($H$150:DB150)</f>
        <v>1335699.9994277903</v>
      </c>
      <c r="DC173" s="12">
        <f ca="1">SUM($H$130:DC130)+SUM($H$138:DC138)-SUM($H$150:DC150)</f>
        <v>1335699.9994277903</v>
      </c>
      <c r="DD173" s="12">
        <f ca="1">SUM($H$130:DD130)+SUM($H$138:DD138)-SUM($H$150:DD150)</f>
        <v>1335699.9994277903</v>
      </c>
      <c r="DE173" s="12">
        <f ca="1">SUM($H$130:DE130)+SUM($H$138:DE138)-SUM($H$150:DE150)</f>
        <v>1335699.9994277903</v>
      </c>
      <c r="DF173" s="12">
        <f ca="1">SUM($H$130:DF130)+SUM($H$138:DF138)-SUM($H$150:DF150)</f>
        <v>1335699.9994277903</v>
      </c>
      <c r="DG173" s="12">
        <f ca="1">SUM($H$130:DG130)+SUM($H$138:DG138)-SUM($H$150:DG150)</f>
        <v>1335699.9994277903</v>
      </c>
      <c r="DH173" s="12">
        <f ca="1">SUM($H$130:DH130)+SUM($H$138:DH138)-SUM($H$150:DH150)</f>
        <v>1335699.9994277903</v>
      </c>
      <c r="DI173" s="12">
        <f ca="1">SUM($H$130:DI130)+SUM($H$138:DI138)-SUM($H$150:DI150)</f>
        <v>1335699.9994277903</v>
      </c>
      <c r="DJ173" s="12">
        <f ca="1">SUM($H$130:DJ130)+SUM($H$138:DJ138)-SUM($H$150:DJ150)</f>
        <v>1335699.9994277903</v>
      </c>
      <c r="DK173" s="12">
        <f ca="1">SUM($H$130:DK130)+SUM($H$138:DK138)-SUM($H$150:DK150)</f>
        <v>1335699.9994277903</v>
      </c>
      <c r="DL173" s="12">
        <f ca="1">SUM($H$130:DL130)+SUM($H$138:DL138)-SUM($H$150:DL150)</f>
        <v>1335699.9994277903</v>
      </c>
      <c r="DM173" s="12">
        <f ca="1">SUM($H$130:DM130)+SUM($H$138:DM138)-SUM($H$150:DM150)</f>
        <v>1335699.9994277903</v>
      </c>
      <c r="DN173" s="12">
        <f ca="1">SUM($H$130:DN130)+SUM($H$138:DN138)-SUM($H$150:DN150)</f>
        <v>1335699.9994277903</v>
      </c>
      <c r="DO173" s="12">
        <f ca="1">SUM($H$130:DO130)+SUM($H$138:DO138)-SUM($H$150:DO150)</f>
        <v>1335699.9994277903</v>
      </c>
      <c r="DP173" s="12">
        <f ca="1">SUM($H$130:DP130)+SUM($H$138:DP138)-SUM($H$150:DP150)</f>
        <v>1335699.9994277903</v>
      </c>
      <c r="DQ173" s="12">
        <f ca="1">SUM($H$130:DQ130)+SUM($H$138:DQ138)-SUM($H$150:DQ150)</f>
        <v>1335699.9994277903</v>
      </c>
      <c r="DR173" s="12">
        <f ca="1">SUM($H$130:DR130)+SUM($H$138:DR138)-SUM($H$150:DR150)</f>
        <v>1335699.9994277903</v>
      </c>
      <c r="DS173" s="12">
        <f ca="1">SUM($H$130:DS130)+SUM($H$138:DS138)-SUM($H$150:DS150)</f>
        <v>1335699.9994277903</v>
      </c>
      <c r="DT173" s="12">
        <f ca="1">SUM($H$130:DT130)+SUM($H$138:DT138)-SUM($H$150:DT150)</f>
        <v>1335699.9994277903</v>
      </c>
      <c r="DU173" s="12">
        <f ca="1">SUM($H$130:DU130)+SUM($H$138:DU138)-SUM($H$150:DU150)</f>
        <v>1335699.9994277903</v>
      </c>
      <c r="DV173" s="12">
        <f ca="1">SUM($H$130:DV130)+SUM($H$138:DV138)-SUM($H$150:DV150)</f>
        <v>1335699.9994277903</v>
      </c>
      <c r="DW173" s="12">
        <f ca="1">SUM($H$130:DW130)+SUM($H$138:DW138)-SUM($H$150:DW150)</f>
        <v>1335699.9994277903</v>
      </c>
      <c r="DX173" s="12">
        <f ca="1">SUM($H$130:DX130)+SUM($H$138:DX138)-SUM($H$150:DX150)</f>
        <v>1335699.9994277903</v>
      </c>
      <c r="DY173" s="12">
        <f ca="1">SUM($H$130:DY130)+SUM($H$138:DY138)-SUM($H$150:DY150)</f>
        <v>1335699.9994277903</v>
      </c>
      <c r="DZ173" s="12">
        <f ca="1">SUM($H$130:DZ130)+SUM($H$138:DZ138)-SUM($H$150:DZ150)</f>
        <v>1335699.9994277903</v>
      </c>
      <c r="EA173" s="12">
        <f ca="1">SUM($H$130:EA130)+SUM($H$138:EA138)-SUM($H$150:EA150)</f>
        <v>1335699.9994277903</v>
      </c>
      <c r="EB173" s="12">
        <f ca="1">SUM($H$130:EB130)+SUM($H$138:EB138)-SUM($H$150:EB150)</f>
        <v>1335699.9994277903</v>
      </c>
      <c r="EC173" s="12">
        <f ca="1">SUM($H$130:EC130)+SUM($H$138:EC138)-SUM($H$150:EC150)</f>
        <v>1335699.9994277903</v>
      </c>
      <c r="ED173" s="12">
        <f ca="1">SUM($H$130:ED130)+SUM($H$138:ED138)-SUM($H$150:ED150)</f>
        <v>1335699.9994277903</v>
      </c>
      <c r="EE173" s="12">
        <f ca="1">SUM($H$130:EE130)+SUM($H$138:EE138)-SUM($H$150:EE150)</f>
        <v>1335699.9994277903</v>
      </c>
      <c r="EF173" s="12">
        <f ca="1">SUM($H$130:EF130)+SUM($H$138:EF138)-SUM($H$150:EF150)</f>
        <v>1335699.9994277903</v>
      </c>
      <c r="EG173" s="12">
        <f ca="1">SUM($H$130:EG130)+SUM($H$138:EG138)-SUM($H$150:EG150)</f>
        <v>1335699.9994277903</v>
      </c>
      <c r="EH173" s="12">
        <f ca="1">SUM($H$130:EH130)+SUM($H$138:EH138)-SUM($H$150:EH150)</f>
        <v>1335699.9994277903</v>
      </c>
      <c r="EI173" s="12">
        <f ca="1">SUM($H$130:EI130)+SUM($H$138:EI138)-SUM($H$150:EI150)</f>
        <v>1335699.9994277903</v>
      </c>
      <c r="EJ173" s="12">
        <f ca="1">SUM($H$130:EJ130)+SUM($H$138:EJ138)-SUM($H$150:EJ150)</f>
        <v>1335699.9994277903</v>
      </c>
      <c r="EL173" s="12">
        <f t="shared" ca="1" si="315"/>
        <v>1335699.9994277903</v>
      </c>
      <c r="EM173" s="12">
        <f t="shared" ca="1" si="316"/>
        <v>1335699.9994277903</v>
      </c>
      <c r="EN173" s="12">
        <f t="shared" ca="1" si="316"/>
        <v>1335699.9994277903</v>
      </c>
      <c r="EO173" s="12">
        <f t="shared" ca="1" si="316"/>
        <v>1335699.9994277903</v>
      </c>
      <c r="EP173" s="12">
        <f t="shared" ca="1" si="316"/>
        <v>1335699.9994277903</v>
      </c>
      <c r="EQ173" s="12">
        <f t="shared" ca="1" si="316"/>
        <v>1335699.9994277903</v>
      </c>
      <c r="ER173" s="12">
        <f t="shared" ca="1" si="316"/>
        <v>1335699.9994277903</v>
      </c>
      <c r="ES173" s="12">
        <f t="shared" ca="1" si="316"/>
        <v>1335699.9994277903</v>
      </c>
      <c r="ET173" s="12">
        <f t="shared" ca="1" si="316"/>
        <v>1335699.9994277903</v>
      </c>
      <c r="EU173" s="12">
        <f t="shared" ca="1" si="316"/>
        <v>1335699.9994277903</v>
      </c>
      <c r="EV173" s="12">
        <f t="shared" ca="1" si="316"/>
        <v>1335699.9994277903</v>
      </c>
      <c r="EW173" s="12">
        <f t="shared" ca="1" si="316"/>
        <v>1335699.9994277903</v>
      </c>
    </row>
    <row r="174" spans="2:153" x14ac:dyDescent="0.4">
      <c r="B174" s="1" t="s">
        <v>58</v>
      </c>
      <c r="E174" s="12">
        <f t="shared" si="313"/>
        <v>0</v>
      </c>
      <c r="F174" s="12">
        <f t="shared" si="314"/>
        <v>75000</v>
      </c>
      <c r="H174" s="12">
        <f>-SUM($H$86:H86)</f>
        <v>0</v>
      </c>
      <c r="I174" s="12">
        <f>-SUM($H$86:I86)</f>
        <v>0</v>
      </c>
      <c r="J174" s="12">
        <f>-SUM($H$86:J86)</f>
        <v>0</v>
      </c>
      <c r="K174" s="12">
        <f>-SUM($H$86:K86)</f>
        <v>0</v>
      </c>
      <c r="L174" s="12">
        <f>-SUM($H$86:L86)</f>
        <v>0</v>
      </c>
      <c r="M174" s="12">
        <f>-SUM($H$86:M86)</f>
        <v>0</v>
      </c>
      <c r="N174" s="12">
        <f>-SUM($H$86:N86)</f>
        <v>0</v>
      </c>
      <c r="O174" s="12">
        <f>-SUM($H$86:O86)</f>
        <v>0</v>
      </c>
      <c r="P174" s="12">
        <f>-SUM($H$86:P86)</f>
        <v>0</v>
      </c>
      <c r="Q174" s="12">
        <f>-SUM($H$86:Q86)</f>
        <v>0</v>
      </c>
      <c r="R174" s="12">
        <f>-SUM($H$86:R86)</f>
        <v>0</v>
      </c>
      <c r="S174" s="12">
        <f>-SUM($H$86:S86)</f>
        <v>0</v>
      </c>
      <c r="T174" s="12">
        <f>-SUM($H$86:T86)</f>
        <v>0</v>
      </c>
      <c r="U174" s="12">
        <f>-SUM($H$86:U86)</f>
        <v>0</v>
      </c>
      <c r="V174" s="12">
        <f>-SUM($H$86:V86)</f>
        <v>0</v>
      </c>
      <c r="W174" s="12">
        <f>-SUM($H$86:W86)</f>
        <v>0</v>
      </c>
      <c r="X174" s="12">
        <f>-SUM($H$86:X86)</f>
        <v>0</v>
      </c>
      <c r="Y174" s="12">
        <f>-SUM($H$86:Y86)</f>
        <v>3750</v>
      </c>
      <c r="Z174" s="12">
        <f>-SUM($H$86:Z86)</f>
        <v>7500</v>
      </c>
      <c r="AA174" s="12">
        <f>-SUM($H$86:AA86)</f>
        <v>11250</v>
      </c>
      <c r="AB174" s="12">
        <f>-SUM($H$86:AB86)</f>
        <v>15000</v>
      </c>
      <c r="AC174" s="12">
        <f>-SUM($H$86:AC86)</f>
        <v>18750</v>
      </c>
      <c r="AD174" s="12">
        <f>-SUM($H$86:AD86)</f>
        <v>22500</v>
      </c>
      <c r="AE174" s="12">
        <f>-SUM($H$86:AE86)</f>
        <v>26250</v>
      </c>
      <c r="AF174" s="12">
        <f>-SUM($H$86:AF86)</f>
        <v>30000</v>
      </c>
      <c r="AG174" s="12">
        <f>-SUM($H$86:AG86)</f>
        <v>33750</v>
      </c>
      <c r="AH174" s="12">
        <f>-SUM($H$86:AH86)</f>
        <v>37500</v>
      </c>
      <c r="AI174" s="12">
        <f>-SUM($H$86:AI86)</f>
        <v>41250</v>
      </c>
      <c r="AJ174" s="12">
        <f>-SUM($H$86:AJ86)</f>
        <v>45000</v>
      </c>
      <c r="AK174" s="12">
        <f>-SUM($H$86:AK86)</f>
        <v>48750</v>
      </c>
      <c r="AL174" s="12">
        <f>-SUM($H$86:AL86)</f>
        <v>52500</v>
      </c>
      <c r="AM174" s="12">
        <f>-SUM($H$86:AM86)</f>
        <v>56250</v>
      </c>
      <c r="AN174" s="12">
        <f>-SUM($H$86:AN86)</f>
        <v>60000</v>
      </c>
      <c r="AO174" s="12">
        <f>-SUM($H$86:AO86)</f>
        <v>63750</v>
      </c>
      <c r="AP174" s="12">
        <f>-SUM($H$86:AP86)</f>
        <v>67500</v>
      </c>
      <c r="AQ174" s="12">
        <f>-SUM($H$86:AQ86)</f>
        <v>71250</v>
      </c>
      <c r="AR174" s="12">
        <f>-SUM($H$86:AR86)</f>
        <v>75000</v>
      </c>
      <c r="AS174" s="12">
        <f>-SUM($H$86:AS86)</f>
        <v>75000</v>
      </c>
      <c r="AT174" s="12">
        <f>-SUM($H$86:AT86)</f>
        <v>75000</v>
      </c>
      <c r="AU174" s="12">
        <f>-SUM($H$86:AU86)</f>
        <v>75000</v>
      </c>
      <c r="AV174" s="12">
        <f>-SUM($H$86:AV86)</f>
        <v>75000</v>
      </c>
      <c r="AW174" s="12">
        <f>-SUM($H$86:AW86)</f>
        <v>75000</v>
      </c>
      <c r="AX174" s="12">
        <f>-SUM($H$86:AX86)</f>
        <v>75000</v>
      </c>
      <c r="AY174" s="12">
        <f>-SUM($H$86:AY86)</f>
        <v>75000</v>
      </c>
      <c r="AZ174" s="12">
        <f>-SUM($H$86:AZ86)</f>
        <v>75000</v>
      </c>
      <c r="BA174" s="12">
        <f>-SUM($H$86:BA86)</f>
        <v>75000</v>
      </c>
      <c r="BB174" s="12">
        <f>-SUM($H$86:BB86)</f>
        <v>75000</v>
      </c>
      <c r="BC174" s="12">
        <f>-SUM($H$86:BC86)</f>
        <v>75000</v>
      </c>
      <c r="BD174" s="12">
        <f>-SUM($H$86:BD86)</f>
        <v>75000</v>
      </c>
      <c r="BE174" s="12">
        <f>-SUM($H$86:BE86)</f>
        <v>75000</v>
      </c>
      <c r="BF174" s="12">
        <f>-SUM($H$86:BF86)</f>
        <v>75000</v>
      </c>
      <c r="BG174" s="12">
        <f>-SUM($H$86:BG86)</f>
        <v>75000</v>
      </c>
      <c r="BH174" s="12">
        <f>-SUM($H$86:BH86)</f>
        <v>75000</v>
      </c>
      <c r="BI174" s="12">
        <f>-SUM($H$86:BI86)</f>
        <v>75000</v>
      </c>
      <c r="BJ174" s="12">
        <f>-SUM($H$86:BJ86)</f>
        <v>75000</v>
      </c>
      <c r="BK174" s="12">
        <f>-SUM($H$86:BK86)</f>
        <v>75000</v>
      </c>
      <c r="BL174" s="12">
        <f>-SUM($H$86:BL86)</f>
        <v>75000</v>
      </c>
      <c r="BM174" s="12">
        <f>-SUM($H$86:BM86)</f>
        <v>75000</v>
      </c>
      <c r="BN174" s="12">
        <f>-SUM($H$86:BN86)</f>
        <v>75000</v>
      </c>
      <c r="BO174" s="12">
        <f>-SUM($H$86:BO86)</f>
        <v>75000</v>
      </c>
      <c r="BP174" s="12">
        <f>-SUM($H$86:BP86)</f>
        <v>75000</v>
      </c>
      <c r="BQ174" s="12">
        <f>-SUM($H$86:BQ86)</f>
        <v>75000</v>
      </c>
      <c r="BR174" s="12">
        <f>-SUM($H$86:BR86)</f>
        <v>75000</v>
      </c>
      <c r="BS174" s="12">
        <f>-SUM($H$86:BS86)</f>
        <v>75000</v>
      </c>
      <c r="BT174" s="12">
        <f>-SUM($H$86:BT86)</f>
        <v>75000</v>
      </c>
      <c r="BU174" s="12">
        <f>-SUM($H$86:BU86)</f>
        <v>75000</v>
      </c>
      <c r="BV174" s="12">
        <f>-SUM($H$86:BV86)</f>
        <v>75000</v>
      </c>
      <c r="BW174" s="12">
        <f>-SUM($H$86:BW86)</f>
        <v>75000</v>
      </c>
      <c r="BX174" s="12">
        <f>-SUM($H$86:BX86)</f>
        <v>75000</v>
      </c>
      <c r="BY174" s="12">
        <f>-SUM($H$86:BY86)</f>
        <v>75000</v>
      </c>
      <c r="BZ174" s="12">
        <f>-SUM($H$86:BZ86)</f>
        <v>75000</v>
      </c>
      <c r="CA174" s="12">
        <f>-SUM($H$86:CA86)</f>
        <v>75000</v>
      </c>
      <c r="CB174" s="12">
        <f>-SUM($H$86:CB86)</f>
        <v>75000</v>
      </c>
      <c r="CC174" s="12">
        <f>-SUM($H$86:CC86)</f>
        <v>75000</v>
      </c>
      <c r="CD174" s="12">
        <f>-SUM($H$86:CD86)</f>
        <v>75000</v>
      </c>
      <c r="CE174" s="12">
        <f>-SUM($H$86:CE86)</f>
        <v>75000</v>
      </c>
      <c r="CF174" s="12">
        <f>-SUM($H$86:CF86)</f>
        <v>75000</v>
      </c>
      <c r="CG174" s="12">
        <f>-SUM($H$86:CG86)</f>
        <v>75000</v>
      </c>
      <c r="CH174" s="12">
        <f>-SUM($H$86:CH86)</f>
        <v>75000</v>
      </c>
      <c r="CI174" s="12">
        <f>-SUM($H$86:CI86)</f>
        <v>75000</v>
      </c>
      <c r="CJ174" s="12">
        <f>-SUM($H$86:CJ86)</f>
        <v>75000</v>
      </c>
      <c r="CK174" s="12">
        <f>-SUM($H$86:CK86)</f>
        <v>75000</v>
      </c>
      <c r="CL174" s="12">
        <f>-SUM($H$86:CL86)</f>
        <v>75000</v>
      </c>
      <c r="CM174" s="12">
        <f>-SUM($H$86:CM86)</f>
        <v>75000</v>
      </c>
      <c r="CN174" s="12">
        <f>-SUM($H$86:CN86)</f>
        <v>75000</v>
      </c>
      <c r="CO174" s="12">
        <f>-SUM($H$86:CO86)</f>
        <v>75000</v>
      </c>
      <c r="CP174" s="12">
        <f>-SUM($H$86:CP86)</f>
        <v>75000</v>
      </c>
      <c r="CQ174" s="12">
        <f>-SUM($H$86:CQ86)</f>
        <v>75000</v>
      </c>
      <c r="CR174" s="12">
        <f>-SUM($H$86:CR86)</f>
        <v>75000</v>
      </c>
      <c r="CS174" s="12">
        <f>-SUM($H$86:CS86)</f>
        <v>75000</v>
      </c>
      <c r="CT174" s="12">
        <f>-SUM($H$86:CT86)</f>
        <v>75000</v>
      </c>
      <c r="CU174" s="12">
        <f>-SUM($H$86:CU86)</f>
        <v>75000</v>
      </c>
      <c r="CV174" s="12">
        <f>-SUM($H$86:CV86)</f>
        <v>75000</v>
      </c>
      <c r="CW174" s="12">
        <f>-SUM($H$86:CW86)</f>
        <v>75000</v>
      </c>
      <c r="CX174" s="12">
        <f>-SUM($H$86:CX86)</f>
        <v>75000</v>
      </c>
      <c r="CY174" s="12">
        <f>-SUM($H$86:CY86)</f>
        <v>75000</v>
      </c>
      <c r="CZ174" s="12">
        <f>-SUM($H$86:CZ86)</f>
        <v>75000</v>
      </c>
      <c r="DA174" s="12">
        <f>-SUM($H$86:DA86)</f>
        <v>75000</v>
      </c>
      <c r="DB174" s="12">
        <f>-SUM($H$86:DB86)</f>
        <v>75000</v>
      </c>
      <c r="DC174" s="12">
        <f>-SUM($H$86:DC86)</f>
        <v>75000</v>
      </c>
      <c r="DD174" s="12">
        <f>-SUM($H$86:DD86)</f>
        <v>75000</v>
      </c>
      <c r="DE174" s="12">
        <f>-SUM($H$86:DE86)</f>
        <v>75000</v>
      </c>
      <c r="DF174" s="12">
        <f>-SUM($H$86:DF86)</f>
        <v>75000</v>
      </c>
      <c r="DG174" s="12">
        <f>-SUM($H$86:DG86)</f>
        <v>75000</v>
      </c>
      <c r="DH174" s="12">
        <f>-SUM($H$86:DH86)</f>
        <v>75000</v>
      </c>
      <c r="DI174" s="12">
        <f>-SUM($H$86:DI86)</f>
        <v>75000</v>
      </c>
      <c r="DJ174" s="12">
        <f>-SUM($H$86:DJ86)</f>
        <v>75000</v>
      </c>
      <c r="DK174" s="12">
        <f>-SUM($H$86:DK86)</f>
        <v>75000</v>
      </c>
      <c r="DL174" s="12">
        <f>-SUM($H$86:DL86)</f>
        <v>75000</v>
      </c>
      <c r="DM174" s="12">
        <f>-SUM($H$86:DM86)</f>
        <v>75000</v>
      </c>
      <c r="DN174" s="12">
        <f>-SUM($H$86:DN86)</f>
        <v>75000</v>
      </c>
      <c r="DO174" s="12">
        <f>-SUM($H$86:DO86)</f>
        <v>75000</v>
      </c>
      <c r="DP174" s="12">
        <f>-SUM($H$86:DP86)</f>
        <v>75000</v>
      </c>
      <c r="DQ174" s="12">
        <f>-SUM($H$86:DQ86)</f>
        <v>75000</v>
      </c>
      <c r="DR174" s="12">
        <f>-SUM($H$86:DR86)</f>
        <v>75000</v>
      </c>
      <c r="DS174" s="12">
        <f>-SUM($H$86:DS86)</f>
        <v>75000</v>
      </c>
      <c r="DT174" s="12">
        <f>-SUM($H$86:DT86)</f>
        <v>75000</v>
      </c>
      <c r="DU174" s="12">
        <f>-SUM($H$86:DU86)</f>
        <v>75000</v>
      </c>
      <c r="DV174" s="12">
        <f>-SUM($H$86:DV86)</f>
        <v>75000</v>
      </c>
      <c r="DW174" s="12">
        <f>-SUM($H$86:DW86)</f>
        <v>75000</v>
      </c>
      <c r="DX174" s="12">
        <f>-SUM($H$86:DX86)</f>
        <v>75000</v>
      </c>
      <c r="DY174" s="12">
        <f>-SUM($H$86:DY86)</f>
        <v>75000</v>
      </c>
      <c r="DZ174" s="12">
        <f>-SUM($H$86:DZ86)</f>
        <v>75000</v>
      </c>
      <c r="EA174" s="12">
        <f>-SUM($H$86:EA86)</f>
        <v>75000</v>
      </c>
      <c r="EB174" s="12">
        <f>-SUM($H$86:EB86)</f>
        <v>75000</v>
      </c>
      <c r="EC174" s="12">
        <f>-SUM($H$86:EC86)</f>
        <v>75000</v>
      </c>
      <c r="ED174" s="12">
        <f>-SUM($H$86:ED86)</f>
        <v>75000</v>
      </c>
      <c r="EE174" s="12">
        <f>-SUM($H$86:EE86)</f>
        <v>75000</v>
      </c>
      <c r="EF174" s="12">
        <f>-SUM($H$86:EF86)</f>
        <v>75000</v>
      </c>
      <c r="EG174" s="12">
        <f>-SUM($H$86:EG86)</f>
        <v>75000</v>
      </c>
      <c r="EH174" s="12">
        <f>-SUM($H$86:EH86)</f>
        <v>75000</v>
      </c>
      <c r="EI174" s="12">
        <f>-SUM($H$86:EI86)</f>
        <v>75000</v>
      </c>
      <c r="EJ174" s="12">
        <f>-SUM($H$86:EJ86)</f>
        <v>75000</v>
      </c>
      <c r="EL174" s="12">
        <f t="shared" si="315"/>
        <v>0</v>
      </c>
      <c r="EM174" s="12">
        <f t="shared" si="316"/>
        <v>0</v>
      </c>
      <c r="EN174" s="12">
        <f t="shared" si="316"/>
        <v>30000</v>
      </c>
      <c r="EO174" s="12">
        <f t="shared" si="316"/>
        <v>75000</v>
      </c>
      <c r="EP174" s="12">
        <f t="shared" si="316"/>
        <v>75000</v>
      </c>
      <c r="EQ174" s="12">
        <f t="shared" si="316"/>
        <v>75000</v>
      </c>
      <c r="ER174" s="12">
        <f t="shared" si="316"/>
        <v>75000</v>
      </c>
      <c r="ES174" s="12">
        <f t="shared" si="316"/>
        <v>75000</v>
      </c>
      <c r="ET174" s="12">
        <f t="shared" si="316"/>
        <v>75000</v>
      </c>
      <c r="EU174" s="12">
        <f t="shared" si="316"/>
        <v>75000</v>
      </c>
      <c r="EV174" s="12">
        <f t="shared" si="316"/>
        <v>75000</v>
      </c>
      <c r="EW174" s="12">
        <f t="shared" si="316"/>
        <v>75000</v>
      </c>
    </row>
    <row r="175" spans="2:153" x14ac:dyDescent="0.4">
      <c r="B175" s="10" t="s">
        <v>152</v>
      </c>
      <c r="E175" s="117">
        <f ca="1">SUM(E169:E174)</f>
        <v>7035699.9994277898</v>
      </c>
      <c r="F175" s="117">
        <f ca="1">SUM(F169:F174)</f>
        <v>58820699.999427788</v>
      </c>
      <c r="H175" s="117">
        <f t="shared" ref="H175:AM175" ca="1" si="317">SUM(H169:H174)</f>
        <v>7035699.9994277898</v>
      </c>
      <c r="I175" s="117">
        <f t="shared" ca="1" si="317"/>
        <v>7035699.9994277898</v>
      </c>
      <c r="J175" s="117">
        <f t="shared" ca="1" si="317"/>
        <v>7035699.9994277898</v>
      </c>
      <c r="K175" s="117">
        <f t="shared" ca="1" si="317"/>
        <v>7396199.9994277898</v>
      </c>
      <c r="L175" s="117">
        <f t="shared" ca="1" si="317"/>
        <v>7756699.9994277898</v>
      </c>
      <c r="M175" s="117">
        <f t="shared" ca="1" si="317"/>
        <v>8117199.9994277898</v>
      </c>
      <c r="N175" s="117">
        <f t="shared" ca="1" si="317"/>
        <v>8477699.9994277898</v>
      </c>
      <c r="O175" s="117">
        <f t="shared" ca="1" si="317"/>
        <v>11619449.99942779</v>
      </c>
      <c r="P175" s="117">
        <f t="shared" ca="1" si="317"/>
        <v>14761199.99942779</v>
      </c>
      <c r="Q175" s="117">
        <f t="shared" ca="1" si="317"/>
        <v>17902949.999427792</v>
      </c>
      <c r="R175" s="117">
        <f t="shared" ca="1" si="317"/>
        <v>21044699.999427792</v>
      </c>
      <c r="S175" s="117">
        <f t="shared" ca="1" si="317"/>
        <v>24186449.999427792</v>
      </c>
      <c r="T175" s="117">
        <f t="shared" ca="1" si="317"/>
        <v>27328199.999427792</v>
      </c>
      <c r="U175" s="117">
        <f t="shared" ca="1" si="317"/>
        <v>30469949.999427792</v>
      </c>
      <c r="V175" s="117">
        <f t="shared" ca="1" si="317"/>
        <v>33611699.999427788</v>
      </c>
      <c r="W175" s="117">
        <f t="shared" ca="1" si="317"/>
        <v>36753449.999427788</v>
      </c>
      <c r="X175" s="117">
        <f t="shared" ca="1" si="317"/>
        <v>39895199.999427788</v>
      </c>
      <c r="Y175" s="117">
        <f t="shared" ca="1" si="317"/>
        <v>43040699.999427788</v>
      </c>
      <c r="Z175" s="117">
        <f t="shared" ca="1" si="317"/>
        <v>46186199.999427788</v>
      </c>
      <c r="AA175" s="117">
        <f t="shared" ca="1" si="317"/>
        <v>49331699.999427788</v>
      </c>
      <c r="AB175" s="117">
        <f t="shared" ca="1" si="317"/>
        <v>52477199.999427788</v>
      </c>
      <c r="AC175" s="117">
        <f t="shared" ca="1" si="317"/>
        <v>55622699.999427788</v>
      </c>
      <c r="AD175" s="117">
        <f t="shared" ca="1" si="317"/>
        <v>58768199.999427788</v>
      </c>
      <c r="AE175" s="117">
        <f t="shared" ca="1" si="317"/>
        <v>58771949.999427788</v>
      </c>
      <c r="AF175" s="117">
        <f t="shared" ca="1" si="317"/>
        <v>58775699.999427788</v>
      </c>
      <c r="AG175" s="117">
        <f t="shared" ca="1" si="317"/>
        <v>58779449.999427788</v>
      </c>
      <c r="AH175" s="117">
        <f t="shared" ca="1" si="317"/>
        <v>58783199.999427788</v>
      </c>
      <c r="AI175" s="117">
        <f t="shared" ca="1" si="317"/>
        <v>58786949.999427788</v>
      </c>
      <c r="AJ175" s="117">
        <f t="shared" ca="1" si="317"/>
        <v>58790699.999427788</v>
      </c>
      <c r="AK175" s="117">
        <f t="shared" ca="1" si="317"/>
        <v>58794449.999427788</v>
      </c>
      <c r="AL175" s="117">
        <f t="shared" ca="1" si="317"/>
        <v>58798199.999427788</v>
      </c>
      <c r="AM175" s="117">
        <f t="shared" ca="1" si="317"/>
        <v>58801949.999427788</v>
      </c>
      <c r="AN175" s="117">
        <f t="shared" ref="AN175:BS175" ca="1" si="318">SUM(AN169:AN174)</f>
        <v>58805699.999427788</v>
      </c>
      <c r="AO175" s="117">
        <f t="shared" ca="1" si="318"/>
        <v>58809449.999427788</v>
      </c>
      <c r="AP175" s="117">
        <f t="shared" ca="1" si="318"/>
        <v>58813199.999427788</v>
      </c>
      <c r="AQ175" s="117">
        <f t="shared" ca="1" si="318"/>
        <v>58816949.999427788</v>
      </c>
      <c r="AR175" s="117">
        <f t="shared" ca="1" si="318"/>
        <v>58820699.999427788</v>
      </c>
      <c r="AS175" s="117">
        <f t="shared" ca="1" si="318"/>
        <v>58820699.999427788</v>
      </c>
      <c r="AT175" s="117">
        <f t="shared" ca="1" si="318"/>
        <v>58820699.999427788</v>
      </c>
      <c r="AU175" s="117">
        <f t="shared" ca="1" si="318"/>
        <v>58820699.999427788</v>
      </c>
      <c r="AV175" s="117">
        <f t="shared" ca="1" si="318"/>
        <v>58820699.999427788</v>
      </c>
      <c r="AW175" s="117">
        <f t="shared" ca="1" si="318"/>
        <v>58820699.999427788</v>
      </c>
      <c r="AX175" s="117">
        <f t="shared" ca="1" si="318"/>
        <v>58820699.999427788</v>
      </c>
      <c r="AY175" s="117">
        <f t="shared" ca="1" si="318"/>
        <v>58820699.999427788</v>
      </c>
      <c r="AZ175" s="117">
        <f t="shared" ca="1" si="318"/>
        <v>58820699.999427788</v>
      </c>
      <c r="BA175" s="117">
        <f t="shared" ca="1" si="318"/>
        <v>58820699.999427788</v>
      </c>
      <c r="BB175" s="117">
        <f t="shared" ca="1" si="318"/>
        <v>58820699.999427788</v>
      </c>
      <c r="BC175" s="117">
        <f t="shared" ca="1" si="318"/>
        <v>58820699.999427788</v>
      </c>
      <c r="BD175" s="117">
        <f t="shared" ca="1" si="318"/>
        <v>58820699.999427788</v>
      </c>
      <c r="BE175" s="117">
        <f t="shared" ca="1" si="318"/>
        <v>58820699.999427788</v>
      </c>
      <c r="BF175" s="117">
        <f t="shared" ca="1" si="318"/>
        <v>58820699.999427788</v>
      </c>
      <c r="BG175" s="117">
        <f t="shared" ca="1" si="318"/>
        <v>58820699.999427788</v>
      </c>
      <c r="BH175" s="117">
        <f t="shared" ca="1" si="318"/>
        <v>58820699.999427788</v>
      </c>
      <c r="BI175" s="117">
        <f t="shared" ca="1" si="318"/>
        <v>58820699.999427788</v>
      </c>
      <c r="BJ175" s="117">
        <f t="shared" ca="1" si="318"/>
        <v>58820699.999427788</v>
      </c>
      <c r="BK175" s="117">
        <f t="shared" ca="1" si="318"/>
        <v>58820699.999427788</v>
      </c>
      <c r="BL175" s="117">
        <f t="shared" ca="1" si="318"/>
        <v>58820699.999427788</v>
      </c>
      <c r="BM175" s="117">
        <f t="shared" ca="1" si="318"/>
        <v>58820699.999427788</v>
      </c>
      <c r="BN175" s="117">
        <f t="shared" ca="1" si="318"/>
        <v>58820699.999427788</v>
      </c>
      <c r="BO175" s="117">
        <f t="shared" ca="1" si="318"/>
        <v>58820699.999427788</v>
      </c>
      <c r="BP175" s="117">
        <f t="shared" ca="1" si="318"/>
        <v>58820699.999427788</v>
      </c>
      <c r="BQ175" s="117">
        <f t="shared" ca="1" si="318"/>
        <v>58820699.999427788</v>
      </c>
      <c r="BR175" s="117">
        <f t="shared" ca="1" si="318"/>
        <v>58820699.999427788</v>
      </c>
      <c r="BS175" s="117">
        <f t="shared" ca="1" si="318"/>
        <v>58820699.999427788</v>
      </c>
      <c r="BT175" s="117">
        <f t="shared" ref="BT175:CY175" ca="1" si="319">SUM(BT169:BT174)</f>
        <v>58820699.999427788</v>
      </c>
      <c r="BU175" s="117">
        <f t="shared" ca="1" si="319"/>
        <v>58820699.999427788</v>
      </c>
      <c r="BV175" s="117">
        <f t="shared" ca="1" si="319"/>
        <v>58820699.999427788</v>
      </c>
      <c r="BW175" s="117">
        <f t="shared" ca="1" si="319"/>
        <v>58820699.999427788</v>
      </c>
      <c r="BX175" s="117">
        <f t="shared" ca="1" si="319"/>
        <v>58820699.999427788</v>
      </c>
      <c r="BY175" s="117">
        <f t="shared" ca="1" si="319"/>
        <v>58820699.999427788</v>
      </c>
      <c r="BZ175" s="117">
        <f t="shared" ca="1" si="319"/>
        <v>58820699.999427788</v>
      </c>
      <c r="CA175" s="117">
        <f t="shared" ca="1" si="319"/>
        <v>58820699.999427788</v>
      </c>
      <c r="CB175" s="117">
        <f t="shared" ca="1" si="319"/>
        <v>58820699.999427788</v>
      </c>
      <c r="CC175" s="117">
        <f t="shared" ca="1" si="319"/>
        <v>58820699.999427788</v>
      </c>
      <c r="CD175" s="117">
        <f t="shared" ca="1" si="319"/>
        <v>58820699.999427788</v>
      </c>
      <c r="CE175" s="117">
        <f t="shared" ca="1" si="319"/>
        <v>58820699.999427788</v>
      </c>
      <c r="CF175" s="117">
        <f t="shared" ca="1" si="319"/>
        <v>58820699.999427788</v>
      </c>
      <c r="CG175" s="117">
        <f t="shared" ca="1" si="319"/>
        <v>58820699.999427788</v>
      </c>
      <c r="CH175" s="117">
        <f t="shared" ca="1" si="319"/>
        <v>58820699.999427788</v>
      </c>
      <c r="CI175" s="117">
        <f t="shared" ca="1" si="319"/>
        <v>58820699.999427788</v>
      </c>
      <c r="CJ175" s="117">
        <f t="shared" ca="1" si="319"/>
        <v>58820699.999427788</v>
      </c>
      <c r="CK175" s="117">
        <f t="shared" ca="1" si="319"/>
        <v>58820699.999427788</v>
      </c>
      <c r="CL175" s="117">
        <f t="shared" ca="1" si="319"/>
        <v>58820699.999427788</v>
      </c>
      <c r="CM175" s="117">
        <f t="shared" ca="1" si="319"/>
        <v>58820699.999427788</v>
      </c>
      <c r="CN175" s="117">
        <f t="shared" ca="1" si="319"/>
        <v>58820699.999427788</v>
      </c>
      <c r="CO175" s="117">
        <f t="shared" ca="1" si="319"/>
        <v>58820699.999427788</v>
      </c>
      <c r="CP175" s="117">
        <f t="shared" ca="1" si="319"/>
        <v>58820699.999427788</v>
      </c>
      <c r="CQ175" s="117">
        <f t="shared" ca="1" si="319"/>
        <v>58820699.999427788</v>
      </c>
      <c r="CR175" s="117">
        <f t="shared" ca="1" si="319"/>
        <v>58820699.999427788</v>
      </c>
      <c r="CS175" s="117">
        <f t="shared" ca="1" si="319"/>
        <v>58820699.999427788</v>
      </c>
      <c r="CT175" s="117">
        <f t="shared" ca="1" si="319"/>
        <v>58820699.999427788</v>
      </c>
      <c r="CU175" s="117">
        <f t="shared" ca="1" si="319"/>
        <v>58820699.999427788</v>
      </c>
      <c r="CV175" s="117">
        <f t="shared" ca="1" si="319"/>
        <v>58820699.999427788</v>
      </c>
      <c r="CW175" s="117">
        <f t="shared" ca="1" si="319"/>
        <v>58820699.999427788</v>
      </c>
      <c r="CX175" s="117">
        <f t="shared" ca="1" si="319"/>
        <v>58820699.999427788</v>
      </c>
      <c r="CY175" s="117">
        <f t="shared" ca="1" si="319"/>
        <v>58820699.999427788</v>
      </c>
      <c r="CZ175" s="117">
        <f t="shared" ref="CZ175:EE175" ca="1" si="320">SUM(CZ169:CZ174)</f>
        <v>58820699.999427788</v>
      </c>
      <c r="DA175" s="117">
        <f t="shared" ca="1" si="320"/>
        <v>58820699.999427788</v>
      </c>
      <c r="DB175" s="117">
        <f t="shared" ca="1" si="320"/>
        <v>58820699.999427788</v>
      </c>
      <c r="DC175" s="117">
        <f t="shared" ca="1" si="320"/>
        <v>58820699.999427788</v>
      </c>
      <c r="DD175" s="117">
        <f t="shared" ca="1" si="320"/>
        <v>58820699.999427788</v>
      </c>
      <c r="DE175" s="117">
        <f t="shared" ca="1" si="320"/>
        <v>58820699.999427788</v>
      </c>
      <c r="DF175" s="117">
        <f t="shared" ca="1" si="320"/>
        <v>58820699.999427788</v>
      </c>
      <c r="DG175" s="117">
        <f t="shared" ca="1" si="320"/>
        <v>58820699.999427788</v>
      </c>
      <c r="DH175" s="117">
        <f t="shared" ca="1" si="320"/>
        <v>58820699.999427788</v>
      </c>
      <c r="DI175" s="117">
        <f t="shared" ca="1" si="320"/>
        <v>58820699.999427788</v>
      </c>
      <c r="DJ175" s="117">
        <f t="shared" ca="1" si="320"/>
        <v>58820699.999427788</v>
      </c>
      <c r="DK175" s="117">
        <f t="shared" ca="1" si="320"/>
        <v>58820699.999427788</v>
      </c>
      <c r="DL175" s="117">
        <f t="shared" ca="1" si="320"/>
        <v>58820699.999427788</v>
      </c>
      <c r="DM175" s="117">
        <f t="shared" ca="1" si="320"/>
        <v>58820699.999427788</v>
      </c>
      <c r="DN175" s="117">
        <f t="shared" ca="1" si="320"/>
        <v>58820699.999427788</v>
      </c>
      <c r="DO175" s="117">
        <f t="shared" ca="1" si="320"/>
        <v>58820699.999427788</v>
      </c>
      <c r="DP175" s="117">
        <f t="shared" ca="1" si="320"/>
        <v>58820699.999427788</v>
      </c>
      <c r="DQ175" s="117">
        <f t="shared" ca="1" si="320"/>
        <v>58820699.999427788</v>
      </c>
      <c r="DR175" s="117">
        <f t="shared" ca="1" si="320"/>
        <v>58820699.999427788</v>
      </c>
      <c r="DS175" s="117">
        <f t="shared" ca="1" si="320"/>
        <v>58820699.999427788</v>
      </c>
      <c r="DT175" s="117">
        <f t="shared" ca="1" si="320"/>
        <v>58820699.999427788</v>
      </c>
      <c r="DU175" s="117">
        <f t="shared" ca="1" si="320"/>
        <v>58820699.999427788</v>
      </c>
      <c r="DV175" s="117">
        <f t="shared" ca="1" si="320"/>
        <v>58820699.999427788</v>
      </c>
      <c r="DW175" s="117">
        <f t="shared" ca="1" si="320"/>
        <v>58820699.999427788</v>
      </c>
      <c r="DX175" s="117">
        <f t="shared" ca="1" si="320"/>
        <v>58820699.999427788</v>
      </c>
      <c r="DY175" s="117">
        <f t="shared" ca="1" si="320"/>
        <v>58820699.999427788</v>
      </c>
      <c r="DZ175" s="117">
        <f t="shared" ca="1" si="320"/>
        <v>58820699.999427788</v>
      </c>
      <c r="EA175" s="117">
        <f t="shared" ca="1" si="320"/>
        <v>58820699.999427788</v>
      </c>
      <c r="EB175" s="117">
        <f t="shared" ca="1" si="320"/>
        <v>58820699.999427788</v>
      </c>
      <c r="EC175" s="117">
        <f t="shared" ca="1" si="320"/>
        <v>58820699.999427788</v>
      </c>
      <c r="ED175" s="117">
        <f t="shared" ca="1" si="320"/>
        <v>58820699.999427788</v>
      </c>
      <c r="EE175" s="117">
        <f t="shared" ca="1" si="320"/>
        <v>58820699.999427788</v>
      </c>
      <c r="EF175" s="117">
        <f ca="1">SUM(EF169:EF174)</f>
        <v>58820699.999427788</v>
      </c>
      <c r="EG175" s="117">
        <f ca="1">SUM(EG169:EG174)</f>
        <v>58820699.999427788</v>
      </c>
      <c r="EH175" s="117">
        <f ca="1">SUM(EH169:EH174)</f>
        <v>58820699.999427788</v>
      </c>
      <c r="EI175" s="117">
        <f ca="1">SUM(EI169:EI174)</f>
        <v>58820699.999427788</v>
      </c>
      <c r="EJ175" s="117">
        <f ca="1">SUM(EJ169:EJ174)</f>
        <v>58820699.999427788</v>
      </c>
      <c r="EL175" s="117">
        <f t="shared" ref="EL175:EW175" ca="1" si="321">SUM(EL169:EL174)</f>
        <v>7035699.9994277898</v>
      </c>
      <c r="EM175" s="117">
        <f t="shared" ca="1" si="321"/>
        <v>27328199.999427792</v>
      </c>
      <c r="EN175" s="117">
        <f t="shared" ca="1" si="321"/>
        <v>58775699.999427788</v>
      </c>
      <c r="EO175" s="117">
        <f t="shared" ca="1" si="321"/>
        <v>58820699.999427788</v>
      </c>
      <c r="EP175" s="117">
        <f t="shared" ca="1" si="321"/>
        <v>58820699.999427788</v>
      </c>
      <c r="EQ175" s="117">
        <f t="shared" ca="1" si="321"/>
        <v>58820699.999427788</v>
      </c>
      <c r="ER175" s="117">
        <f t="shared" ca="1" si="321"/>
        <v>58820699.999427788</v>
      </c>
      <c r="ES175" s="117">
        <f t="shared" ca="1" si="321"/>
        <v>58820699.999427788</v>
      </c>
      <c r="ET175" s="117">
        <f t="shared" ca="1" si="321"/>
        <v>58820699.999427788</v>
      </c>
      <c r="EU175" s="117">
        <f t="shared" ca="1" si="321"/>
        <v>58820699.999427788</v>
      </c>
      <c r="EV175" s="117">
        <f t="shared" ca="1" si="321"/>
        <v>58820699.999427788</v>
      </c>
      <c r="EW175" s="117">
        <f t="shared" ca="1" si="321"/>
        <v>58820699.999427788</v>
      </c>
    </row>
    <row r="176" spans="2:153" x14ac:dyDescent="0.4">
      <c r="F176" s="12"/>
    </row>
    <row r="177" spans="2:153" x14ac:dyDescent="0.4">
      <c r="B177" s="94" t="s">
        <v>153</v>
      </c>
    </row>
    <row r="178" spans="2:153" x14ac:dyDescent="0.4">
      <c r="B178" s="1" t="s">
        <v>154</v>
      </c>
      <c r="C178" s="12"/>
      <c r="E178" s="12">
        <f ca="1">H178</f>
        <v>6100000</v>
      </c>
      <c r="F178" s="12">
        <f ca="1">SUMIF($H$6:$EJ$6,$C$5,$H178:$EJ178)</f>
        <v>18749449.999427788</v>
      </c>
      <c r="H178" s="12">
        <f ca="1">-SUMIF($H$159:H159,"&lt;0")</f>
        <v>6100000</v>
      </c>
      <c r="I178" s="12">
        <f ca="1">-SUMIF($H$159:I159,"&lt;0")</f>
        <v>6100000</v>
      </c>
      <c r="J178" s="12">
        <f ca="1">-SUMIF($H$159:J159,"&lt;0")</f>
        <v>6100000</v>
      </c>
      <c r="K178" s="12">
        <f ca="1">-SUMIF($H$159:K159,"&lt;0")</f>
        <v>6460500</v>
      </c>
      <c r="L178" s="12">
        <f ca="1">-SUMIF($H$159:L159,"&lt;0")</f>
        <v>6821000</v>
      </c>
      <c r="M178" s="12">
        <f ca="1">-SUMIF($H$159:M159,"&lt;0")</f>
        <v>7181500</v>
      </c>
      <c r="N178" s="12">
        <f ca="1">-SUMIF($H$159:N159,"&lt;0")</f>
        <v>7542000</v>
      </c>
      <c r="O178" s="12">
        <f ca="1">-SUMIF($H$159:O159,"&lt;0")</f>
        <v>10683750</v>
      </c>
      <c r="P178" s="12">
        <f ca="1">-SUMIF($H$159:P159,"&lt;0")</f>
        <v>13825500</v>
      </c>
      <c r="Q178" s="12">
        <f ca="1">-SUMIF($H$159:Q159,"&lt;0")</f>
        <v>16967250</v>
      </c>
      <c r="R178" s="12">
        <f ca="1">-SUMIF($H$159:R159,"&lt;0")</f>
        <v>18745699.999427788</v>
      </c>
      <c r="S178" s="12">
        <f ca="1">-SUMIF($H$159:S159,"&lt;0")</f>
        <v>18745699.999427788</v>
      </c>
      <c r="T178" s="12">
        <f ca="1">-SUMIF($H$159:T159,"&lt;0")</f>
        <v>18745699.999427788</v>
      </c>
      <c r="U178" s="12">
        <f ca="1">-SUMIF($H$159:U159,"&lt;0")</f>
        <v>18745699.999427788</v>
      </c>
      <c r="V178" s="12">
        <f ca="1">-SUMIF($H$159:V159,"&lt;0")</f>
        <v>18745699.999427788</v>
      </c>
      <c r="W178" s="12">
        <f ca="1">-SUMIF($H$159:W159,"&lt;0")</f>
        <v>18745699.999427788</v>
      </c>
      <c r="X178" s="12">
        <f ca="1">-SUMIF($H$159:X159,"&lt;0")</f>
        <v>18745699.999427788</v>
      </c>
      <c r="Y178" s="12">
        <f ca="1">-SUMIF($H$159:Y159,"&lt;0")</f>
        <v>18749449.999427788</v>
      </c>
      <c r="Z178" s="12">
        <f ca="1">-SUMIF($H$159:Z159,"&lt;0")</f>
        <v>18749449.999427788</v>
      </c>
      <c r="AA178" s="12">
        <f ca="1">-SUMIF($H$159:AA159,"&lt;0")</f>
        <v>18749449.999427788</v>
      </c>
      <c r="AB178" s="12">
        <f ca="1">-SUMIF($H$159:AB159,"&lt;0")</f>
        <v>18749449.999427788</v>
      </c>
      <c r="AC178" s="12">
        <f ca="1">-SUMIF($H$159:AC159,"&lt;0")</f>
        <v>18749449.999427788</v>
      </c>
      <c r="AD178" s="12">
        <f ca="1">-SUMIF($H$159:AD159,"&lt;0")</f>
        <v>18749449.999427788</v>
      </c>
      <c r="AE178" s="12">
        <f ca="1">-SUMIF($H$159:AE159,"&lt;0")</f>
        <v>18749449.999427788</v>
      </c>
      <c r="AF178" s="12">
        <f ca="1">-SUMIF($H$159:AF159,"&lt;0")</f>
        <v>18749449.999427788</v>
      </c>
      <c r="AG178" s="12">
        <f ca="1">-SUMIF($H$159:AG159,"&lt;0")</f>
        <v>18749449.999427788</v>
      </c>
      <c r="AH178" s="12">
        <f ca="1">-SUMIF($H$159:AH159,"&lt;0")</f>
        <v>18749449.999427788</v>
      </c>
      <c r="AI178" s="12">
        <f ca="1">-SUMIF($H$159:AI159,"&lt;0")</f>
        <v>18749449.999427788</v>
      </c>
      <c r="AJ178" s="12">
        <f ca="1">-SUMIF($H$159:AJ159,"&lt;0")</f>
        <v>18749449.999427788</v>
      </c>
      <c r="AK178" s="12">
        <f ca="1">-SUMIF($H$159:AK159,"&lt;0")</f>
        <v>18749449.999427788</v>
      </c>
      <c r="AL178" s="12">
        <f ca="1">-SUMIF($H$159:AL159,"&lt;0")</f>
        <v>18749449.999427788</v>
      </c>
      <c r="AM178" s="12">
        <f ca="1">-SUMIF($H$159:AM159,"&lt;0")</f>
        <v>18749449.999427788</v>
      </c>
      <c r="AN178" s="12">
        <f ca="1">-SUMIF($H$159:AN159,"&lt;0")</f>
        <v>18749449.999427788</v>
      </c>
      <c r="AO178" s="12">
        <f ca="1">-SUMIF($H$159:AO159,"&lt;0")</f>
        <v>18749449.999427788</v>
      </c>
      <c r="AP178" s="12">
        <f ca="1">-SUMIF($H$159:AP159,"&lt;0")</f>
        <v>18749449.999427788</v>
      </c>
      <c r="AQ178" s="12">
        <f ca="1">-SUMIF($H$159:AQ159,"&lt;0")</f>
        <v>18749449.999427788</v>
      </c>
      <c r="AR178" s="12">
        <f ca="1">-SUMIF($H$159:AR159,"&lt;0")</f>
        <v>18749449.999427788</v>
      </c>
      <c r="AS178" s="12">
        <f ca="1">-SUMIF($H$159:AS159,"&lt;0")</f>
        <v>18749449.999427788</v>
      </c>
      <c r="AT178" s="12">
        <f ca="1">-SUMIF($H$159:AT159,"&lt;0")</f>
        <v>18749449.999427788</v>
      </c>
      <c r="AU178" s="12">
        <f ca="1">-SUMIF($H$159:AU159,"&lt;0")</f>
        <v>18749449.999427788</v>
      </c>
      <c r="AV178" s="12">
        <f ca="1">-SUMIF($H$159:AV159,"&lt;0")</f>
        <v>18749449.999427788</v>
      </c>
      <c r="AW178" s="12">
        <f ca="1">-SUMIF($H$159:AW159,"&lt;0")</f>
        <v>18749449.999427788</v>
      </c>
      <c r="AX178" s="12">
        <f ca="1">-SUMIF($H$159:AX159,"&lt;0")</f>
        <v>18749449.999427788</v>
      </c>
      <c r="AY178" s="12">
        <f ca="1">-SUMIF($H$159:AY159,"&lt;0")</f>
        <v>18749449.999427788</v>
      </c>
      <c r="AZ178" s="12">
        <f ca="1">-SUMIF($H$159:AZ159,"&lt;0")</f>
        <v>18749449.999427788</v>
      </c>
      <c r="BA178" s="12">
        <f ca="1">-SUMIF($H$159:BA159,"&lt;0")</f>
        <v>18749449.999427788</v>
      </c>
      <c r="BB178" s="12">
        <f ca="1">-SUMIF($H$159:BB159,"&lt;0")</f>
        <v>18749449.999427788</v>
      </c>
      <c r="BC178" s="12">
        <f ca="1">-SUMIF($H$159:BC159,"&lt;0")</f>
        <v>18749449.999427788</v>
      </c>
      <c r="BD178" s="12">
        <f ca="1">-SUMIF($H$159:BD159,"&lt;0")</f>
        <v>18749449.999427788</v>
      </c>
      <c r="BE178" s="12">
        <f ca="1">-SUMIF($H$159:BE159,"&lt;0")</f>
        <v>18749449.999427788</v>
      </c>
      <c r="BF178" s="12">
        <f ca="1">-SUMIF($H$159:BF159,"&lt;0")</f>
        <v>18749449.999427788</v>
      </c>
      <c r="BG178" s="12">
        <f ca="1">-SUMIF($H$159:BG159,"&lt;0")</f>
        <v>18749449.999427788</v>
      </c>
      <c r="BH178" s="12">
        <f ca="1">-SUMIF($H$159:BH159,"&lt;0")</f>
        <v>18749449.999427788</v>
      </c>
      <c r="BI178" s="12">
        <f ca="1">-SUMIF($H$159:BI159,"&lt;0")</f>
        <v>18749449.999427788</v>
      </c>
      <c r="BJ178" s="12">
        <f ca="1">-SUMIF($H$159:BJ159,"&lt;0")</f>
        <v>18749449.999427788</v>
      </c>
      <c r="BK178" s="12">
        <f ca="1">-SUMIF($H$159:BK159,"&lt;0")</f>
        <v>18749449.999427788</v>
      </c>
      <c r="BL178" s="12">
        <f ca="1">-SUMIF($H$159:BL159,"&lt;0")</f>
        <v>18749449.999427788</v>
      </c>
      <c r="BM178" s="12">
        <f ca="1">-SUMIF($H$159:BM159,"&lt;0")</f>
        <v>18749449.999427788</v>
      </c>
      <c r="BN178" s="12">
        <f ca="1">-SUMIF($H$159:BN159,"&lt;0")</f>
        <v>18749449.999427788</v>
      </c>
      <c r="BO178" s="12">
        <f ca="1">-SUMIF($H$159:BO159,"&lt;0")</f>
        <v>18749449.999427788</v>
      </c>
      <c r="BP178" s="12">
        <f ca="1">-SUMIF($H$159:BP159,"&lt;0")</f>
        <v>18749449.999427788</v>
      </c>
      <c r="BQ178" s="12">
        <f ca="1">-SUMIF($H$159:BQ159,"&lt;0")</f>
        <v>18749449.999427788</v>
      </c>
      <c r="BR178" s="12">
        <f ca="1">-SUMIF($H$159:BR159,"&lt;0")</f>
        <v>18749449.999427788</v>
      </c>
      <c r="BS178" s="12">
        <f ca="1">-SUMIF($H$159:BS159,"&lt;0")</f>
        <v>18749449.999427788</v>
      </c>
      <c r="BT178" s="12">
        <f ca="1">-SUMIF($H$159:BT159,"&lt;0")</f>
        <v>18749449.999427788</v>
      </c>
      <c r="BU178" s="12">
        <f ca="1">-SUMIF($H$159:BU159,"&lt;0")</f>
        <v>18749449.999427788</v>
      </c>
      <c r="BV178" s="12">
        <f ca="1">-SUMIF($H$159:BV159,"&lt;0")</f>
        <v>18749449.999427788</v>
      </c>
      <c r="BW178" s="12">
        <f ca="1">-SUMIF($H$159:BW159,"&lt;0")</f>
        <v>18749449.999427788</v>
      </c>
      <c r="BX178" s="12">
        <f ca="1">-SUMIF($H$159:BX159,"&lt;0")</f>
        <v>18749449.999427788</v>
      </c>
      <c r="BY178" s="12">
        <f ca="1">-SUMIF($H$159:BY159,"&lt;0")</f>
        <v>18749449.999427788</v>
      </c>
      <c r="BZ178" s="12">
        <f ca="1">-SUMIF($H$159:BZ159,"&lt;0")</f>
        <v>18749449.999427788</v>
      </c>
      <c r="CA178" s="12">
        <f ca="1">-SUMIF($H$159:CA159,"&lt;0")</f>
        <v>18749449.999427788</v>
      </c>
      <c r="CB178" s="12">
        <f ca="1">-SUMIF($H$159:CB159,"&lt;0")</f>
        <v>18749449.999427788</v>
      </c>
      <c r="CC178" s="12">
        <f ca="1">-SUMIF($H$159:CC159,"&lt;0")</f>
        <v>18749449.999427788</v>
      </c>
      <c r="CD178" s="12">
        <f ca="1">-SUMIF($H$159:CD159,"&lt;0")</f>
        <v>18749449.999427788</v>
      </c>
      <c r="CE178" s="12">
        <f ca="1">-SUMIF($H$159:CE159,"&lt;0")</f>
        <v>18749449.999427788</v>
      </c>
      <c r="CF178" s="12">
        <f ca="1">-SUMIF($H$159:CF159,"&lt;0")</f>
        <v>18749449.999427788</v>
      </c>
      <c r="CG178" s="12">
        <f ca="1">-SUMIF($H$159:CG159,"&lt;0")</f>
        <v>18749449.999427788</v>
      </c>
      <c r="CH178" s="12">
        <f ca="1">-SUMIF($H$159:CH159,"&lt;0")</f>
        <v>18749449.999427788</v>
      </c>
      <c r="CI178" s="12">
        <f ca="1">-SUMIF($H$159:CI159,"&lt;0")</f>
        <v>18749449.999427788</v>
      </c>
      <c r="CJ178" s="12">
        <f ca="1">-SUMIF($H$159:CJ159,"&lt;0")</f>
        <v>18749449.999427788</v>
      </c>
      <c r="CK178" s="12">
        <f ca="1">-SUMIF($H$159:CK159,"&lt;0")</f>
        <v>18749449.999427788</v>
      </c>
      <c r="CL178" s="12">
        <f ca="1">-SUMIF($H$159:CL159,"&lt;0")</f>
        <v>18749449.999427788</v>
      </c>
      <c r="CM178" s="12">
        <f ca="1">-SUMIF($H$159:CM159,"&lt;0")</f>
        <v>18749449.999427788</v>
      </c>
      <c r="CN178" s="12">
        <f ca="1">-SUMIF($H$159:CN159,"&lt;0")</f>
        <v>18749449.999427788</v>
      </c>
      <c r="CO178" s="12">
        <f ca="1">-SUMIF($H$159:CO159,"&lt;0")</f>
        <v>18749449.999427788</v>
      </c>
      <c r="CP178" s="12">
        <f ca="1">-SUMIF($H$159:CP159,"&lt;0")</f>
        <v>18749449.999427788</v>
      </c>
      <c r="CQ178" s="12">
        <f ca="1">-SUMIF($H$159:CQ159,"&lt;0")</f>
        <v>18749449.999427788</v>
      </c>
      <c r="CR178" s="12">
        <f ca="1">-SUMIF($H$159:CR159,"&lt;0")</f>
        <v>18749449.999427788</v>
      </c>
      <c r="CS178" s="12">
        <f ca="1">-SUMIF($H$159:CS159,"&lt;0")</f>
        <v>18749449.999427788</v>
      </c>
      <c r="CT178" s="12">
        <f ca="1">-SUMIF($H$159:CT159,"&lt;0")</f>
        <v>18749449.999427788</v>
      </c>
      <c r="CU178" s="12">
        <f ca="1">-SUMIF($H$159:CU159,"&lt;0")</f>
        <v>18749449.999427788</v>
      </c>
      <c r="CV178" s="12">
        <f ca="1">-SUMIF($H$159:CV159,"&lt;0")</f>
        <v>18749449.999427788</v>
      </c>
      <c r="CW178" s="12">
        <f ca="1">-SUMIF($H$159:CW159,"&lt;0")</f>
        <v>18749449.999427788</v>
      </c>
      <c r="CX178" s="12">
        <f ca="1">-SUMIF($H$159:CX159,"&lt;0")</f>
        <v>18749449.999427788</v>
      </c>
      <c r="CY178" s="12">
        <f ca="1">-SUMIF($H$159:CY159,"&lt;0")</f>
        <v>18749449.999427788</v>
      </c>
      <c r="CZ178" s="12">
        <f ca="1">-SUMIF($H$159:CZ159,"&lt;0")</f>
        <v>18749449.999427788</v>
      </c>
      <c r="DA178" s="12">
        <f ca="1">-SUMIF($H$159:DA159,"&lt;0")</f>
        <v>18749449.999427788</v>
      </c>
      <c r="DB178" s="12">
        <f ca="1">-SUMIF($H$159:DB159,"&lt;0")</f>
        <v>18749449.999427788</v>
      </c>
      <c r="DC178" s="12">
        <f ca="1">-SUMIF($H$159:DC159,"&lt;0")</f>
        <v>18749449.999427788</v>
      </c>
      <c r="DD178" s="12">
        <f ca="1">-SUMIF($H$159:DD159,"&lt;0")</f>
        <v>18749449.999427788</v>
      </c>
      <c r="DE178" s="12">
        <f ca="1">-SUMIF($H$159:DE159,"&lt;0")</f>
        <v>18749449.999427788</v>
      </c>
      <c r="DF178" s="12">
        <f ca="1">-SUMIF($H$159:DF159,"&lt;0")</f>
        <v>18749449.999427788</v>
      </c>
      <c r="DG178" s="12">
        <f ca="1">-SUMIF($H$159:DG159,"&lt;0")</f>
        <v>18749449.999427788</v>
      </c>
      <c r="DH178" s="12">
        <f ca="1">-SUMIF($H$159:DH159,"&lt;0")</f>
        <v>18749449.999427788</v>
      </c>
      <c r="DI178" s="12">
        <f ca="1">-SUMIF($H$159:DI159,"&lt;0")</f>
        <v>18749449.999427788</v>
      </c>
      <c r="DJ178" s="12">
        <f ca="1">-SUMIF($H$159:DJ159,"&lt;0")</f>
        <v>18749449.999427788</v>
      </c>
      <c r="DK178" s="12">
        <f ca="1">-SUMIF($H$159:DK159,"&lt;0")</f>
        <v>18749449.999427788</v>
      </c>
      <c r="DL178" s="12">
        <f ca="1">-SUMIF($H$159:DL159,"&lt;0")</f>
        <v>18749449.999427788</v>
      </c>
      <c r="DM178" s="12">
        <f ca="1">-SUMIF($H$159:DM159,"&lt;0")</f>
        <v>18749449.999427788</v>
      </c>
      <c r="DN178" s="12">
        <f ca="1">-SUMIF($H$159:DN159,"&lt;0")</f>
        <v>18749449.999427788</v>
      </c>
      <c r="DO178" s="12">
        <f ca="1">-SUMIF($H$159:DO159,"&lt;0")</f>
        <v>18749449.999427788</v>
      </c>
      <c r="DP178" s="12">
        <f ca="1">-SUMIF($H$159:DP159,"&lt;0")</f>
        <v>18749449.999427788</v>
      </c>
      <c r="DQ178" s="12">
        <f ca="1">-SUMIF($H$159:DQ159,"&lt;0")</f>
        <v>18749449.999427788</v>
      </c>
      <c r="DR178" s="12">
        <f ca="1">-SUMIF($H$159:DR159,"&lt;0")</f>
        <v>18749449.999427788</v>
      </c>
      <c r="DS178" s="12">
        <f ca="1">-SUMIF($H$159:DS159,"&lt;0")</f>
        <v>18749449.999427788</v>
      </c>
      <c r="DT178" s="12">
        <f ca="1">-SUMIF($H$159:DT159,"&lt;0")</f>
        <v>18749449.999427788</v>
      </c>
      <c r="DU178" s="12">
        <f ca="1">-SUMIF($H$159:DU159,"&lt;0")</f>
        <v>18749449.999427788</v>
      </c>
      <c r="DV178" s="12">
        <f ca="1">-SUMIF($H$159:DV159,"&lt;0")</f>
        <v>18749449.999427788</v>
      </c>
      <c r="DW178" s="12">
        <f ca="1">-SUMIF($H$159:DW159,"&lt;0")</f>
        <v>18749449.999427788</v>
      </c>
      <c r="DX178" s="12">
        <f ca="1">-SUMIF($H$159:DX159,"&lt;0")</f>
        <v>18749449.999427788</v>
      </c>
      <c r="DY178" s="12">
        <f ca="1">-SUMIF($H$159:DY159,"&lt;0")</f>
        <v>18749449.999427788</v>
      </c>
      <c r="DZ178" s="12">
        <f ca="1">-SUMIF($H$159:DZ159,"&lt;0")</f>
        <v>18749449.999427788</v>
      </c>
      <c r="EA178" s="12">
        <f ca="1">-SUMIF($H$159:EA159,"&lt;0")</f>
        <v>18749449.999427788</v>
      </c>
      <c r="EB178" s="12">
        <f ca="1">-SUMIF($H$159:EB159,"&lt;0")</f>
        <v>18749449.999427788</v>
      </c>
      <c r="EC178" s="12">
        <f ca="1">-SUMIF($H$159:EC159,"&lt;0")</f>
        <v>18749449.999427788</v>
      </c>
      <c r="ED178" s="12">
        <f ca="1">-SUMIF($H$159:ED159,"&lt;0")</f>
        <v>18749449.999427788</v>
      </c>
      <c r="EE178" s="12">
        <f ca="1">-SUMIF($H$159:EE159,"&lt;0")</f>
        <v>18749449.999427788</v>
      </c>
      <c r="EF178" s="12">
        <f ca="1">-SUMIF($H$159:EF159,"&lt;0")</f>
        <v>18749449.999427788</v>
      </c>
      <c r="EG178" s="12">
        <f ca="1">-SUMIF($H$159:EG159,"&lt;0")</f>
        <v>18749449.999427788</v>
      </c>
      <c r="EH178" s="12">
        <f ca="1">-SUMIF($H$159:EH159,"&lt;0")</f>
        <v>18749449.999427788</v>
      </c>
      <c r="EI178" s="12">
        <f ca="1">-SUMIF($H$159:EI159,"&lt;0")</f>
        <v>18749449.999427788</v>
      </c>
      <c r="EJ178" s="12">
        <f ca="1">-SUMIF($H$159:EJ159,"&lt;0")</f>
        <v>18749449.999427788</v>
      </c>
      <c r="EL178" s="12">
        <f t="shared" ref="EL178:EW180" ca="1" si="322">SUMIF($H$6:$EJ$6,EL$6,$H178:$EJ178)</f>
        <v>6100000</v>
      </c>
      <c r="EM178" s="12">
        <f t="shared" ca="1" si="322"/>
        <v>18745699.999427788</v>
      </c>
      <c r="EN178" s="12">
        <f t="shared" ca="1" si="322"/>
        <v>18749449.999427788</v>
      </c>
      <c r="EO178" s="12">
        <f t="shared" ca="1" si="322"/>
        <v>18749449.999427788</v>
      </c>
      <c r="EP178" s="12">
        <f t="shared" ca="1" si="322"/>
        <v>18749449.999427788</v>
      </c>
      <c r="EQ178" s="12">
        <f t="shared" ca="1" si="322"/>
        <v>18749449.999427788</v>
      </c>
      <c r="ER178" s="12">
        <f t="shared" ca="1" si="322"/>
        <v>18749449.999427788</v>
      </c>
      <c r="ES178" s="12">
        <f t="shared" ca="1" si="322"/>
        <v>18749449.999427788</v>
      </c>
      <c r="ET178" s="12">
        <f t="shared" ca="1" si="322"/>
        <v>18749449.999427788</v>
      </c>
      <c r="EU178" s="12">
        <f t="shared" ca="1" si="322"/>
        <v>18749449.999427788</v>
      </c>
      <c r="EV178" s="12">
        <f t="shared" ca="1" si="322"/>
        <v>18749449.999427788</v>
      </c>
      <c r="EW178" s="12">
        <f t="shared" ca="1" si="322"/>
        <v>18749449.999427788</v>
      </c>
    </row>
    <row r="179" spans="2:153" x14ac:dyDescent="0.4">
      <c r="B179" s="1" t="s">
        <v>155</v>
      </c>
      <c r="E179" s="12">
        <f ca="1">H179</f>
        <v>0</v>
      </c>
      <c r="F179" s="12">
        <f ca="1">SUMIF($H$6:$EJ$6,$C$5,$H179:$EJ179)</f>
        <v>40000000</v>
      </c>
      <c r="H179" s="12">
        <f ca="1">SUM($H$152:H152)</f>
        <v>0</v>
      </c>
      <c r="I179" s="12">
        <f ca="1">SUM($H$152:I152)</f>
        <v>0</v>
      </c>
      <c r="J179" s="12">
        <f ca="1">SUM($H$152:J152)</f>
        <v>0</v>
      </c>
      <c r="K179" s="12">
        <f ca="1">SUM($H$152:K152)</f>
        <v>0</v>
      </c>
      <c r="L179" s="12">
        <f ca="1">SUM($H$152:L152)</f>
        <v>0</v>
      </c>
      <c r="M179" s="12">
        <f ca="1">SUM($H$152:M152)</f>
        <v>0</v>
      </c>
      <c r="N179" s="12">
        <f ca="1">SUM($H$152:N152)</f>
        <v>0</v>
      </c>
      <c r="O179" s="12">
        <f ca="1">SUM($H$152:O152)</f>
        <v>0</v>
      </c>
      <c r="P179" s="12">
        <f ca="1">SUM($H$152:P152)</f>
        <v>0</v>
      </c>
      <c r="Q179" s="12">
        <f ca="1">SUM($H$152:Q152)</f>
        <v>0</v>
      </c>
      <c r="R179" s="12">
        <f ca="1">SUM($H$152:R152)</f>
        <v>1363300.000572212</v>
      </c>
      <c r="S179" s="12">
        <f ca="1">SUM($H$152:S152)</f>
        <v>4510509.9489095043</v>
      </c>
      <c r="T179" s="12">
        <f ca="1">SUM($H$152:T152)</f>
        <v>7670861.1315651201</v>
      </c>
      <c r="U179" s="12">
        <f ca="1">SUM($H$152:U152)</f>
        <v>10844163.053942338</v>
      </c>
      <c r="V179" s="12">
        <f ca="1">SUM($H$152:V152)</f>
        <v>14026099.437731128</v>
      </c>
      <c r="W179" s="12">
        <f ca="1">SUM($H$152:W152)</f>
        <v>17225239.043077394</v>
      </c>
      <c r="X179" s="12">
        <f ca="1">SUM($H$152:X152)</f>
        <v>20435011.22497119</v>
      </c>
      <c r="Y179" s="12">
        <f ca="1">SUM($H$152:Y152)</f>
        <v>23687741.841677148</v>
      </c>
      <c r="Z179" s="12">
        <f ca="1">SUM($H$152:Z152)</f>
        <v>26922548.938104328</v>
      </c>
      <c r="AA179" s="12">
        <f ca="1">SUM($H$152:AA152)</f>
        <v>30173399.112615548</v>
      </c>
      <c r="AB179" s="12">
        <f ca="1">SUM($H$152:AB152)</f>
        <v>33437221.834561452</v>
      </c>
      <c r="AC179" s="12">
        <f ca="1">SUM($H$152:AC152)</f>
        <v>36709802.767007604</v>
      </c>
      <c r="AD179" s="12">
        <f ca="1">SUM($H$152:AD152)</f>
        <v>40000000</v>
      </c>
      <c r="AE179" s="12">
        <f ca="1">SUM($H$152:AE152)</f>
        <v>40000000</v>
      </c>
      <c r="AF179" s="12">
        <f ca="1">SUM($H$152:AF152)</f>
        <v>40000000</v>
      </c>
      <c r="AG179" s="12">
        <f ca="1">SUM($H$152:AG152)</f>
        <v>40000000</v>
      </c>
      <c r="AH179" s="12">
        <f ca="1">SUM($H$152:AH152)</f>
        <v>40000000</v>
      </c>
      <c r="AI179" s="12">
        <f ca="1">SUM($H$152:AI152)</f>
        <v>40000000</v>
      </c>
      <c r="AJ179" s="12">
        <f ca="1">SUM($H$152:AJ152)</f>
        <v>40000000</v>
      </c>
      <c r="AK179" s="12">
        <f ca="1">SUM($H$152:AK152)</f>
        <v>40000000</v>
      </c>
      <c r="AL179" s="12">
        <f ca="1">SUM($H$152:AL152)</f>
        <v>40000000</v>
      </c>
      <c r="AM179" s="12">
        <f ca="1">SUM($H$152:AM152)</f>
        <v>40000000</v>
      </c>
      <c r="AN179" s="12">
        <f ca="1">SUM($H$152:AN152)</f>
        <v>40000000</v>
      </c>
      <c r="AO179" s="12">
        <f ca="1">SUM($H$152:AO152)</f>
        <v>40000000</v>
      </c>
      <c r="AP179" s="12">
        <f ca="1">SUM($H$152:AP152)</f>
        <v>40000000</v>
      </c>
      <c r="AQ179" s="12">
        <f ca="1">SUM($H$152:AQ152)</f>
        <v>40000000</v>
      </c>
      <c r="AR179" s="12">
        <f ca="1">SUM($H$152:AR152)</f>
        <v>40000000</v>
      </c>
      <c r="AS179" s="12">
        <f ca="1">SUM($H$152:AS152)</f>
        <v>40000000</v>
      </c>
      <c r="AT179" s="12">
        <f ca="1">SUM($H$152:AT152)</f>
        <v>40000000</v>
      </c>
      <c r="AU179" s="12">
        <f ca="1">SUM($H$152:AU152)</f>
        <v>40000000</v>
      </c>
      <c r="AV179" s="12">
        <f ca="1">SUM($H$152:AV152)</f>
        <v>40000000</v>
      </c>
      <c r="AW179" s="12">
        <f ca="1">SUM($H$152:AW152)</f>
        <v>40000000</v>
      </c>
      <c r="AX179" s="12">
        <f ca="1">SUM($H$152:AX152)</f>
        <v>40000000</v>
      </c>
      <c r="AY179" s="12">
        <f ca="1">SUM($H$152:AY152)</f>
        <v>40000000</v>
      </c>
      <c r="AZ179" s="12">
        <f ca="1">SUM($H$152:AZ152)</f>
        <v>40000000</v>
      </c>
      <c r="BA179" s="12">
        <f ca="1">SUM($H$152:BA152)</f>
        <v>40000000</v>
      </c>
      <c r="BB179" s="12">
        <f ca="1">SUM($H$152:BB152)</f>
        <v>40000000</v>
      </c>
      <c r="BC179" s="12">
        <f ca="1">SUM($H$152:BC152)</f>
        <v>40000000</v>
      </c>
      <c r="BD179" s="12">
        <f ca="1">SUM($H$152:BD152)</f>
        <v>40000000</v>
      </c>
      <c r="BE179" s="12">
        <f ca="1">SUM($H$152:BE152)</f>
        <v>40000000</v>
      </c>
      <c r="BF179" s="12">
        <f ca="1">SUM($H$152:BF152)</f>
        <v>40000000</v>
      </c>
      <c r="BG179" s="12">
        <f ca="1">SUM($H$152:BG152)</f>
        <v>40000000</v>
      </c>
      <c r="BH179" s="12">
        <f ca="1">SUM($H$152:BH152)</f>
        <v>40000000</v>
      </c>
      <c r="BI179" s="12">
        <f ca="1">SUM($H$152:BI152)</f>
        <v>40000000</v>
      </c>
      <c r="BJ179" s="12">
        <f ca="1">SUM($H$152:BJ152)</f>
        <v>40000000</v>
      </c>
      <c r="BK179" s="12">
        <f ca="1">SUM($H$152:BK152)</f>
        <v>40000000</v>
      </c>
      <c r="BL179" s="12">
        <f ca="1">SUM($H$152:BL152)</f>
        <v>40000000</v>
      </c>
      <c r="BM179" s="12">
        <f ca="1">SUM($H$152:BM152)</f>
        <v>40000000</v>
      </c>
      <c r="BN179" s="12">
        <f ca="1">SUM($H$152:BN152)</f>
        <v>40000000</v>
      </c>
      <c r="BO179" s="12">
        <f ca="1">SUM($H$152:BO152)</f>
        <v>40000000</v>
      </c>
      <c r="BP179" s="12">
        <f ca="1">SUM($H$152:BP152)</f>
        <v>40000000</v>
      </c>
      <c r="BQ179" s="12">
        <f ca="1">SUM($H$152:BQ152)</f>
        <v>40000000</v>
      </c>
      <c r="BR179" s="12">
        <f ca="1">SUM($H$152:BR152)</f>
        <v>40000000</v>
      </c>
      <c r="BS179" s="12">
        <f ca="1">SUM($H$152:BS152)</f>
        <v>40000000</v>
      </c>
      <c r="BT179" s="12">
        <f ca="1">SUM($H$152:BT152)</f>
        <v>40000000</v>
      </c>
      <c r="BU179" s="12">
        <f ca="1">SUM($H$152:BU152)</f>
        <v>40000000</v>
      </c>
      <c r="BV179" s="12">
        <f ca="1">SUM($H$152:BV152)</f>
        <v>40000000</v>
      </c>
      <c r="BW179" s="12">
        <f ca="1">SUM($H$152:BW152)</f>
        <v>40000000</v>
      </c>
      <c r="BX179" s="12">
        <f ca="1">SUM($H$152:BX152)</f>
        <v>40000000</v>
      </c>
      <c r="BY179" s="12">
        <f ca="1">SUM($H$152:BY152)</f>
        <v>40000000</v>
      </c>
      <c r="BZ179" s="12">
        <f ca="1">SUM($H$152:BZ152)</f>
        <v>40000000</v>
      </c>
      <c r="CA179" s="12">
        <f ca="1">SUM($H$152:CA152)</f>
        <v>40000000</v>
      </c>
      <c r="CB179" s="12">
        <f ca="1">SUM($H$152:CB152)</f>
        <v>40000000</v>
      </c>
      <c r="CC179" s="12">
        <f ca="1">SUM($H$152:CC152)</f>
        <v>40000000</v>
      </c>
      <c r="CD179" s="12">
        <f ca="1">SUM($H$152:CD152)</f>
        <v>40000000</v>
      </c>
      <c r="CE179" s="12">
        <f ca="1">SUM($H$152:CE152)</f>
        <v>40000000</v>
      </c>
      <c r="CF179" s="12">
        <f ca="1">SUM($H$152:CF152)</f>
        <v>40000000</v>
      </c>
      <c r="CG179" s="12">
        <f ca="1">SUM($H$152:CG152)</f>
        <v>40000000</v>
      </c>
      <c r="CH179" s="12">
        <f ca="1">SUM($H$152:CH152)</f>
        <v>40000000</v>
      </c>
      <c r="CI179" s="12">
        <f ca="1">SUM($H$152:CI152)</f>
        <v>40000000</v>
      </c>
      <c r="CJ179" s="12">
        <f ca="1">SUM($H$152:CJ152)</f>
        <v>40000000</v>
      </c>
      <c r="CK179" s="12">
        <f ca="1">SUM($H$152:CK152)</f>
        <v>40000000</v>
      </c>
      <c r="CL179" s="12">
        <f ca="1">SUM($H$152:CL152)</f>
        <v>40000000</v>
      </c>
      <c r="CM179" s="12">
        <f ca="1">SUM($H$152:CM152)</f>
        <v>40000000</v>
      </c>
      <c r="CN179" s="12">
        <f ca="1">SUM($H$152:CN152)</f>
        <v>40000000</v>
      </c>
      <c r="CO179" s="12">
        <f ca="1">SUM($H$152:CO152)</f>
        <v>40000000</v>
      </c>
      <c r="CP179" s="12">
        <f ca="1">SUM($H$152:CP152)</f>
        <v>40000000</v>
      </c>
      <c r="CQ179" s="12">
        <f ca="1">SUM($H$152:CQ152)</f>
        <v>40000000</v>
      </c>
      <c r="CR179" s="12">
        <f ca="1">SUM($H$152:CR152)</f>
        <v>40000000</v>
      </c>
      <c r="CS179" s="12">
        <f ca="1">SUM($H$152:CS152)</f>
        <v>40000000</v>
      </c>
      <c r="CT179" s="12">
        <f ca="1">SUM($H$152:CT152)</f>
        <v>40000000</v>
      </c>
      <c r="CU179" s="12">
        <f ca="1">SUM($H$152:CU152)</f>
        <v>40000000</v>
      </c>
      <c r="CV179" s="12">
        <f ca="1">SUM($H$152:CV152)</f>
        <v>40000000</v>
      </c>
      <c r="CW179" s="12">
        <f ca="1">SUM($H$152:CW152)</f>
        <v>40000000</v>
      </c>
      <c r="CX179" s="12">
        <f ca="1">SUM($H$152:CX152)</f>
        <v>40000000</v>
      </c>
      <c r="CY179" s="12">
        <f ca="1">SUM($H$152:CY152)</f>
        <v>40000000</v>
      </c>
      <c r="CZ179" s="12">
        <f ca="1">SUM($H$152:CZ152)</f>
        <v>40000000</v>
      </c>
      <c r="DA179" s="12">
        <f ca="1">SUM($H$152:DA152)</f>
        <v>40000000</v>
      </c>
      <c r="DB179" s="12">
        <f ca="1">SUM($H$152:DB152)</f>
        <v>40000000</v>
      </c>
      <c r="DC179" s="12">
        <f ca="1">SUM($H$152:DC152)</f>
        <v>40000000</v>
      </c>
      <c r="DD179" s="12">
        <f ca="1">SUM($H$152:DD152)</f>
        <v>40000000</v>
      </c>
      <c r="DE179" s="12">
        <f ca="1">SUM($H$152:DE152)</f>
        <v>40000000</v>
      </c>
      <c r="DF179" s="12">
        <f ca="1">SUM($H$152:DF152)</f>
        <v>40000000</v>
      </c>
      <c r="DG179" s="12">
        <f ca="1">SUM($H$152:DG152)</f>
        <v>40000000</v>
      </c>
      <c r="DH179" s="12">
        <f ca="1">SUM($H$152:DH152)</f>
        <v>40000000</v>
      </c>
      <c r="DI179" s="12">
        <f ca="1">SUM($H$152:DI152)</f>
        <v>40000000</v>
      </c>
      <c r="DJ179" s="12">
        <f ca="1">SUM($H$152:DJ152)</f>
        <v>40000000</v>
      </c>
      <c r="DK179" s="12">
        <f ca="1">SUM($H$152:DK152)</f>
        <v>40000000</v>
      </c>
      <c r="DL179" s="12">
        <f ca="1">SUM($H$152:DL152)</f>
        <v>40000000</v>
      </c>
      <c r="DM179" s="12">
        <f ca="1">SUM($H$152:DM152)</f>
        <v>40000000</v>
      </c>
      <c r="DN179" s="12">
        <f ca="1">SUM($H$152:DN152)</f>
        <v>40000000</v>
      </c>
      <c r="DO179" s="12">
        <f ca="1">SUM($H$152:DO152)</f>
        <v>40000000</v>
      </c>
      <c r="DP179" s="12">
        <f ca="1">SUM($H$152:DP152)</f>
        <v>40000000</v>
      </c>
      <c r="DQ179" s="12">
        <f ca="1">SUM($H$152:DQ152)</f>
        <v>40000000</v>
      </c>
      <c r="DR179" s="12">
        <f ca="1">SUM($H$152:DR152)</f>
        <v>40000000</v>
      </c>
      <c r="DS179" s="12">
        <f ca="1">SUM($H$152:DS152)</f>
        <v>40000000</v>
      </c>
      <c r="DT179" s="12">
        <f ca="1">SUM($H$152:DT152)</f>
        <v>40000000</v>
      </c>
      <c r="DU179" s="12">
        <f ca="1">SUM($H$152:DU152)</f>
        <v>40000000</v>
      </c>
      <c r="DV179" s="12">
        <f ca="1">SUM($H$152:DV152)</f>
        <v>40000000</v>
      </c>
      <c r="DW179" s="12">
        <f ca="1">SUM($H$152:DW152)</f>
        <v>40000000</v>
      </c>
      <c r="DX179" s="12">
        <f ca="1">SUM($H$152:DX152)</f>
        <v>40000000</v>
      </c>
      <c r="DY179" s="12">
        <f ca="1">SUM($H$152:DY152)</f>
        <v>40000000</v>
      </c>
      <c r="DZ179" s="12">
        <f ca="1">SUM($H$152:DZ152)</f>
        <v>40000000</v>
      </c>
      <c r="EA179" s="12">
        <f ca="1">SUM($H$152:EA152)</f>
        <v>40000000</v>
      </c>
      <c r="EB179" s="12">
        <f ca="1">SUM($H$152:EB152)</f>
        <v>40000000</v>
      </c>
      <c r="EC179" s="12">
        <f ca="1">SUM($H$152:EC152)</f>
        <v>40000000</v>
      </c>
      <c r="ED179" s="12">
        <f ca="1">SUM($H$152:ED152)</f>
        <v>40000000</v>
      </c>
      <c r="EE179" s="12">
        <f ca="1">SUM($H$152:EE152)</f>
        <v>40000000</v>
      </c>
      <c r="EF179" s="12">
        <f ca="1">SUM($H$152:EF152)</f>
        <v>40000000</v>
      </c>
      <c r="EG179" s="12">
        <f ca="1">SUM($H$152:EG152)</f>
        <v>40000000</v>
      </c>
      <c r="EH179" s="12">
        <f ca="1">SUM($H$152:EH152)</f>
        <v>40000000</v>
      </c>
      <c r="EI179" s="12">
        <f ca="1">SUM($H$152:EI152)</f>
        <v>40000000</v>
      </c>
      <c r="EJ179" s="12">
        <f ca="1">SUM($H$152:EJ152)</f>
        <v>40000000</v>
      </c>
      <c r="EL179" s="12">
        <f t="shared" ca="1" si="322"/>
        <v>0</v>
      </c>
      <c r="EM179" s="12">
        <f t="shared" ca="1" si="322"/>
        <v>7670861.1315651201</v>
      </c>
      <c r="EN179" s="12">
        <f t="shared" ca="1" si="322"/>
        <v>40000000</v>
      </c>
      <c r="EO179" s="12">
        <f t="shared" ca="1" si="322"/>
        <v>40000000</v>
      </c>
      <c r="EP179" s="12">
        <f t="shared" ca="1" si="322"/>
        <v>40000000</v>
      </c>
      <c r="EQ179" s="12">
        <f t="shared" ca="1" si="322"/>
        <v>40000000</v>
      </c>
      <c r="ER179" s="12">
        <f t="shared" ca="1" si="322"/>
        <v>40000000</v>
      </c>
      <c r="ES179" s="12">
        <f t="shared" ca="1" si="322"/>
        <v>40000000</v>
      </c>
      <c r="ET179" s="12">
        <f t="shared" ca="1" si="322"/>
        <v>40000000</v>
      </c>
      <c r="EU179" s="12">
        <f t="shared" ca="1" si="322"/>
        <v>40000000</v>
      </c>
      <c r="EV179" s="12">
        <f t="shared" ca="1" si="322"/>
        <v>40000000</v>
      </c>
      <c r="EW179" s="12">
        <f t="shared" ca="1" si="322"/>
        <v>40000000</v>
      </c>
    </row>
    <row r="180" spans="2:153" x14ac:dyDescent="0.4">
      <c r="B180" s="1" t="s">
        <v>157</v>
      </c>
      <c r="E180" s="12">
        <f ca="1">H180</f>
        <v>935699.99942778982</v>
      </c>
      <c r="F180" s="12">
        <f ca="1">SUMIF($H$6:$EJ$6,$C$5,$H180:$EJ180)</f>
        <v>71250</v>
      </c>
      <c r="H180" s="12">
        <f t="shared" ref="H180:AM180" ca="1" si="323">H175-SUM(H178:H179)</f>
        <v>935699.99942778982</v>
      </c>
      <c r="I180" s="120">
        <f t="shared" ca="1" si="323"/>
        <v>935699.99942778982</v>
      </c>
      <c r="J180" s="12">
        <f t="shared" ca="1" si="323"/>
        <v>935699.99942778982</v>
      </c>
      <c r="K180" s="12">
        <f t="shared" ca="1" si="323"/>
        <v>935699.99942778982</v>
      </c>
      <c r="L180" s="12">
        <f t="shared" ca="1" si="323"/>
        <v>935699.99942778982</v>
      </c>
      <c r="M180" s="12">
        <f t="shared" ca="1" si="323"/>
        <v>935699.99942778982</v>
      </c>
      <c r="N180" s="12">
        <f t="shared" ca="1" si="323"/>
        <v>935699.99942778982</v>
      </c>
      <c r="O180" s="12">
        <f t="shared" ca="1" si="323"/>
        <v>935699.99942778982</v>
      </c>
      <c r="P180" s="12">
        <f t="shared" ca="1" si="323"/>
        <v>935699.99942778982</v>
      </c>
      <c r="Q180" s="12">
        <f t="shared" ca="1" si="323"/>
        <v>935699.99942779168</v>
      </c>
      <c r="R180" s="12">
        <f t="shared" ca="1" si="323"/>
        <v>935699.99942779168</v>
      </c>
      <c r="S180" s="12">
        <f t="shared" ca="1" si="323"/>
        <v>930240.05109049752</v>
      </c>
      <c r="T180" s="12">
        <f t="shared" ca="1" si="323"/>
        <v>911638.86843488365</v>
      </c>
      <c r="U180" s="12">
        <f t="shared" ca="1" si="323"/>
        <v>880086.94605766609</v>
      </c>
      <c r="V180" s="12">
        <f t="shared" ca="1" si="323"/>
        <v>839900.56226887181</v>
      </c>
      <c r="W180" s="12">
        <f t="shared" ca="1" si="323"/>
        <v>782510.95692260563</v>
      </c>
      <c r="X180" s="12">
        <f t="shared" ca="1" si="323"/>
        <v>714488.77502880991</v>
      </c>
      <c r="Y180" s="12">
        <f t="shared" ca="1" si="323"/>
        <v>603508.15832284838</v>
      </c>
      <c r="Z180" s="12">
        <f t="shared" ca="1" si="323"/>
        <v>514201.06189567596</v>
      </c>
      <c r="AA180" s="12">
        <f t="shared" ca="1" si="323"/>
        <v>408850.88738445193</v>
      </c>
      <c r="AB180" s="12">
        <f t="shared" ca="1" si="323"/>
        <v>290528.16543854773</v>
      </c>
      <c r="AC180" s="12">
        <f t="shared" ca="1" si="323"/>
        <v>163447.23299239576</v>
      </c>
      <c r="AD180" s="12">
        <f t="shared" ca="1" si="323"/>
        <v>18750</v>
      </c>
      <c r="AE180" s="12">
        <f t="shared" ca="1" si="323"/>
        <v>22500</v>
      </c>
      <c r="AF180" s="12">
        <f t="shared" ca="1" si="323"/>
        <v>26250</v>
      </c>
      <c r="AG180" s="12">
        <f t="shared" ca="1" si="323"/>
        <v>30000</v>
      </c>
      <c r="AH180" s="12">
        <f t="shared" ca="1" si="323"/>
        <v>33750</v>
      </c>
      <c r="AI180" s="12">
        <f t="shared" ca="1" si="323"/>
        <v>37500</v>
      </c>
      <c r="AJ180" s="12">
        <f t="shared" ca="1" si="323"/>
        <v>41250</v>
      </c>
      <c r="AK180" s="12">
        <f t="shared" ca="1" si="323"/>
        <v>45000</v>
      </c>
      <c r="AL180" s="12">
        <f t="shared" ca="1" si="323"/>
        <v>48750</v>
      </c>
      <c r="AM180" s="12">
        <f t="shared" ca="1" si="323"/>
        <v>52500</v>
      </c>
      <c r="AN180" s="12">
        <f t="shared" ref="AN180:BS180" ca="1" si="324">AN175-SUM(AN178:AN179)</f>
        <v>56250</v>
      </c>
      <c r="AO180" s="12">
        <f t="shared" ca="1" si="324"/>
        <v>60000</v>
      </c>
      <c r="AP180" s="12">
        <f t="shared" ca="1" si="324"/>
        <v>63750</v>
      </c>
      <c r="AQ180" s="12">
        <f t="shared" ca="1" si="324"/>
        <v>67500</v>
      </c>
      <c r="AR180" s="12">
        <f t="shared" ca="1" si="324"/>
        <v>71250</v>
      </c>
      <c r="AS180" s="12">
        <f t="shared" ca="1" si="324"/>
        <v>71250</v>
      </c>
      <c r="AT180" s="12">
        <f t="shared" ca="1" si="324"/>
        <v>71250</v>
      </c>
      <c r="AU180" s="12">
        <f t="shared" ca="1" si="324"/>
        <v>71250</v>
      </c>
      <c r="AV180" s="12">
        <f t="shared" ca="1" si="324"/>
        <v>71250</v>
      </c>
      <c r="AW180" s="12">
        <f t="shared" ca="1" si="324"/>
        <v>71250</v>
      </c>
      <c r="AX180" s="12">
        <f t="shared" ca="1" si="324"/>
        <v>71250</v>
      </c>
      <c r="AY180" s="12">
        <f t="shared" ca="1" si="324"/>
        <v>71250</v>
      </c>
      <c r="AZ180" s="12">
        <f t="shared" ca="1" si="324"/>
        <v>71250</v>
      </c>
      <c r="BA180" s="12">
        <f t="shared" ca="1" si="324"/>
        <v>71250</v>
      </c>
      <c r="BB180" s="12">
        <f t="shared" ca="1" si="324"/>
        <v>71250</v>
      </c>
      <c r="BC180" s="12">
        <f t="shared" ca="1" si="324"/>
        <v>71250</v>
      </c>
      <c r="BD180" s="12">
        <f t="shared" ca="1" si="324"/>
        <v>71250</v>
      </c>
      <c r="BE180" s="12">
        <f t="shared" ca="1" si="324"/>
        <v>71250</v>
      </c>
      <c r="BF180" s="12">
        <f t="shared" ca="1" si="324"/>
        <v>71250</v>
      </c>
      <c r="BG180" s="12">
        <f t="shared" ca="1" si="324"/>
        <v>71250</v>
      </c>
      <c r="BH180" s="12">
        <f t="shared" ca="1" si="324"/>
        <v>71250</v>
      </c>
      <c r="BI180" s="12">
        <f t="shared" ca="1" si="324"/>
        <v>71250</v>
      </c>
      <c r="BJ180" s="12">
        <f t="shared" ca="1" si="324"/>
        <v>71250</v>
      </c>
      <c r="BK180" s="12">
        <f t="shared" ca="1" si="324"/>
        <v>71250</v>
      </c>
      <c r="BL180" s="12">
        <f t="shared" ca="1" si="324"/>
        <v>71250</v>
      </c>
      <c r="BM180" s="12">
        <f t="shared" ca="1" si="324"/>
        <v>71250</v>
      </c>
      <c r="BN180" s="12">
        <f t="shared" ca="1" si="324"/>
        <v>71250</v>
      </c>
      <c r="BO180" s="12">
        <f t="shared" ca="1" si="324"/>
        <v>71250</v>
      </c>
      <c r="BP180" s="12">
        <f t="shared" ca="1" si="324"/>
        <v>71250</v>
      </c>
      <c r="BQ180" s="12">
        <f t="shared" ca="1" si="324"/>
        <v>71250</v>
      </c>
      <c r="BR180" s="12">
        <f t="shared" ca="1" si="324"/>
        <v>71250</v>
      </c>
      <c r="BS180" s="12">
        <f t="shared" ca="1" si="324"/>
        <v>71250</v>
      </c>
      <c r="BT180" s="12">
        <f t="shared" ref="BT180:CY180" ca="1" si="325">BT175-SUM(BT178:BT179)</f>
        <v>71250</v>
      </c>
      <c r="BU180" s="12">
        <f t="shared" ca="1" si="325"/>
        <v>71250</v>
      </c>
      <c r="BV180" s="12">
        <f t="shared" ca="1" si="325"/>
        <v>71250</v>
      </c>
      <c r="BW180" s="12">
        <f t="shared" ca="1" si="325"/>
        <v>71250</v>
      </c>
      <c r="BX180" s="12">
        <f t="shared" ca="1" si="325"/>
        <v>71250</v>
      </c>
      <c r="BY180" s="12">
        <f t="shared" ca="1" si="325"/>
        <v>71250</v>
      </c>
      <c r="BZ180" s="12">
        <f t="shared" ca="1" si="325"/>
        <v>71250</v>
      </c>
      <c r="CA180" s="12">
        <f t="shared" ca="1" si="325"/>
        <v>71250</v>
      </c>
      <c r="CB180" s="12">
        <f t="shared" ca="1" si="325"/>
        <v>71250</v>
      </c>
      <c r="CC180" s="12">
        <f t="shared" ca="1" si="325"/>
        <v>71250</v>
      </c>
      <c r="CD180" s="12">
        <f t="shared" ca="1" si="325"/>
        <v>71250</v>
      </c>
      <c r="CE180" s="12">
        <f t="shared" ca="1" si="325"/>
        <v>71250</v>
      </c>
      <c r="CF180" s="12">
        <f t="shared" ca="1" si="325"/>
        <v>71250</v>
      </c>
      <c r="CG180" s="12">
        <f t="shared" ca="1" si="325"/>
        <v>71250</v>
      </c>
      <c r="CH180" s="12">
        <f t="shared" ca="1" si="325"/>
        <v>71250</v>
      </c>
      <c r="CI180" s="12">
        <f t="shared" ca="1" si="325"/>
        <v>71250</v>
      </c>
      <c r="CJ180" s="12">
        <f t="shared" ca="1" si="325"/>
        <v>71250</v>
      </c>
      <c r="CK180" s="12">
        <f t="shared" ca="1" si="325"/>
        <v>71250</v>
      </c>
      <c r="CL180" s="12">
        <f t="shared" ca="1" si="325"/>
        <v>71250</v>
      </c>
      <c r="CM180" s="12">
        <f t="shared" ca="1" si="325"/>
        <v>71250</v>
      </c>
      <c r="CN180" s="12">
        <f t="shared" ca="1" si="325"/>
        <v>71250</v>
      </c>
      <c r="CO180" s="12">
        <f t="shared" ca="1" si="325"/>
        <v>71250</v>
      </c>
      <c r="CP180" s="12">
        <f t="shared" ca="1" si="325"/>
        <v>71250</v>
      </c>
      <c r="CQ180" s="12">
        <f t="shared" ca="1" si="325"/>
        <v>71250</v>
      </c>
      <c r="CR180" s="12">
        <f t="shared" ca="1" si="325"/>
        <v>71250</v>
      </c>
      <c r="CS180" s="12">
        <f t="shared" ca="1" si="325"/>
        <v>71250</v>
      </c>
      <c r="CT180" s="12">
        <f t="shared" ca="1" si="325"/>
        <v>71250</v>
      </c>
      <c r="CU180" s="12">
        <f t="shared" ca="1" si="325"/>
        <v>71250</v>
      </c>
      <c r="CV180" s="12">
        <f t="shared" ca="1" si="325"/>
        <v>71250</v>
      </c>
      <c r="CW180" s="12">
        <f t="shared" ca="1" si="325"/>
        <v>71250</v>
      </c>
      <c r="CX180" s="12">
        <f t="shared" ca="1" si="325"/>
        <v>71250</v>
      </c>
      <c r="CY180" s="12">
        <f t="shared" ca="1" si="325"/>
        <v>71250</v>
      </c>
      <c r="CZ180" s="12">
        <f t="shared" ref="CZ180:EE180" ca="1" si="326">CZ175-SUM(CZ178:CZ179)</f>
        <v>71250</v>
      </c>
      <c r="DA180" s="12">
        <f t="shared" ca="1" si="326"/>
        <v>71250</v>
      </c>
      <c r="DB180" s="12">
        <f t="shared" ca="1" si="326"/>
        <v>71250</v>
      </c>
      <c r="DC180" s="12">
        <f t="shared" ca="1" si="326"/>
        <v>71250</v>
      </c>
      <c r="DD180" s="12">
        <f t="shared" ca="1" si="326"/>
        <v>71250</v>
      </c>
      <c r="DE180" s="12">
        <f t="shared" ca="1" si="326"/>
        <v>71250</v>
      </c>
      <c r="DF180" s="12">
        <f t="shared" ca="1" si="326"/>
        <v>71250</v>
      </c>
      <c r="DG180" s="12">
        <f t="shared" ca="1" si="326"/>
        <v>71250</v>
      </c>
      <c r="DH180" s="12">
        <f t="shared" ca="1" si="326"/>
        <v>71250</v>
      </c>
      <c r="DI180" s="12">
        <f t="shared" ca="1" si="326"/>
        <v>71250</v>
      </c>
      <c r="DJ180" s="12">
        <f t="shared" ca="1" si="326"/>
        <v>71250</v>
      </c>
      <c r="DK180" s="12">
        <f t="shared" ca="1" si="326"/>
        <v>71250</v>
      </c>
      <c r="DL180" s="12">
        <f t="shared" ca="1" si="326"/>
        <v>71250</v>
      </c>
      <c r="DM180" s="12">
        <f t="shared" ca="1" si="326"/>
        <v>71250</v>
      </c>
      <c r="DN180" s="12">
        <f t="shared" ca="1" si="326"/>
        <v>71250</v>
      </c>
      <c r="DO180" s="12">
        <f t="shared" ca="1" si="326"/>
        <v>71250</v>
      </c>
      <c r="DP180" s="12">
        <f t="shared" ca="1" si="326"/>
        <v>71250</v>
      </c>
      <c r="DQ180" s="12">
        <f t="shared" ca="1" si="326"/>
        <v>71250</v>
      </c>
      <c r="DR180" s="12">
        <f t="shared" ca="1" si="326"/>
        <v>71250</v>
      </c>
      <c r="DS180" s="12">
        <f t="shared" ca="1" si="326"/>
        <v>71250</v>
      </c>
      <c r="DT180" s="12">
        <f t="shared" ca="1" si="326"/>
        <v>71250</v>
      </c>
      <c r="DU180" s="12">
        <f t="shared" ca="1" si="326"/>
        <v>71250</v>
      </c>
      <c r="DV180" s="12">
        <f t="shared" ca="1" si="326"/>
        <v>71250</v>
      </c>
      <c r="DW180" s="12">
        <f t="shared" ca="1" si="326"/>
        <v>71250</v>
      </c>
      <c r="DX180" s="12">
        <f t="shared" ca="1" si="326"/>
        <v>71250</v>
      </c>
      <c r="DY180" s="12">
        <f t="shared" ca="1" si="326"/>
        <v>71250</v>
      </c>
      <c r="DZ180" s="12">
        <f t="shared" ca="1" si="326"/>
        <v>71250</v>
      </c>
      <c r="EA180" s="12">
        <f t="shared" ca="1" si="326"/>
        <v>71250</v>
      </c>
      <c r="EB180" s="12">
        <f t="shared" ca="1" si="326"/>
        <v>71250</v>
      </c>
      <c r="EC180" s="12">
        <f t="shared" ca="1" si="326"/>
        <v>71250</v>
      </c>
      <c r="ED180" s="12">
        <f t="shared" ca="1" si="326"/>
        <v>71250</v>
      </c>
      <c r="EE180" s="12">
        <f t="shared" ca="1" si="326"/>
        <v>71250</v>
      </c>
      <c r="EF180" s="12">
        <f t="shared" ref="EF180:FK180" ca="1" si="327">EF175-SUM(EF178:EF179)</f>
        <v>71250</v>
      </c>
      <c r="EG180" s="12">
        <f t="shared" ca="1" si="327"/>
        <v>71250</v>
      </c>
      <c r="EH180" s="12">
        <f t="shared" ca="1" si="327"/>
        <v>71250</v>
      </c>
      <c r="EI180" s="12">
        <f t="shared" ca="1" si="327"/>
        <v>71250</v>
      </c>
      <c r="EJ180" s="12">
        <f t="shared" ca="1" si="327"/>
        <v>71250</v>
      </c>
      <c r="EL180" s="12">
        <f t="shared" ca="1" si="322"/>
        <v>935699.99942778982</v>
      </c>
      <c r="EM180" s="12">
        <f t="shared" ca="1" si="322"/>
        <v>911638.86843488365</v>
      </c>
      <c r="EN180" s="12">
        <f t="shared" ca="1" si="322"/>
        <v>26250</v>
      </c>
      <c r="EO180" s="12">
        <f t="shared" ca="1" si="322"/>
        <v>71250</v>
      </c>
      <c r="EP180" s="12">
        <f t="shared" ca="1" si="322"/>
        <v>71250</v>
      </c>
      <c r="EQ180" s="12">
        <f t="shared" ca="1" si="322"/>
        <v>71250</v>
      </c>
      <c r="ER180" s="12">
        <f t="shared" ca="1" si="322"/>
        <v>71250</v>
      </c>
      <c r="ES180" s="12">
        <f t="shared" ca="1" si="322"/>
        <v>71250</v>
      </c>
      <c r="ET180" s="12">
        <f t="shared" ca="1" si="322"/>
        <v>71250</v>
      </c>
      <c r="EU180" s="12">
        <f t="shared" ca="1" si="322"/>
        <v>71250</v>
      </c>
      <c r="EV180" s="12">
        <f t="shared" ca="1" si="322"/>
        <v>71250</v>
      </c>
      <c r="EW180" s="12">
        <f t="shared" ca="1" si="322"/>
        <v>71250</v>
      </c>
    </row>
    <row r="181" spans="2:153" x14ac:dyDescent="0.4">
      <c r="B181" s="10" t="s">
        <v>158</v>
      </c>
      <c r="E181" s="117">
        <f ca="1">SUM(E178:E180)</f>
        <v>7035699.9994277898</v>
      </c>
      <c r="F181" s="117">
        <f ca="1">SUM(F178:F180)</f>
        <v>58820699.999427788</v>
      </c>
      <c r="H181" s="117">
        <f t="shared" ref="H181:AM181" ca="1" si="328">SUM(H178:H180)</f>
        <v>7035699.9994277898</v>
      </c>
      <c r="I181" s="117">
        <f t="shared" ca="1" si="328"/>
        <v>7035699.9994277898</v>
      </c>
      <c r="J181" s="117">
        <f t="shared" ca="1" si="328"/>
        <v>7035699.9994277898</v>
      </c>
      <c r="K181" s="117">
        <f t="shared" ca="1" si="328"/>
        <v>7396199.9994277898</v>
      </c>
      <c r="L181" s="117">
        <f t="shared" ca="1" si="328"/>
        <v>7756699.9994277898</v>
      </c>
      <c r="M181" s="117">
        <f t="shared" ca="1" si="328"/>
        <v>8117199.9994277898</v>
      </c>
      <c r="N181" s="117">
        <f t="shared" ca="1" si="328"/>
        <v>8477699.9994277898</v>
      </c>
      <c r="O181" s="117">
        <f t="shared" ca="1" si="328"/>
        <v>11619449.99942779</v>
      </c>
      <c r="P181" s="117">
        <f t="shared" ca="1" si="328"/>
        <v>14761199.99942779</v>
      </c>
      <c r="Q181" s="117">
        <f t="shared" ca="1" si="328"/>
        <v>17902949.999427792</v>
      </c>
      <c r="R181" s="117">
        <f t="shared" ca="1" si="328"/>
        <v>21044699.999427792</v>
      </c>
      <c r="S181" s="117">
        <f t="shared" ca="1" si="328"/>
        <v>24186449.999427792</v>
      </c>
      <c r="T181" s="117">
        <f t="shared" ca="1" si="328"/>
        <v>27328199.999427792</v>
      </c>
      <c r="U181" s="117">
        <f t="shared" ca="1" si="328"/>
        <v>30469949.999427792</v>
      </c>
      <c r="V181" s="117">
        <f t="shared" ca="1" si="328"/>
        <v>33611699.999427788</v>
      </c>
      <c r="W181" s="117">
        <f t="shared" ca="1" si="328"/>
        <v>36753449.999427788</v>
      </c>
      <c r="X181" s="117">
        <f t="shared" ca="1" si="328"/>
        <v>39895199.999427788</v>
      </c>
      <c r="Y181" s="117">
        <f t="shared" ca="1" si="328"/>
        <v>43040699.999427788</v>
      </c>
      <c r="Z181" s="117">
        <f t="shared" ca="1" si="328"/>
        <v>46186199.999427788</v>
      </c>
      <c r="AA181" s="117">
        <f t="shared" ca="1" si="328"/>
        <v>49331699.999427788</v>
      </c>
      <c r="AB181" s="117">
        <f t="shared" ca="1" si="328"/>
        <v>52477199.999427788</v>
      </c>
      <c r="AC181" s="117">
        <f t="shared" ca="1" si="328"/>
        <v>55622699.999427788</v>
      </c>
      <c r="AD181" s="117">
        <f t="shared" ca="1" si="328"/>
        <v>58768199.999427788</v>
      </c>
      <c r="AE181" s="117">
        <f t="shared" ca="1" si="328"/>
        <v>58771949.999427788</v>
      </c>
      <c r="AF181" s="117">
        <f t="shared" ca="1" si="328"/>
        <v>58775699.999427788</v>
      </c>
      <c r="AG181" s="117">
        <f t="shared" ca="1" si="328"/>
        <v>58779449.999427788</v>
      </c>
      <c r="AH181" s="117">
        <f t="shared" ca="1" si="328"/>
        <v>58783199.999427788</v>
      </c>
      <c r="AI181" s="117">
        <f t="shared" ca="1" si="328"/>
        <v>58786949.999427788</v>
      </c>
      <c r="AJ181" s="117">
        <f t="shared" ca="1" si="328"/>
        <v>58790699.999427788</v>
      </c>
      <c r="AK181" s="117">
        <f t="shared" ca="1" si="328"/>
        <v>58794449.999427788</v>
      </c>
      <c r="AL181" s="117">
        <f t="shared" ca="1" si="328"/>
        <v>58798199.999427788</v>
      </c>
      <c r="AM181" s="117">
        <f t="shared" ca="1" si="328"/>
        <v>58801949.999427788</v>
      </c>
      <c r="AN181" s="117">
        <f t="shared" ref="AN181:BS181" ca="1" si="329">SUM(AN178:AN180)</f>
        <v>58805699.999427788</v>
      </c>
      <c r="AO181" s="117">
        <f t="shared" ca="1" si="329"/>
        <v>58809449.999427788</v>
      </c>
      <c r="AP181" s="117">
        <f t="shared" ca="1" si="329"/>
        <v>58813199.999427788</v>
      </c>
      <c r="AQ181" s="117">
        <f t="shared" ca="1" si="329"/>
        <v>58816949.999427788</v>
      </c>
      <c r="AR181" s="117">
        <f t="shared" ca="1" si="329"/>
        <v>58820699.999427788</v>
      </c>
      <c r="AS181" s="117">
        <f t="shared" ca="1" si="329"/>
        <v>58820699.999427788</v>
      </c>
      <c r="AT181" s="117">
        <f t="shared" ca="1" si="329"/>
        <v>58820699.999427788</v>
      </c>
      <c r="AU181" s="117">
        <f t="shared" ca="1" si="329"/>
        <v>58820699.999427788</v>
      </c>
      <c r="AV181" s="117">
        <f t="shared" ca="1" si="329"/>
        <v>58820699.999427788</v>
      </c>
      <c r="AW181" s="117">
        <f t="shared" ca="1" si="329"/>
        <v>58820699.999427788</v>
      </c>
      <c r="AX181" s="117">
        <f t="shared" ca="1" si="329"/>
        <v>58820699.999427788</v>
      </c>
      <c r="AY181" s="117">
        <f t="shared" ca="1" si="329"/>
        <v>58820699.999427788</v>
      </c>
      <c r="AZ181" s="117">
        <f t="shared" ca="1" si="329"/>
        <v>58820699.999427788</v>
      </c>
      <c r="BA181" s="117">
        <f t="shared" ca="1" si="329"/>
        <v>58820699.999427788</v>
      </c>
      <c r="BB181" s="117">
        <f t="shared" ca="1" si="329"/>
        <v>58820699.999427788</v>
      </c>
      <c r="BC181" s="117">
        <f t="shared" ca="1" si="329"/>
        <v>58820699.999427788</v>
      </c>
      <c r="BD181" s="117">
        <f t="shared" ca="1" si="329"/>
        <v>58820699.999427788</v>
      </c>
      <c r="BE181" s="117">
        <f t="shared" ca="1" si="329"/>
        <v>58820699.999427788</v>
      </c>
      <c r="BF181" s="117">
        <f t="shared" ca="1" si="329"/>
        <v>58820699.999427788</v>
      </c>
      <c r="BG181" s="117">
        <f t="shared" ca="1" si="329"/>
        <v>58820699.999427788</v>
      </c>
      <c r="BH181" s="117">
        <f t="shared" ca="1" si="329"/>
        <v>58820699.999427788</v>
      </c>
      <c r="BI181" s="117">
        <f t="shared" ca="1" si="329"/>
        <v>58820699.999427788</v>
      </c>
      <c r="BJ181" s="117">
        <f t="shared" ca="1" si="329"/>
        <v>58820699.999427788</v>
      </c>
      <c r="BK181" s="117">
        <f t="shared" ca="1" si="329"/>
        <v>58820699.999427788</v>
      </c>
      <c r="BL181" s="117">
        <f t="shared" ca="1" si="329"/>
        <v>58820699.999427788</v>
      </c>
      <c r="BM181" s="117">
        <f t="shared" ca="1" si="329"/>
        <v>58820699.999427788</v>
      </c>
      <c r="BN181" s="117">
        <f t="shared" ca="1" si="329"/>
        <v>58820699.999427788</v>
      </c>
      <c r="BO181" s="117">
        <f t="shared" ca="1" si="329"/>
        <v>58820699.999427788</v>
      </c>
      <c r="BP181" s="117">
        <f t="shared" ca="1" si="329"/>
        <v>58820699.999427788</v>
      </c>
      <c r="BQ181" s="117">
        <f t="shared" ca="1" si="329"/>
        <v>58820699.999427788</v>
      </c>
      <c r="BR181" s="117">
        <f t="shared" ca="1" si="329"/>
        <v>58820699.999427788</v>
      </c>
      <c r="BS181" s="117">
        <f t="shared" ca="1" si="329"/>
        <v>58820699.999427788</v>
      </c>
      <c r="BT181" s="117">
        <f t="shared" ref="BT181:CY181" ca="1" si="330">SUM(BT178:BT180)</f>
        <v>58820699.999427788</v>
      </c>
      <c r="BU181" s="117">
        <f t="shared" ca="1" si="330"/>
        <v>58820699.999427788</v>
      </c>
      <c r="BV181" s="117">
        <f t="shared" ca="1" si="330"/>
        <v>58820699.999427788</v>
      </c>
      <c r="BW181" s="117">
        <f t="shared" ca="1" si="330"/>
        <v>58820699.999427788</v>
      </c>
      <c r="BX181" s="117">
        <f t="shared" ca="1" si="330"/>
        <v>58820699.999427788</v>
      </c>
      <c r="BY181" s="117">
        <f t="shared" ca="1" si="330"/>
        <v>58820699.999427788</v>
      </c>
      <c r="BZ181" s="117">
        <f t="shared" ca="1" si="330"/>
        <v>58820699.999427788</v>
      </c>
      <c r="CA181" s="117">
        <f t="shared" ca="1" si="330"/>
        <v>58820699.999427788</v>
      </c>
      <c r="CB181" s="117">
        <f t="shared" ca="1" si="330"/>
        <v>58820699.999427788</v>
      </c>
      <c r="CC181" s="117">
        <f t="shared" ca="1" si="330"/>
        <v>58820699.999427788</v>
      </c>
      <c r="CD181" s="117">
        <f t="shared" ca="1" si="330"/>
        <v>58820699.999427788</v>
      </c>
      <c r="CE181" s="117">
        <f t="shared" ca="1" si="330"/>
        <v>58820699.999427788</v>
      </c>
      <c r="CF181" s="117">
        <f t="shared" ca="1" si="330"/>
        <v>58820699.999427788</v>
      </c>
      <c r="CG181" s="117">
        <f t="shared" ca="1" si="330"/>
        <v>58820699.999427788</v>
      </c>
      <c r="CH181" s="117">
        <f t="shared" ca="1" si="330"/>
        <v>58820699.999427788</v>
      </c>
      <c r="CI181" s="117">
        <f t="shared" ca="1" si="330"/>
        <v>58820699.999427788</v>
      </c>
      <c r="CJ181" s="117">
        <f t="shared" ca="1" si="330"/>
        <v>58820699.999427788</v>
      </c>
      <c r="CK181" s="117">
        <f t="shared" ca="1" si="330"/>
        <v>58820699.999427788</v>
      </c>
      <c r="CL181" s="117">
        <f t="shared" ca="1" si="330"/>
        <v>58820699.999427788</v>
      </c>
      <c r="CM181" s="117">
        <f t="shared" ca="1" si="330"/>
        <v>58820699.999427788</v>
      </c>
      <c r="CN181" s="117">
        <f t="shared" ca="1" si="330"/>
        <v>58820699.999427788</v>
      </c>
      <c r="CO181" s="117">
        <f t="shared" ca="1" si="330"/>
        <v>58820699.999427788</v>
      </c>
      <c r="CP181" s="117">
        <f t="shared" ca="1" si="330"/>
        <v>58820699.999427788</v>
      </c>
      <c r="CQ181" s="117">
        <f t="shared" ca="1" si="330"/>
        <v>58820699.999427788</v>
      </c>
      <c r="CR181" s="117">
        <f t="shared" ca="1" si="330"/>
        <v>58820699.999427788</v>
      </c>
      <c r="CS181" s="117">
        <f t="shared" ca="1" si="330"/>
        <v>58820699.999427788</v>
      </c>
      <c r="CT181" s="117">
        <f t="shared" ca="1" si="330"/>
        <v>58820699.999427788</v>
      </c>
      <c r="CU181" s="117">
        <f t="shared" ca="1" si="330"/>
        <v>58820699.999427788</v>
      </c>
      <c r="CV181" s="117">
        <f t="shared" ca="1" si="330"/>
        <v>58820699.999427788</v>
      </c>
      <c r="CW181" s="117">
        <f t="shared" ca="1" si="330"/>
        <v>58820699.999427788</v>
      </c>
      <c r="CX181" s="117">
        <f t="shared" ca="1" si="330"/>
        <v>58820699.999427788</v>
      </c>
      <c r="CY181" s="117">
        <f t="shared" ca="1" si="330"/>
        <v>58820699.999427788</v>
      </c>
      <c r="CZ181" s="117">
        <f t="shared" ref="CZ181:EE181" ca="1" si="331">SUM(CZ178:CZ180)</f>
        <v>58820699.999427788</v>
      </c>
      <c r="DA181" s="117">
        <f t="shared" ca="1" si="331"/>
        <v>58820699.999427788</v>
      </c>
      <c r="DB181" s="117">
        <f t="shared" ca="1" si="331"/>
        <v>58820699.999427788</v>
      </c>
      <c r="DC181" s="117">
        <f t="shared" ca="1" si="331"/>
        <v>58820699.999427788</v>
      </c>
      <c r="DD181" s="117">
        <f t="shared" ca="1" si="331"/>
        <v>58820699.999427788</v>
      </c>
      <c r="DE181" s="117">
        <f t="shared" ca="1" si="331"/>
        <v>58820699.999427788</v>
      </c>
      <c r="DF181" s="117">
        <f t="shared" ca="1" si="331"/>
        <v>58820699.999427788</v>
      </c>
      <c r="DG181" s="117">
        <f t="shared" ca="1" si="331"/>
        <v>58820699.999427788</v>
      </c>
      <c r="DH181" s="117">
        <f t="shared" ca="1" si="331"/>
        <v>58820699.999427788</v>
      </c>
      <c r="DI181" s="117">
        <f t="shared" ca="1" si="331"/>
        <v>58820699.999427788</v>
      </c>
      <c r="DJ181" s="117">
        <f t="shared" ca="1" si="331"/>
        <v>58820699.999427788</v>
      </c>
      <c r="DK181" s="117">
        <f t="shared" ca="1" si="331"/>
        <v>58820699.999427788</v>
      </c>
      <c r="DL181" s="117">
        <f t="shared" ca="1" si="331"/>
        <v>58820699.999427788</v>
      </c>
      <c r="DM181" s="117">
        <f t="shared" ca="1" si="331"/>
        <v>58820699.999427788</v>
      </c>
      <c r="DN181" s="117">
        <f t="shared" ca="1" si="331"/>
        <v>58820699.999427788</v>
      </c>
      <c r="DO181" s="117">
        <f t="shared" ca="1" si="331"/>
        <v>58820699.999427788</v>
      </c>
      <c r="DP181" s="117">
        <f t="shared" ca="1" si="331"/>
        <v>58820699.999427788</v>
      </c>
      <c r="DQ181" s="117">
        <f t="shared" ca="1" si="331"/>
        <v>58820699.999427788</v>
      </c>
      <c r="DR181" s="117">
        <f t="shared" ca="1" si="331"/>
        <v>58820699.999427788</v>
      </c>
      <c r="DS181" s="117">
        <f t="shared" ca="1" si="331"/>
        <v>58820699.999427788</v>
      </c>
      <c r="DT181" s="117">
        <f t="shared" ca="1" si="331"/>
        <v>58820699.999427788</v>
      </c>
      <c r="DU181" s="117">
        <f t="shared" ca="1" si="331"/>
        <v>58820699.999427788</v>
      </c>
      <c r="DV181" s="117">
        <f t="shared" ca="1" si="331"/>
        <v>58820699.999427788</v>
      </c>
      <c r="DW181" s="117">
        <f t="shared" ca="1" si="331"/>
        <v>58820699.999427788</v>
      </c>
      <c r="DX181" s="117">
        <f t="shared" ca="1" si="331"/>
        <v>58820699.999427788</v>
      </c>
      <c r="DY181" s="117">
        <f t="shared" ca="1" si="331"/>
        <v>58820699.999427788</v>
      </c>
      <c r="DZ181" s="117">
        <f t="shared" ca="1" si="331"/>
        <v>58820699.999427788</v>
      </c>
      <c r="EA181" s="117">
        <f t="shared" ca="1" si="331"/>
        <v>58820699.999427788</v>
      </c>
      <c r="EB181" s="117">
        <f t="shared" ca="1" si="331"/>
        <v>58820699.999427788</v>
      </c>
      <c r="EC181" s="117">
        <f t="shared" ca="1" si="331"/>
        <v>58820699.999427788</v>
      </c>
      <c r="ED181" s="117">
        <f t="shared" ca="1" si="331"/>
        <v>58820699.999427788</v>
      </c>
      <c r="EE181" s="117">
        <f t="shared" ca="1" si="331"/>
        <v>58820699.999427788</v>
      </c>
      <c r="EF181" s="117">
        <f t="shared" ref="EF181:FK181" ca="1" si="332">SUM(EF178:EF180)</f>
        <v>58820699.999427788</v>
      </c>
      <c r="EG181" s="117">
        <f t="shared" ca="1" si="332"/>
        <v>58820699.999427788</v>
      </c>
      <c r="EH181" s="117">
        <f t="shared" ca="1" si="332"/>
        <v>58820699.999427788</v>
      </c>
      <c r="EI181" s="117">
        <f t="shared" ca="1" si="332"/>
        <v>58820699.999427788</v>
      </c>
      <c r="EJ181" s="117">
        <f t="shared" ca="1" si="332"/>
        <v>58820699.999427788</v>
      </c>
      <c r="EL181" s="117">
        <f t="shared" ref="EL181:EW181" ca="1" si="333">SUM(EL178:EL180)</f>
        <v>7035699.9994277898</v>
      </c>
      <c r="EM181" s="117">
        <f t="shared" ca="1" si="333"/>
        <v>27328199.999427792</v>
      </c>
      <c r="EN181" s="117">
        <f t="shared" ca="1" si="333"/>
        <v>58775699.999427788</v>
      </c>
      <c r="EO181" s="117">
        <f t="shared" ca="1" si="333"/>
        <v>58820699.999427788</v>
      </c>
      <c r="EP181" s="117">
        <f t="shared" ca="1" si="333"/>
        <v>58820699.999427788</v>
      </c>
      <c r="EQ181" s="117">
        <f t="shared" ca="1" si="333"/>
        <v>58820699.999427788</v>
      </c>
      <c r="ER181" s="117">
        <f t="shared" ca="1" si="333"/>
        <v>58820699.999427788</v>
      </c>
      <c r="ES181" s="117">
        <f t="shared" ca="1" si="333"/>
        <v>58820699.999427788</v>
      </c>
      <c r="ET181" s="117">
        <f t="shared" ca="1" si="333"/>
        <v>58820699.999427788</v>
      </c>
      <c r="EU181" s="117">
        <f t="shared" ca="1" si="333"/>
        <v>58820699.999427788</v>
      </c>
      <c r="EV181" s="117">
        <f t="shared" ca="1" si="333"/>
        <v>58820699.999427788</v>
      </c>
      <c r="EW181" s="117">
        <f t="shared" ca="1" si="333"/>
        <v>58820699.999427788</v>
      </c>
    </row>
    <row r="182" spans="2:153" x14ac:dyDescent="0.4">
      <c r="B182" s="10"/>
      <c r="F182" s="19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  <c r="AG182" s="118"/>
      <c r="AH182" s="118"/>
      <c r="AI182" s="118"/>
      <c r="AJ182" s="118"/>
      <c r="AK182" s="118"/>
      <c r="AL182" s="118"/>
      <c r="AM182" s="118"/>
      <c r="AN182" s="118"/>
      <c r="AO182" s="118"/>
      <c r="AP182" s="118"/>
      <c r="AQ182" s="118"/>
      <c r="AR182" s="118"/>
      <c r="AS182" s="118"/>
      <c r="AT182" s="118"/>
      <c r="AU182" s="118"/>
      <c r="AV182" s="118"/>
      <c r="AW182" s="118"/>
      <c r="AX182" s="118"/>
      <c r="AY182" s="118"/>
      <c r="AZ182" s="118"/>
      <c r="BA182" s="118"/>
      <c r="BB182" s="118"/>
      <c r="BC182" s="118"/>
      <c r="BD182" s="118"/>
      <c r="BE182" s="118"/>
      <c r="BF182" s="118"/>
      <c r="BG182" s="118"/>
      <c r="BH182" s="118"/>
      <c r="BI182" s="118"/>
      <c r="BJ182" s="118"/>
      <c r="BK182" s="118"/>
      <c r="BL182" s="118"/>
      <c r="BM182" s="118"/>
      <c r="BN182" s="118"/>
      <c r="BO182" s="118"/>
      <c r="BP182" s="118"/>
      <c r="BQ182" s="118"/>
      <c r="BR182" s="118"/>
      <c r="BS182" s="118"/>
      <c r="BT182" s="118"/>
      <c r="BU182" s="118"/>
      <c r="BV182" s="118"/>
      <c r="BW182" s="118"/>
      <c r="BX182" s="118"/>
      <c r="BY182" s="118"/>
      <c r="BZ182" s="118"/>
      <c r="CA182" s="118"/>
      <c r="CB182" s="118"/>
      <c r="CC182" s="118"/>
      <c r="CD182" s="118"/>
      <c r="CE182" s="118"/>
      <c r="CF182" s="118"/>
      <c r="CG182" s="118"/>
      <c r="CH182" s="118"/>
      <c r="CI182" s="118"/>
      <c r="CJ182" s="118"/>
      <c r="CK182" s="118"/>
      <c r="CL182" s="118"/>
      <c r="CM182" s="118"/>
      <c r="CN182" s="118"/>
      <c r="CO182" s="118"/>
      <c r="CP182" s="118"/>
      <c r="CQ182" s="118"/>
      <c r="CR182" s="118"/>
      <c r="CS182" s="118"/>
      <c r="CT182" s="118"/>
      <c r="CU182" s="118"/>
      <c r="CV182" s="118"/>
      <c r="CW182" s="118"/>
      <c r="CX182" s="118"/>
      <c r="CY182" s="118"/>
      <c r="CZ182" s="118"/>
      <c r="DA182" s="118"/>
      <c r="DB182" s="118"/>
      <c r="DC182" s="118"/>
      <c r="DD182" s="118"/>
      <c r="DE182" s="118"/>
      <c r="DF182" s="118"/>
      <c r="DG182" s="118"/>
      <c r="DH182" s="118"/>
      <c r="DI182" s="118"/>
      <c r="DJ182" s="118"/>
      <c r="DK182" s="118"/>
      <c r="DL182" s="118"/>
      <c r="DM182" s="118"/>
      <c r="DN182" s="118"/>
      <c r="DO182" s="118"/>
      <c r="DP182" s="118"/>
      <c r="DQ182" s="118"/>
      <c r="DR182" s="118"/>
      <c r="DS182" s="118"/>
      <c r="DT182" s="118"/>
      <c r="DU182" s="118"/>
      <c r="DV182" s="118"/>
      <c r="DW182" s="118"/>
      <c r="DX182" s="118"/>
      <c r="DY182" s="118"/>
      <c r="DZ182" s="118"/>
      <c r="EA182" s="118"/>
      <c r="EB182" s="118"/>
      <c r="EC182" s="118"/>
      <c r="ED182" s="118"/>
      <c r="EE182" s="118"/>
      <c r="EF182" s="118"/>
      <c r="EG182" s="118"/>
      <c r="EH182" s="118"/>
      <c r="EI182" s="118"/>
      <c r="EJ182" s="118"/>
    </row>
    <row r="183" spans="2:153" x14ac:dyDescent="0.4">
      <c r="B183" s="9" t="s">
        <v>33</v>
      </c>
      <c r="E183" s="119" t="str">
        <f ca="1">IF(E175=E181,"Ok","Check")</f>
        <v>Ok</v>
      </c>
      <c r="F183" s="119" t="str">
        <f ca="1">IF(F175=F181,"Ok","Check")</f>
        <v>Ok</v>
      </c>
      <c r="H183" s="119" t="str">
        <f t="shared" ref="H183:M183" ca="1" si="334">IF(H175=H181,"Ok","Check")</f>
        <v>Ok</v>
      </c>
      <c r="I183" s="119" t="str">
        <f t="shared" ca="1" si="334"/>
        <v>Ok</v>
      </c>
      <c r="J183" s="119" t="str">
        <f t="shared" ca="1" si="334"/>
        <v>Ok</v>
      </c>
      <c r="K183" s="119" t="str">
        <f t="shared" ca="1" si="334"/>
        <v>Ok</v>
      </c>
      <c r="L183" s="119" t="str">
        <f t="shared" ca="1" si="334"/>
        <v>Ok</v>
      </c>
      <c r="M183" s="119" t="str">
        <f t="shared" ca="1" si="334"/>
        <v>Ok</v>
      </c>
      <c r="N183" s="119" t="str">
        <f t="shared" ref="N183:BY183" ca="1" si="335">IF(N175=N181,"Ok","Check")</f>
        <v>Ok</v>
      </c>
      <c r="O183" s="119" t="str">
        <f t="shared" ca="1" si="335"/>
        <v>Ok</v>
      </c>
      <c r="P183" s="119" t="str">
        <f t="shared" ca="1" si="335"/>
        <v>Ok</v>
      </c>
      <c r="Q183" s="119" t="str">
        <f t="shared" ca="1" si="335"/>
        <v>Ok</v>
      </c>
      <c r="R183" s="119" t="str">
        <f t="shared" ca="1" si="335"/>
        <v>Ok</v>
      </c>
      <c r="S183" s="119" t="str">
        <f t="shared" ca="1" si="335"/>
        <v>Ok</v>
      </c>
      <c r="T183" s="119" t="str">
        <f t="shared" ca="1" si="335"/>
        <v>Ok</v>
      </c>
      <c r="U183" s="119" t="str">
        <f t="shared" ca="1" si="335"/>
        <v>Ok</v>
      </c>
      <c r="V183" s="119" t="str">
        <f t="shared" ca="1" si="335"/>
        <v>Ok</v>
      </c>
      <c r="W183" s="119" t="str">
        <f t="shared" ca="1" si="335"/>
        <v>Ok</v>
      </c>
      <c r="X183" s="119" t="str">
        <f t="shared" ca="1" si="335"/>
        <v>Ok</v>
      </c>
      <c r="Y183" s="119" t="str">
        <f t="shared" ca="1" si="335"/>
        <v>Ok</v>
      </c>
      <c r="Z183" s="119" t="str">
        <f t="shared" ca="1" si="335"/>
        <v>Ok</v>
      </c>
      <c r="AA183" s="119" t="str">
        <f t="shared" ca="1" si="335"/>
        <v>Ok</v>
      </c>
      <c r="AB183" s="119" t="str">
        <f t="shared" ca="1" si="335"/>
        <v>Ok</v>
      </c>
      <c r="AC183" s="119" t="str">
        <f t="shared" ca="1" si="335"/>
        <v>Ok</v>
      </c>
      <c r="AD183" s="119" t="str">
        <f t="shared" ca="1" si="335"/>
        <v>Ok</v>
      </c>
      <c r="AE183" s="119" t="str">
        <f t="shared" ca="1" si="335"/>
        <v>Ok</v>
      </c>
      <c r="AF183" s="119" t="str">
        <f t="shared" ca="1" si="335"/>
        <v>Ok</v>
      </c>
      <c r="AG183" s="119" t="str">
        <f t="shared" ca="1" si="335"/>
        <v>Ok</v>
      </c>
      <c r="AH183" s="119" t="str">
        <f t="shared" ca="1" si="335"/>
        <v>Ok</v>
      </c>
      <c r="AI183" s="119" t="str">
        <f t="shared" ca="1" si="335"/>
        <v>Ok</v>
      </c>
      <c r="AJ183" s="119" t="str">
        <f t="shared" ca="1" si="335"/>
        <v>Ok</v>
      </c>
      <c r="AK183" s="119" t="str">
        <f t="shared" ca="1" si="335"/>
        <v>Ok</v>
      </c>
      <c r="AL183" s="119" t="str">
        <f t="shared" ca="1" si="335"/>
        <v>Ok</v>
      </c>
      <c r="AM183" s="119" t="str">
        <f t="shared" ca="1" si="335"/>
        <v>Ok</v>
      </c>
      <c r="AN183" s="119" t="str">
        <f t="shared" ca="1" si="335"/>
        <v>Ok</v>
      </c>
      <c r="AO183" s="119" t="str">
        <f t="shared" ca="1" si="335"/>
        <v>Ok</v>
      </c>
      <c r="AP183" s="119" t="str">
        <f t="shared" ca="1" si="335"/>
        <v>Ok</v>
      </c>
      <c r="AQ183" s="119" t="str">
        <f t="shared" ca="1" si="335"/>
        <v>Ok</v>
      </c>
      <c r="AR183" s="119" t="str">
        <f t="shared" ca="1" si="335"/>
        <v>Ok</v>
      </c>
      <c r="AS183" s="119" t="str">
        <f t="shared" ca="1" si="335"/>
        <v>Ok</v>
      </c>
      <c r="AT183" s="119" t="str">
        <f t="shared" ca="1" si="335"/>
        <v>Ok</v>
      </c>
      <c r="AU183" s="119" t="str">
        <f t="shared" ca="1" si="335"/>
        <v>Ok</v>
      </c>
      <c r="AV183" s="119" t="str">
        <f t="shared" ca="1" si="335"/>
        <v>Ok</v>
      </c>
      <c r="AW183" s="119" t="str">
        <f t="shared" ca="1" si="335"/>
        <v>Ok</v>
      </c>
      <c r="AX183" s="119" t="str">
        <f t="shared" ca="1" si="335"/>
        <v>Ok</v>
      </c>
      <c r="AY183" s="119" t="str">
        <f t="shared" ca="1" si="335"/>
        <v>Ok</v>
      </c>
      <c r="AZ183" s="119" t="str">
        <f t="shared" ca="1" si="335"/>
        <v>Ok</v>
      </c>
      <c r="BA183" s="119" t="str">
        <f t="shared" ca="1" si="335"/>
        <v>Ok</v>
      </c>
      <c r="BB183" s="119" t="str">
        <f t="shared" ca="1" si="335"/>
        <v>Ok</v>
      </c>
      <c r="BC183" s="119" t="str">
        <f t="shared" ca="1" si="335"/>
        <v>Ok</v>
      </c>
      <c r="BD183" s="119" t="str">
        <f t="shared" ca="1" si="335"/>
        <v>Ok</v>
      </c>
      <c r="BE183" s="119" t="str">
        <f t="shared" ca="1" si="335"/>
        <v>Ok</v>
      </c>
      <c r="BF183" s="119" t="str">
        <f t="shared" ca="1" si="335"/>
        <v>Ok</v>
      </c>
      <c r="BG183" s="119" t="str">
        <f t="shared" ca="1" si="335"/>
        <v>Ok</v>
      </c>
      <c r="BH183" s="119" t="str">
        <f t="shared" ca="1" si="335"/>
        <v>Ok</v>
      </c>
      <c r="BI183" s="119" t="str">
        <f t="shared" ca="1" si="335"/>
        <v>Ok</v>
      </c>
      <c r="BJ183" s="119" t="str">
        <f t="shared" ca="1" si="335"/>
        <v>Ok</v>
      </c>
      <c r="BK183" s="119" t="str">
        <f t="shared" ca="1" si="335"/>
        <v>Ok</v>
      </c>
      <c r="BL183" s="119" t="str">
        <f t="shared" ca="1" si="335"/>
        <v>Ok</v>
      </c>
      <c r="BM183" s="119" t="str">
        <f t="shared" ca="1" si="335"/>
        <v>Ok</v>
      </c>
      <c r="BN183" s="119" t="str">
        <f t="shared" ca="1" si="335"/>
        <v>Ok</v>
      </c>
      <c r="BO183" s="119" t="str">
        <f t="shared" ca="1" si="335"/>
        <v>Ok</v>
      </c>
      <c r="BP183" s="119" t="str">
        <f t="shared" ca="1" si="335"/>
        <v>Ok</v>
      </c>
      <c r="BQ183" s="119" t="str">
        <f t="shared" ca="1" si="335"/>
        <v>Ok</v>
      </c>
      <c r="BR183" s="119" t="str">
        <f t="shared" ca="1" si="335"/>
        <v>Ok</v>
      </c>
      <c r="BS183" s="119" t="str">
        <f t="shared" ca="1" si="335"/>
        <v>Ok</v>
      </c>
      <c r="BT183" s="119" t="str">
        <f t="shared" ca="1" si="335"/>
        <v>Ok</v>
      </c>
      <c r="BU183" s="119" t="str">
        <f t="shared" ca="1" si="335"/>
        <v>Ok</v>
      </c>
      <c r="BV183" s="119" t="str">
        <f t="shared" ca="1" si="335"/>
        <v>Ok</v>
      </c>
      <c r="BW183" s="119" t="str">
        <f t="shared" ca="1" si="335"/>
        <v>Ok</v>
      </c>
      <c r="BX183" s="119" t="str">
        <f t="shared" ca="1" si="335"/>
        <v>Ok</v>
      </c>
      <c r="BY183" s="119" t="str">
        <f t="shared" ca="1" si="335"/>
        <v>Ok</v>
      </c>
      <c r="BZ183" s="119" t="str">
        <f t="shared" ref="BZ183:EM183" ca="1" si="336">IF(BZ175=BZ181,"Ok","Check")</f>
        <v>Ok</v>
      </c>
      <c r="CA183" s="119" t="str">
        <f t="shared" ca="1" si="336"/>
        <v>Ok</v>
      </c>
      <c r="CB183" s="119" t="str">
        <f t="shared" ca="1" si="336"/>
        <v>Ok</v>
      </c>
      <c r="CC183" s="119" t="str">
        <f t="shared" ca="1" si="336"/>
        <v>Ok</v>
      </c>
      <c r="CD183" s="119" t="str">
        <f t="shared" ca="1" si="336"/>
        <v>Ok</v>
      </c>
      <c r="CE183" s="119" t="str">
        <f t="shared" ca="1" si="336"/>
        <v>Ok</v>
      </c>
      <c r="CF183" s="119" t="str">
        <f t="shared" ca="1" si="336"/>
        <v>Ok</v>
      </c>
      <c r="CG183" s="119" t="str">
        <f t="shared" ca="1" si="336"/>
        <v>Ok</v>
      </c>
      <c r="CH183" s="119" t="str">
        <f t="shared" ca="1" si="336"/>
        <v>Ok</v>
      </c>
      <c r="CI183" s="119" t="str">
        <f t="shared" ca="1" si="336"/>
        <v>Ok</v>
      </c>
      <c r="CJ183" s="119" t="str">
        <f t="shared" ca="1" si="336"/>
        <v>Ok</v>
      </c>
      <c r="CK183" s="119" t="str">
        <f t="shared" ca="1" si="336"/>
        <v>Ok</v>
      </c>
      <c r="CL183" s="119" t="str">
        <f t="shared" ca="1" si="336"/>
        <v>Ok</v>
      </c>
      <c r="CM183" s="119" t="str">
        <f t="shared" ca="1" si="336"/>
        <v>Ok</v>
      </c>
      <c r="CN183" s="119" t="str">
        <f t="shared" ca="1" si="336"/>
        <v>Ok</v>
      </c>
      <c r="CO183" s="119" t="str">
        <f t="shared" ca="1" si="336"/>
        <v>Ok</v>
      </c>
      <c r="CP183" s="119" t="str">
        <f t="shared" ca="1" si="336"/>
        <v>Ok</v>
      </c>
      <c r="CQ183" s="119" t="str">
        <f t="shared" ca="1" si="336"/>
        <v>Ok</v>
      </c>
      <c r="CR183" s="119" t="str">
        <f t="shared" ca="1" si="336"/>
        <v>Ok</v>
      </c>
      <c r="CS183" s="119" t="str">
        <f t="shared" ca="1" si="336"/>
        <v>Ok</v>
      </c>
      <c r="CT183" s="119" t="str">
        <f t="shared" ca="1" si="336"/>
        <v>Ok</v>
      </c>
      <c r="CU183" s="119" t="str">
        <f t="shared" ca="1" si="336"/>
        <v>Ok</v>
      </c>
      <c r="CV183" s="119" t="str">
        <f t="shared" ca="1" si="336"/>
        <v>Ok</v>
      </c>
      <c r="CW183" s="119" t="str">
        <f t="shared" ca="1" si="336"/>
        <v>Ok</v>
      </c>
      <c r="CX183" s="119" t="str">
        <f t="shared" ca="1" si="336"/>
        <v>Ok</v>
      </c>
      <c r="CY183" s="119" t="str">
        <f t="shared" ca="1" si="336"/>
        <v>Ok</v>
      </c>
      <c r="CZ183" s="119" t="str">
        <f t="shared" ca="1" si="336"/>
        <v>Ok</v>
      </c>
      <c r="DA183" s="119" t="str">
        <f t="shared" ca="1" si="336"/>
        <v>Ok</v>
      </c>
      <c r="DB183" s="119" t="str">
        <f t="shared" ca="1" si="336"/>
        <v>Ok</v>
      </c>
      <c r="DC183" s="119" t="str">
        <f t="shared" ca="1" si="336"/>
        <v>Ok</v>
      </c>
      <c r="DD183" s="119" t="str">
        <f t="shared" ca="1" si="336"/>
        <v>Ok</v>
      </c>
      <c r="DE183" s="119" t="str">
        <f t="shared" ca="1" si="336"/>
        <v>Ok</v>
      </c>
      <c r="DF183" s="119" t="str">
        <f t="shared" ca="1" si="336"/>
        <v>Ok</v>
      </c>
      <c r="DG183" s="119" t="str">
        <f t="shared" ca="1" si="336"/>
        <v>Ok</v>
      </c>
      <c r="DH183" s="119" t="str">
        <f t="shared" ca="1" si="336"/>
        <v>Ok</v>
      </c>
      <c r="DI183" s="119" t="str">
        <f t="shared" ca="1" si="336"/>
        <v>Ok</v>
      </c>
      <c r="DJ183" s="119" t="str">
        <f t="shared" ca="1" si="336"/>
        <v>Ok</v>
      </c>
      <c r="DK183" s="119" t="str">
        <f t="shared" ca="1" si="336"/>
        <v>Ok</v>
      </c>
      <c r="DL183" s="119" t="str">
        <f t="shared" ca="1" si="336"/>
        <v>Ok</v>
      </c>
      <c r="DM183" s="119" t="str">
        <f t="shared" ca="1" si="336"/>
        <v>Ok</v>
      </c>
      <c r="DN183" s="119" t="str">
        <f t="shared" ca="1" si="336"/>
        <v>Ok</v>
      </c>
      <c r="DO183" s="119" t="str">
        <f t="shared" ca="1" si="336"/>
        <v>Ok</v>
      </c>
      <c r="DP183" s="119" t="str">
        <f t="shared" ca="1" si="336"/>
        <v>Ok</v>
      </c>
      <c r="DQ183" s="119" t="str">
        <f t="shared" ca="1" si="336"/>
        <v>Ok</v>
      </c>
      <c r="DR183" s="119" t="str">
        <f t="shared" ca="1" si="336"/>
        <v>Ok</v>
      </c>
      <c r="DS183" s="119" t="str">
        <f t="shared" ca="1" si="336"/>
        <v>Ok</v>
      </c>
      <c r="DT183" s="119" t="str">
        <f t="shared" ca="1" si="336"/>
        <v>Ok</v>
      </c>
      <c r="DU183" s="119" t="str">
        <f t="shared" ca="1" si="336"/>
        <v>Ok</v>
      </c>
      <c r="DV183" s="119" t="str">
        <f t="shared" ca="1" si="336"/>
        <v>Ok</v>
      </c>
      <c r="DW183" s="119" t="str">
        <f t="shared" ca="1" si="336"/>
        <v>Ok</v>
      </c>
      <c r="DX183" s="119" t="str">
        <f t="shared" ca="1" si="336"/>
        <v>Ok</v>
      </c>
      <c r="DY183" s="119" t="str">
        <f t="shared" ca="1" si="336"/>
        <v>Ok</v>
      </c>
      <c r="DZ183" s="119" t="str">
        <f t="shared" ca="1" si="336"/>
        <v>Ok</v>
      </c>
      <c r="EA183" s="119" t="str">
        <f t="shared" ca="1" si="336"/>
        <v>Ok</v>
      </c>
      <c r="EB183" s="119" t="str">
        <f t="shared" ca="1" si="336"/>
        <v>Ok</v>
      </c>
      <c r="EC183" s="119" t="str">
        <f t="shared" ca="1" si="336"/>
        <v>Ok</v>
      </c>
      <c r="ED183" s="119" t="str">
        <f t="shared" ca="1" si="336"/>
        <v>Ok</v>
      </c>
      <c r="EE183" s="119" t="str">
        <f t="shared" ca="1" si="336"/>
        <v>Ok</v>
      </c>
      <c r="EF183" s="119" t="str">
        <f t="shared" ca="1" si="336"/>
        <v>Ok</v>
      </c>
      <c r="EG183" s="119" t="str">
        <f t="shared" ca="1" si="336"/>
        <v>Ok</v>
      </c>
      <c r="EH183" s="119" t="str">
        <f t="shared" ca="1" si="336"/>
        <v>Ok</v>
      </c>
      <c r="EI183" s="119" t="str">
        <f t="shared" ca="1" si="336"/>
        <v>Ok</v>
      </c>
      <c r="EJ183" s="119" t="str">
        <f t="shared" ca="1" si="336"/>
        <v>Ok</v>
      </c>
      <c r="EL183" s="119" t="str">
        <f t="shared" ca="1" si="336"/>
        <v>Ok</v>
      </c>
      <c r="EM183" s="119" t="str">
        <f t="shared" ca="1" si="336"/>
        <v>Ok</v>
      </c>
      <c r="EN183" s="119" t="str">
        <f t="shared" ref="EN183:EW183" ca="1" si="337">IF(EN175=EN181,"Ok","Check")</f>
        <v>Ok</v>
      </c>
      <c r="EO183" s="119" t="str">
        <f t="shared" ca="1" si="337"/>
        <v>Ok</v>
      </c>
      <c r="EP183" s="119" t="str">
        <f t="shared" ca="1" si="337"/>
        <v>Ok</v>
      </c>
      <c r="EQ183" s="119" t="str">
        <f t="shared" ca="1" si="337"/>
        <v>Ok</v>
      </c>
      <c r="ER183" s="119" t="str">
        <f t="shared" ca="1" si="337"/>
        <v>Ok</v>
      </c>
      <c r="ES183" s="119" t="str">
        <f t="shared" ca="1" si="337"/>
        <v>Ok</v>
      </c>
      <c r="ET183" s="119" t="str">
        <f t="shared" ca="1" si="337"/>
        <v>Ok</v>
      </c>
      <c r="EU183" s="119" t="str">
        <f t="shared" ca="1" si="337"/>
        <v>Ok</v>
      </c>
      <c r="EV183" s="119" t="str">
        <f t="shared" ca="1" si="337"/>
        <v>Ok</v>
      </c>
      <c r="EW183" s="119" t="str">
        <f t="shared" ca="1" si="337"/>
        <v>Ok</v>
      </c>
    </row>
    <row r="185" spans="2:153" x14ac:dyDescent="0.4">
      <c r="B185" s="94" t="s">
        <v>126</v>
      </c>
      <c r="H185" s="316"/>
    </row>
    <row r="186" spans="2:153" x14ac:dyDescent="0.4">
      <c r="H186" s="316"/>
    </row>
    <row r="187" spans="2:153" x14ac:dyDescent="0.4">
      <c r="B187" s="1" t="s">
        <v>125</v>
      </c>
      <c r="C187" s="13">
        <f>1-C188</f>
        <v>0.9</v>
      </c>
      <c r="H187" s="316"/>
    </row>
    <row r="188" spans="2:153" x14ac:dyDescent="0.4">
      <c r="B188" s="1" t="s">
        <v>124</v>
      </c>
      <c r="C188" s="317">
        <f>'Inputs &amp; Drivers'!H5</f>
        <v>0.1</v>
      </c>
      <c r="H188" s="316"/>
    </row>
    <row r="189" spans="2:153" x14ac:dyDescent="0.4">
      <c r="H189" s="316"/>
    </row>
    <row r="190" spans="2:153" x14ac:dyDescent="0.4">
      <c r="B190" s="95" t="str">
        <f>"Hurdle #1: Parri Passu Until a"&amp;" "&amp;TEXT(C190,"0.0%")&amp;" IRR"</f>
        <v>Hurdle #1: Parri Passu Until a 10.0% IRR</v>
      </c>
      <c r="C190" s="317">
        <f>'Inputs &amp; Drivers'!I7</f>
        <v>0.1</v>
      </c>
      <c r="H190" s="316"/>
    </row>
    <row r="191" spans="2:153" x14ac:dyDescent="0.4">
      <c r="H191" s="316"/>
    </row>
    <row r="192" spans="2:153" x14ac:dyDescent="0.4">
      <c r="B192" s="1" t="s">
        <v>95</v>
      </c>
      <c r="H192" s="316"/>
      <c r="I192" s="12">
        <f ca="1">H196</f>
        <v>6100000</v>
      </c>
      <c r="J192" s="12">
        <f t="shared" ref="J192:BU192" ca="1" si="338">I196</f>
        <v>6149578.902697809</v>
      </c>
      <c r="K192" s="12">
        <f t="shared" ca="1" si="338"/>
        <v>6194706.1108127022</v>
      </c>
      <c r="L192" s="12">
        <f t="shared" ca="1" si="338"/>
        <v>6605554.7553224573</v>
      </c>
      <c r="M192" s="12">
        <f t="shared" ca="1" si="338"/>
        <v>7018003.9902252415</v>
      </c>
      <c r="N192" s="12">
        <f t="shared" ca="1" si="338"/>
        <v>7435544.1438259324</v>
      </c>
      <c r="O192" s="12">
        <f t="shared" ca="1" si="338"/>
        <v>7854520.8113679579</v>
      </c>
      <c r="P192" s="12">
        <f t="shared" ca="1" si="338"/>
        <v>11060109.913506437</v>
      </c>
      <c r="Q192" s="12">
        <f t="shared" ca="1" si="338"/>
        <v>14291753.046822635</v>
      </c>
      <c r="R192" s="12">
        <f t="shared" ca="1" si="338"/>
        <v>17545900.213102084</v>
      </c>
      <c r="S192" s="12">
        <f t="shared" ca="1" si="338"/>
        <v>19466957.832105424</v>
      </c>
      <c r="T192" s="12">
        <f t="shared" ca="1" si="338"/>
        <v>19620055.278530765</v>
      </c>
      <c r="U192" s="12">
        <f t="shared" ca="1" si="338"/>
        <v>19779520.985347144</v>
      </c>
      <c r="V192" s="12">
        <f t="shared" ca="1" si="338"/>
        <v>19940282.779829409</v>
      </c>
      <c r="W192" s="12">
        <f t="shared" ca="1" si="338"/>
        <v>20086609.756865256</v>
      </c>
      <c r="X192" s="12">
        <f t="shared" ca="1" si="338"/>
        <v>20249867.473367631</v>
      </c>
      <c r="Y192" s="12">
        <f t="shared" ca="1" si="338"/>
        <v>20409122.094832484</v>
      </c>
      <c r="Z192" s="12">
        <f t="shared" ca="1" si="338"/>
        <v>20578751.09130583</v>
      </c>
      <c r="AA192" s="12">
        <f t="shared" ca="1" si="338"/>
        <v>20738410.095516935</v>
      </c>
      <c r="AB192" s="12">
        <f t="shared" ca="1" si="338"/>
        <v>20870923.744632121</v>
      </c>
      <c r="AC192" s="12">
        <f t="shared" ca="1" si="338"/>
        <v>20970541.991840176</v>
      </c>
      <c r="AD192" s="12">
        <f t="shared" ca="1" si="338"/>
        <v>21031364.649662517</v>
      </c>
      <c r="AE192" s="12">
        <f t="shared" ca="1" si="338"/>
        <v>21064002.371928245</v>
      </c>
      <c r="AF192" s="12">
        <f t="shared" ca="1" si="338"/>
        <v>21213646.397418622</v>
      </c>
      <c r="AG192" s="12">
        <f t="shared" ca="1" si="338"/>
        <v>21341007.177225363</v>
      </c>
      <c r="AH192" s="12">
        <f t="shared" ca="1" si="338"/>
        <v>21427577.202438962</v>
      </c>
      <c r="AI192" s="12">
        <f t="shared" ca="1" si="338"/>
        <v>21446620.127782509</v>
      </c>
      <c r="AJ192" s="12">
        <f t="shared" ca="1" si="338"/>
        <v>21497882.866015904</v>
      </c>
      <c r="AK192" s="12">
        <f t="shared" ca="1" si="338"/>
        <v>21538093.766486995</v>
      </c>
      <c r="AL192" s="12">
        <f t="shared" ca="1" si="338"/>
        <v>21588917.2585379</v>
      </c>
      <c r="AM192" s="12">
        <f t="shared" ca="1" si="338"/>
        <v>21628607.383945797</v>
      </c>
      <c r="AN192" s="12">
        <f t="shared" ca="1" si="338"/>
        <v>21678937.545051858</v>
      </c>
      <c r="AO192" s="12">
        <f t="shared" ca="1" si="338"/>
        <v>21694739.082638189</v>
      </c>
      <c r="AP192" s="12">
        <f t="shared" ca="1" si="338"/>
        <v>21698962.503898323</v>
      </c>
      <c r="AQ192" s="12">
        <f t="shared" ca="1" si="338"/>
        <v>21713468.275359806</v>
      </c>
      <c r="AR192" s="12">
        <f t="shared" ca="1" si="338"/>
        <v>21716339.429713644</v>
      </c>
      <c r="AS192" s="12">
        <f t="shared" ca="1" si="338"/>
        <v>0</v>
      </c>
      <c r="AT192" s="12">
        <f t="shared" ca="1" si="338"/>
        <v>0</v>
      </c>
      <c r="AU192" s="12">
        <f t="shared" ca="1" si="338"/>
        <v>0</v>
      </c>
      <c r="AV192" s="12">
        <f t="shared" ca="1" si="338"/>
        <v>0</v>
      </c>
      <c r="AW192" s="12">
        <f t="shared" ca="1" si="338"/>
        <v>0</v>
      </c>
      <c r="AX192" s="12">
        <f t="shared" ca="1" si="338"/>
        <v>0</v>
      </c>
      <c r="AY192" s="12">
        <f t="shared" ca="1" si="338"/>
        <v>0</v>
      </c>
      <c r="AZ192" s="12">
        <f t="shared" ca="1" si="338"/>
        <v>0</v>
      </c>
      <c r="BA192" s="12">
        <f t="shared" ca="1" si="338"/>
        <v>0</v>
      </c>
      <c r="BB192" s="12">
        <f t="shared" ca="1" si="338"/>
        <v>0</v>
      </c>
      <c r="BC192" s="12">
        <f t="shared" ca="1" si="338"/>
        <v>0</v>
      </c>
      <c r="BD192" s="12">
        <f t="shared" ca="1" si="338"/>
        <v>0</v>
      </c>
      <c r="BE192" s="12">
        <f t="shared" ca="1" si="338"/>
        <v>0</v>
      </c>
      <c r="BF192" s="12">
        <f t="shared" ca="1" si="338"/>
        <v>0</v>
      </c>
      <c r="BG192" s="12">
        <f t="shared" ca="1" si="338"/>
        <v>0</v>
      </c>
      <c r="BH192" s="12">
        <f t="shared" ca="1" si="338"/>
        <v>0</v>
      </c>
      <c r="BI192" s="12">
        <f t="shared" ca="1" si="338"/>
        <v>0</v>
      </c>
      <c r="BJ192" s="12">
        <f t="shared" ca="1" si="338"/>
        <v>0</v>
      </c>
      <c r="BK192" s="12">
        <f t="shared" ca="1" si="338"/>
        <v>0</v>
      </c>
      <c r="BL192" s="12">
        <f t="shared" ca="1" si="338"/>
        <v>0</v>
      </c>
      <c r="BM192" s="12">
        <f t="shared" ca="1" si="338"/>
        <v>0</v>
      </c>
      <c r="BN192" s="12">
        <f t="shared" ca="1" si="338"/>
        <v>0</v>
      </c>
      <c r="BO192" s="12">
        <f t="shared" ca="1" si="338"/>
        <v>0</v>
      </c>
      <c r="BP192" s="12">
        <f t="shared" ca="1" si="338"/>
        <v>0</v>
      </c>
      <c r="BQ192" s="12">
        <f t="shared" ca="1" si="338"/>
        <v>0</v>
      </c>
      <c r="BR192" s="12">
        <f t="shared" ca="1" si="338"/>
        <v>0</v>
      </c>
      <c r="BS192" s="12">
        <f t="shared" ca="1" si="338"/>
        <v>0</v>
      </c>
      <c r="BT192" s="12">
        <f t="shared" ca="1" si="338"/>
        <v>0</v>
      </c>
      <c r="BU192" s="12">
        <f t="shared" ca="1" si="338"/>
        <v>0</v>
      </c>
      <c r="BV192" s="12">
        <f t="shared" ref="BV192:EG192" ca="1" si="339">BU196</f>
        <v>0</v>
      </c>
      <c r="BW192" s="12">
        <f t="shared" ca="1" si="339"/>
        <v>0</v>
      </c>
      <c r="BX192" s="12">
        <f t="shared" ca="1" si="339"/>
        <v>0</v>
      </c>
      <c r="BY192" s="12">
        <f t="shared" ca="1" si="339"/>
        <v>0</v>
      </c>
      <c r="BZ192" s="12">
        <f t="shared" ca="1" si="339"/>
        <v>0</v>
      </c>
      <c r="CA192" s="12">
        <f t="shared" ca="1" si="339"/>
        <v>0</v>
      </c>
      <c r="CB192" s="12">
        <f t="shared" ca="1" si="339"/>
        <v>0</v>
      </c>
      <c r="CC192" s="12">
        <f t="shared" ca="1" si="339"/>
        <v>0</v>
      </c>
      <c r="CD192" s="12">
        <f t="shared" ca="1" si="339"/>
        <v>0</v>
      </c>
      <c r="CE192" s="12">
        <f t="shared" ca="1" si="339"/>
        <v>0</v>
      </c>
      <c r="CF192" s="12">
        <f t="shared" ca="1" si="339"/>
        <v>0</v>
      </c>
      <c r="CG192" s="12">
        <f t="shared" ca="1" si="339"/>
        <v>0</v>
      </c>
      <c r="CH192" s="12">
        <f t="shared" ca="1" si="339"/>
        <v>0</v>
      </c>
      <c r="CI192" s="12">
        <f t="shared" ca="1" si="339"/>
        <v>0</v>
      </c>
      <c r="CJ192" s="12">
        <f t="shared" ca="1" si="339"/>
        <v>0</v>
      </c>
      <c r="CK192" s="12">
        <f t="shared" ca="1" si="339"/>
        <v>0</v>
      </c>
      <c r="CL192" s="12">
        <f t="shared" ca="1" si="339"/>
        <v>0</v>
      </c>
      <c r="CM192" s="12">
        <f t="shared" ca="1" si="339"/>
        <v>0</v>
      </c>
      <c r="CN192" s="12">
        <f t="shared" ca="1" si="339"/>
        <v>0</v>
      </c>
      <c r="CO192" s="12">
        <f t="shared" ca="1" si="339"/>
        <v>0</v>
      </c>
      <c r="CP192" s="12">
        <f t="shared" ca="1" si="339"/>
        <v>0</v>
      </c>
      <c r="CQ192" s="12">
        <f t="shared" ca="1" si="339"/>
        <v>0</v>
      </c>
      <c r="CR192" s="12">
        <f t="shared" ca="1" si="339"/>
        <v>0</v>
      </c>
      <c r="CS192" s="12">
        <f t="shared" ca="1" si="339"/>
        <v>0</v>
      </c>
      <c r="CT192" s="12">
        <f t="shared" ca="1" si="339"/>
        <v>0</v>
      </c>
      <c r="CU192" s="12">
        <f t="shared" ca="1" si="339"/>
        <v>0</v>
      </c>
      <c r="CV192" s="12">
        <f t="shared" ca="1" si="339"/>
        <v>0</v>
      </c>
      <c r="CW192" s="12">
        <f t="shared" ca="1" si="339"/>
        <v>0</v>
      </c>
      <c r="CX192" s="12">
        <f t="shared" ca="1" si="339"/>
        <v>0</v>
      </c>
      <c r="CY192" s="12">
        <f t="shared" ca="1" si="339"/>
        <v>0</v>
      </c>
      <c r="CZ192" s="12">
        <f t="shared" ca="1" si="339"/>
        <v>0</v>
      </c>
      <c r="DA192" s="12">
        <f t="shared" ca="1" si="339"/>
        <v>0</v>
      </c>
      <c r="DB192" s="12">
        <f t="shared" ca="1" si="339"/>
        <v>0</v>
      </c>
      <c r="DC192" s="12">
        <f t="shared" ca="1" si="339"/>
        <v>0</v>
      </c>
      <c r="DD192" s="12">
        <f t="shared" ca="1" si="339"/>
        <v>0</v>
      </c>
      <c r="DE192" s="12">
        <f t="shared" ca="1" si="339"/>
        <v>0</v>
      </c>
      <c r="DF192" s="12">
        <f t="shared" ca="1" si="339"/>
        <v>0</v>
      </c>
      <c r="DG192" s="12">
        <f t="shared" ca="1" si="339"/>
        <v>0</v>
      </c>
      <c r="DH192" s="12">
        <f t="shared" ca="1" si="339"/>
        <v>0</v>
      </c>
      <c r="DI192" s="12">
        <f t="shared" ca="1" si="339"/>
        <v>0</v>
      </c>
      <c r="DJ192" s="12">
        <f t="shared" ca="1" si="339"/>
        <v>0</v>
      </c>
      <c r="DK192" s="12">
        <f t="shared" ca="1" si="339"/>
        <v>0</v>
      </c>
      <c r="DL192" s="12">
        <f t="shared" ca="1" si="339"/>
        <v>0</v>
      </c>
      <c r="DM192" s="12">
        <f t="shared" ca="1" si="339"/>
        <v>0</v>
      </c>
      <c r="DN192" s="12">
        <f t="shared" ca="1" si="339"/>
        <v>0</v>
      </c>
      <c r="DO192" s="12">
        <f t="shared" ca="1" si="339"/>
        <v>0</v>
      </c>
      <c r="DP192" s="12">
        <f t="shared" ca="1" si="339"/>
        <v>0</v>
      </c>
      <c r="DQ192" s="12">
        <f t="shared" ca="1" si="339"/>
        <v>0</v>
      </c>
      <c r="DR192" s="12">
        <f t="shared" ca="1" si="339"/>
        <v>0</v>
      </c>
      <c r="DS192" s="12">
        <f t="shared" ca="1" si="339"/>
        <v>0</v>
      </c>
      <c r="DT192" s="12">
        <f t="shared" ca="1" si="339"/>
        <v>0</v>
      </c>
      <c r="DU192" s="12">
        <f t="shared" ca="1" si="339"/>
        <v>0</v>
      </c>
      <c r="DV192" s="12">
        <f t="shared" ca="1" si="339"/>
        <v>0</v>
      </c>
      <c r="DW192" s="12">
        <f t="shared" ca="1" si="339"/>
        <v>0</v>
      </c>
      <c r="DX192" s="12">
        <f t="shared" ca="1" si="339"/>
        <v>0</v>
      </c>
      <c r="DY192" s="12">
        <f t="shared" ca="1" si="339"/>
        <v>0</v>
      </c>
      <c r="DZ192" s="12">
        <f t="shared" ca="1" si="339"/>
        <v>0</v>
      </c>
      <c r="EA192" s="12">
        <f t="shared" ca="1" si="339"/>
        <v>0</v>
      </c>
      <c r="EB192" s="12">
        <f t="shared" ca="1" si="339"/>
        <v>0</v>
      </c>
      <c r="EC192" s="12">
        <f t="shared" ca="1" si="339"/>
        <v>0</v>
      </c>
      <c r="ED192" s="12">
        <f t="shared" ca="1" si="339"/>
        <v>0</v>
      </c>
      <c r="EE192" s="12">
        <f t="shared" ca="1" si="339"/>
        <v>0</v>
      </c>
      <c r="EF192" s="12">
        <f t="shared" ca="1" si="339"/>
        <v>0</v>
      </c>
      <c r="EG192" s="12">
        <f t="shared" ca="1" si="339"/>
        <v>0</v>
      </c>
      <c r="EH192" s="12">
        <f ca="1">EG196</f>
        <v>0</v>
      </c>
      <c r="EI192" s="12">
        <f ca="1">EH196</f>
        <v>0</v>
      </c>
      <c r="EJ192" s="12">
        <f ca="1">EI196</f>
        <v>0</v>
      </c>
    </row>
    <row r="193" spans="2:140" x14ac:dyDescent="0.4">
      <c r="B193" s="60" t="s">
        <v>120</v>
      </c>
      <c r="H193" s="316"/>
      <c r="I193" s="12">
        <f ca="1">I192*((1+$C190)^((I$6-H$6)/365))-I192</f>
        <v>49578.902697809041</v>
      </c>
      <c r="J193" s="12">
        <f ca="1">J192*((1+$C190)^((J$6-I$6)/365))-J192</f>
        <v>45127.208114893176</v>
      </c>
      <c r="K193" s="12">
        <f t="shared" ref="K193:BV193" ca="1" si="340">K192*((1+$C190)^((K$6-J$6)/365))-K192</f>
        <v>50348.644509755075</v>
      </c>
      <c r="L193" s="12">
        <f t="shared" ca="1" si="340"/>
        <v>51949.234902784228</v>
      </c>
      <c r="M193" s="12">
        <f t="shared" ca="1" si="340"/>
        <v>57040.153600690886</v>
      </c>
      <c r="N193" s="12">
        <f t="shared" ca="1" si="340"/>
        <v>58476.667542025447</v>
      </c>
      <c r="O193" s="12">
        <f t="shared" ca="1" si="340"/>
        <v>63839.102138480172</v>
      </c>
      <c r="P193" s="12">
        <f t="shared" ca="1" si="340"/>
        <v>89893.133316198364</v>
      </c>
      <c r="Q193" s="12">
        <f t="shared" ca="1" si="340"/>
        <v>112397.1662794482</v>
      </c>
      <c r="R193" s="12">
        <f t="shared" ca="1" si="340"/>
        <v>142607.61957555264</v>
      </c>
      <c r="S193" s="12">
        <f t="shared" ca="1" si="340"/>
        <v>153097.44642534107</v>
      </c>
      <c r="T193" s="12">
        <f t="shared" ca="1" si="340"/>
        <v>159465.70681637898</v>
      </c>
      <c r="U193" s="12">
        <f t="shared" ca="1" si="340"/>
        <v>160761.79448226467</v>
      </c>
      <c r="V193" s="12">
        <f t="shared" ca="1" si="340"/>
        <v>146326.97703584656</v>
      </c>
      <c r="W193" s="12">
        <f t="shared" ca="1" si="340"/>
        <v>163257.7165023759</v>
      </c>
      <c r="X193" s="12">
        <f t="shared" ca="1" si="340"/>
        <v>159254.62146485224</v>
      </c>
      <c r="Y193" s="12">
        <f t="shared" ca="1" si="340"/>
        <v>165878.99647334591</v>
      </c>
      <c r="Z193" s="12">
        <f t="shared" ca="1" si="340"/>
        <v>161841.11918636039</v>
      </c>
      <c r="AA193" s="12">
        <f t="shared" ca="1" si="340"/>
        <v>168555.34692342579</v>
      </c>
      <c r="AB193" s="12">
        <f t="shared" ca="1" si="340"/>
        <v>169632.37664729729</v>
      </c>
      <c r="AC193" s="12">
        <f t="shared" ca="1" si="340"/>
        <v>164922.34979885817</v>
      </c>
      <c r="AD193" s="12">
        <f t="shared" ca="1" si="340"/>
        <v>170936.39042094722</v>
      </c>
      <c r="AE193" s="12">
        <f t="shared" ca="1" si="340"/>
        <v>165657.36682909355</v>
      </c>
      <c r="AF193" s="12">
        <f t="shared" ca="1" si="340"/>
        <v>172417.91977104172</v>
      </c>
      <c r="AG193" s="12">
        <f t="shared" ca="1" si="340"/>
        <v>173453.06857588515</v>
      </c>
      <c r="AH193" s="12">
        <f t="shared" ca="1" si="340"/>
        <v>157241.13002082333</v>
      </c>
      <c r="AI193" s="12">
        <f t="shared" ca="1" si="340"/>
        <v>174311.45778888837</v>
      </c>
      <c r="AJ193" s="12">
        <f t="shared" ca="1" si="340"/>
        <v>169069.61009131372</v>
      </c>
      <c r="AK193" s="12">
        <f t="shared" ca="1" si="340"/>
        <v>175054.92707294226</v>
      </c>
      <c r="AL193" s="12">
        <f t="shared" ca="1" si="340"/>
        <v>169785.5479975976</v>
      </c>
      <c r="AM193" s="12">
        <f t="shared" ca="1" si="340"/>
        <v>175790.59360291436</v>
      </c>
      <c r="AN193" s="12">
        <f t="shared" ca="1" si="340"/>
        <v>176199.66149803624</v>
      </c>
      <c r="AO193" s="12">
        <f t="shared" ca="1" si="340"/>
        <v>170617.78132267669</v>
      </c>
      <c r="AP193" s="12">
        <f t="shared" ca="1" si="340"/>
        <v>176362.41813511401</v>
      </c>
      <c r="AQ193" s="12">
        <f t="shared" ca="1" si="340"/>
        <v>170765.07663219795</v>
      </c>
      <c r="AR193" s="12">
        <f t="shared" ca="1" si="340"/>
        <v>176503.65238333866</v>
      </c>
      <c r="AS193" s="12">
        <f t="shared" ca="1" si="340"/>
        <v>0</v>
      </c>
      <c r="AT193" s="12">
        <f t="shared" ca="1" si="340"/>
        <v>0</v>
      </c>
      <c r="AU193" s="12">
        <f t="shared" ca="1" si="340"/>
        <v>0</v>
      </c>
      <c r="AV193" s="12">
        <f t="shared" ca="1" si="340"/>
        <v>0</v>
      </c>
      <c r="AW193" s="12">
        <f t="shared" ca="1" si="340"/>
        <v>0</v>
      </c>
      <c r="AX193" s="12">
        <f t="shared" ca="1" si="340"/>
        <v>0</v>
      </c>
      <c r="AY193" s="12">
        <f t="shared" ca="1" si="340"/>
        <v>0</v>
      </c>
      <c r="AZ193" s="12">
        <f t="shared" ca="1" si="340"/>
        <v>0</v>
      </c>
      <c r="BA193" s="12">
        <f t="shared" ca="1" si="340"/>
        <v>0</v>
      </c>
      <c r="BB193" s="12">
        <f t="shared" ca="1" si="340"/>
        <v>0</v>
      </c>
      <c r="BC193" s="12">
        <f t="shared" ca="1" si="340"/>
        <v>0</v>
      </c>
      <c r="BD193" s="12">
        <f t="shared" ca="1" si="340"/>
        <v>0</v>
      </c>
      <c r="BE193" s="12">
        <f t="shared" ca="1" si="340"/>
        <v>0</v>
      </c>
      <c r="BF193" s="12">
        <f t="shared" ca="1" si="340"/>
        <v>0</v>
      </c>
      <c r="BG193" s="12">
        <f t="shared" ca="1" si="340"/>
        <v>0</v>
      </c>
      <c r="BH193" s="12">
        <f t="shared" ca="1" si="340"/>
        <v>0</v>
      </c>
      <c r="BI193" s="12">
        <f t="shared" ca="1" si="340"/>
        <v>0</v>
      </c>
      <c r="BJ193" s="12">
        <f t="shared" ca="1" si="340"/>
        <v>0</v>
      </c>
      <c r="BK193" s="12">
        <f t="shared" ca="1" si="340"/>
        <v>0</v>
      </c>
      <c r="BL193" s="12">
        <f t="shared" ca="1" si="340"/>
        <v>0</v>
      </c>
      <c r="BM193" s="12">
        <f t="shared" ca="1" si="340"/>
        <v>0</v>
      </c>
      <c r="BN193" s="12">
        <f t="shared" ca="1" si="340"/>
        <v>0</v>
      </c>
      <c r="BO193" s="12">
        <f t="shared" ca="1" si="340"/>
        <v>0</v>
      </c>
      <c r="BP193" s="12">
        <f t="shared" ca="1" si="340"/>
        <v>0</v>
      </c>
      <c r="BQ193" s="12">
        <f t="shared" ca="1" si="340"/>
        <v>0</v>
      </c>
      <c r="BR193" s="12">
        <f t="shared" ca="1" si="340"/>
        <v>0</v>
      </c>
      <c r="BS193" s="12">
        <f t="shared" ca="1" si="340"/>
        <v>0</v>
      </c>
      <c r="BT193" s="12">
        <f t="shared" ca="1" si="340"/>
        <v>0</v>
      </c>
      <c r="BU193" s="12">
        <f t="shared" ca="1" si="340"/>
        <v>0</v>
      </c>
      <c r="BV193" s="12">
        <f t="shared" ca="1" si="340"/>
        <v>0</v>
      </c>
      <c r="BW193" s="12">
        <f t="shared" ref="BW193:EH193" ca="1" si="341">BW192*((1+$C190)^((BW$6-BV$6)/365))-BW192</f>
        <v>0</v>
      </c>
      <c r="BX193" s="12">
        <f t="shared" ca="1" si="341"/>
        <v>0</v>
      </c>
      <c r="BY193" s="12">
        <f t="shared" ca="1" si="341"/>
        <v>0</v>
      </c>
      <c r="BZ193" s="12">
        <f t="shared" ca="1" si="341"/>
        <v>0</v>
      </c>
      <c r="CA193" s="12">
        <f t="shared" ca="1" si="341"/>
        <v>0</v>
      </c>
      <c r="CB193" s="12">
        <f t="shared" ca="1" si="341"/>
        <v>0</v>
      </c>
      <c r="CC193" s="12">
        <f t="shared" ca="1" si="341"/>
        <v>0</v>
      </c>
      <c r="CD193" s="12">
        <f t="shared" ca="1" si="341"/>
        <v>0</v>
      </c>
      <c r="CE193" s="12">
        <f t="shared" ca="1" si="341"/>
        <v>0</v>
      </c>
      <c r="CF193" s="12">
        <f t="shared" ca="1" si="341"/>
        <v>0</v>
      </c>
      <c r="CG193" s="12">
        <f t="shared" ca="1" si="341"/>
        <v>0</v>
      </c>
      <c r="CH193" s="12">
        <f t="shared" ca="1" si="341"/>
        <v>0</v>
      </c>
      <c r="CI193" s="12">
        <f t="shared" ca="1" si="341"/>
        <v>0</v>
      </c>
      <c r="CJ193" s="12">
        <f t="shared" ca="1" si="341"/>
        <v>0</v>
      </c>
      <c r="CK193" s="12">
        <f t="shared" ca="1" si="341"/>
        <v>0</v>
      </c>
      <c r="CL193" s="12">
        <f t="shared" ca="1" si="341"/>
        <v>0</v>
      </c>
      <c r="CM193" s="12">
        <f t="shared" ca="1" si="341"/>
        <v>0</v>
      </c>
      <c r="CN193" s="12">
        <f t="shared" ca="1" si="341"/>
        <v>0</v>
      </c>
      <c r="CO193" s="12">
        <f t="shared" ca="1" si="341"/>
        <v>0</v>
      </c>
      <c r="CP193" s="12">
        <f t="shared" ca="1" si="341"/>
        <v>0</v>
      </c>
      <c r="CQ193" s="12">
        <f t="shared" ca="1" si="341"/>
        <v>0</v>
      </c>
      <c r="CR193" s="12">
        <f t="shared" ca="1" si="341"/>
        <v>0</v>
      </c>
      <c r="CS193" s="12">
        <f t="shared" ca="1" si="341"/>
        <v>0</v>
      </c>
      <c r="CT193" s="12">
        <f t="shared" ca="1" si="341"/>
        <v>0</v>
      </c>
      <c r="CU193" s="12">
        <f t="shared" ca="1" si="341"/>
        <v>0</v>
      </c>
      <c r="CV193" s="12">
        <f t="shared" ca="1" si="341"/>
        <v>0</v>
      </c>
      <c r="CW193" s="12">
        <f t="shared" ca="1" si="341"/>
        <v>0</v>
      </c>
      <c r="CX193" s="12">
        <f t="shared" ca="1" si="341"/>
        <v>0</v>
      </c>
      <c r="CY193" s="12">
        <f t="shared" ca="1" si="341"/>
        <v>0</v>
      </c>
      <c r="CZ193" s="12">
        <f t="shared" ca="1" si="341"/>
        <v>0</v>
      </c>
      <c r="DA193" s="12">
        <f t="shared" ca="1" si="341"/>
        <v>0</v>
      </c>
      <c r="DB193" s="12">
        <f t="shared" ca="1" si="341"/>
        <v>0</v>
      </c>
      <c r="DC193" s="12">
        <f t="shared" ca="1" si="341"/>
        <v>0</v>
      </c>
      <c r="DD193" s="12">
        <f t="shared" ca="1" si="341"/>
        <v>0</v>
      </c>
      <c r="DE193" s="12">
        <f t="shared" ca="1" si="341"/>
        <v>0</v>
      </c>
      <c r="DF193" s="12">
        <f t="shared" ca="1" si="341"/>
        <v>0</v>
      </c>
      <c r="DG193" s="12">
        <f t="shared" ca="1" si="341"/>
        <v>0</v>
      </c>
      <c r="DH193" s="12">
        <f t="shared" ca="1" si="341"/>
        <v>0</v>
      </c>
      <c r="DI193" s="12">
        <f t="shared" ca="1" si="341"/>
        <v>0</v>
      </c>
      <c r="DJ193" s="12">
        <f t="shared" ca="1" si="341"/>
        <v>0</v>
      </c>
      <c r="DK193" s="12">
        <f t="shared" ca="1" si="341"/>
        <v>0</v>
      </c>
      <c r="DL193" s="12">
        <f t="shared" ca="1" si="341"/>
        <v>0</v>
      </c>
      <c r="DM193" s="12">
        <f t="shared" ca="1" si="341"/>
        <v>0</v>
      </c>
      <c r="DN193" s="12">
        <f t="shared" ca="1" si="341"/>
        <v>0</v>
      </c>
      <c r="DO193" s="12">
        <f t="shared" ca="1" si="341"/>
        <v>0</v>
      </c>
      <c r="DP193" s="12">
        <f t="shared" ca="1" si="341"/>
        <v>0</v>
      </c>
      <c r="DQ193" s="12">
        <f t="shared" ca="1" si="341"/>
        <v>0</v>
      </c>
      <c r="DR193" s="12">
        <f t="shared" ca="1" si="341"/>
        <v>0</v>
      </c>
      <c r="DS193" s="12">
        <f t="shared" ca="1" si="341"/>
        <v>0</v>
      </c>
      <c r="DT193" s="12">
        <f t="shared" ca="1" si="341"/>
        <v>0</v>
      </c>
      <c r="DU193" s="12">
        <f t="shared" ca="1" si="341"/>
        <v>0</v>
      </c>
      <c r="DV193" s="12">
        <f t="shared" ca="1" si="341"/>
        <v>0</v>
      </c>
      <c r="DW193" s="12">
        <f t="shared" ca="1" si="341"/>
        <v>0</v>
      </c>
      <c r="DX193" s="12">
        <f t="shared" ca="1" si="341"/>
        <v>0</v>
      </c>
      <c r="DY193" s="12">
        <f t="shared" ca="1" si="341"/>
        <v>0</v>
      </c>
      <c r="DZ193" s="12">
        <f t="shared" ca="1" si="341"/>
        <v>0</v>
      </c>
      <c r="EA193" s="12">
        <f t="shared" ca="1" si="341"/>
        <v>0</v>
      </c>
      <c r="EB193" s="12">
        <f t="shared" ca="1" si="341"/>
        <v>0</v>
      </c>
      <c r="EC193" s="12">
        <f t="shared" ca="1" si="341"/>
        <v>0</v>
      </c>
      <c r="ED193" s="12">
        <f t="shared" ca="1" si="341"/>
        <v>0</v>
      </c>
      <c r="EE193" s="12">
        <f t="shared" ca="1" si="341"/>
        <v>0</v>
      </c>
      <c r="EF193" s="12">
        <f t="shared" ca="1" si="341"/>
        <v>0</v>
      </c>
      <c r="EG193" s="12">
        <f t="shared" ca="1" si="341"/>
        <v>0</v>
      </c>
      <c r="EH193" s="12">
        <f t="shared" ca="1" si="341"/>
        <v>0</v>
      </c>
      <c r="EI193" s="12">
        <f ca="1">EI192*((1+$C190)^((EI$6-EH$6)/365))-EI192</f>
        <v>0</v>
      </c>
      <c r="EJ193" s="12">
        <f ca="1">EJ192*((1+$C190)^((EJ$6-EI$6)/365))-EJ192</f>
        <v>0</v>
      </c>
    </row>
    <row r="194" spans="2:140" x14ac:dyDescent="0.4">
      <c r="B194" s="60" t="s">
        <v>119</v>
      </c>
      <c r="H194" s="316"/>
      <c r="I194" s="12">
        <f ca="1">-MAX(MIN(SUM(I192:I193),I159),0)</f>
        <v>0</v>
      </c>
      <c r="J194" s="12">
        <f t="shared" ref="J194:BU194" ca="1" si="342">-MAX(MIN(SUM(J192:J193),J159),0)</f>
        <v>0</v>
      </c>
      <c r="K194" s="12">
        <f t="shared" ca="1" si="342"/>
        <v>0</v>
      </c>
      <c r="L194" s="12">
        <f t="shared" ca="1" si="342"/>
        <v>0</v>
      </c>
      <c r="M194" s="12">
        <f t="shared" ca="1" si="342"/>
        <v>0</v>
      </c>
      <c r="N194" s="12">
        <f t="shared" ca="1" si="342"/>
        <v>0</v>
      </c>
      <c r="O194" s="12">
        <f t="shared" ca="1" si="342"/>
        <v>0</v>
      </c>
      <c r="P194" s="12">
        <f t="shared" ca="1" si="342"/>
        <v>0</v>
      </c>
      <c r="Q194" s="12">
        <f t="shared" ca="1" si="342"/>
        <v>0</v>
      </c>
      <c r="R194" s="12">
        <f t="shared" ca="1" si="342"/>
        <v>0</v>
      </c>
      <c r="S194" s="12">
        <f t="shared" ca="1" si="342"/>
        <v>0</v>
      </c>
      <c r="T194" s="12">
        <f t="shared" ca="1" si="342"/>
        <v>0</v>
      </c>
      <c r="U194" s="12">
        <f t="shared" ca="1" si="342"/>
        <v>0</v>
      </c>
      <c r="V194" s="12">
        <f t="shared" ca="1" si="342"/>
        <v>0</v>
      </c>
      <c r="W194" s="12">
        <f t="shared" ca="1" si="342"/>
        <v>0</v>
      </c>
      <c r="X194" s="12">
        <f t="shared" ca="1" si="342"/>
        <v>0</v>
      </c>
      <c r="Y194" s="12">
        <f t="shared" ca="1" si="342"/>
        <v>0</v>
      </c>
      <c r="Z194" s="12">
        <f t="shared" ca="1" si="342"/>
        <v>-2182.1149752531201</v>
      </c>
      <c r="AA194" s="12">
        <f t="shared" ca="1" si="342"/>
        <v>-36041.69780824054</v>
      </c>
      <c r="AB194" s="12">
        <f t="shared" ca="1" si="342"/>
        <v>-70014.129439241253</v>
      </c>
      <c r="AC194" s="12">
        <f t="shared" ca="1" si="342"/>
        <v>-104099.69197651744</v>
      </c>
      <c r="AD194" s="12">
        <f t="shared" ca="1" si="342"/>
        <v>-138298.66815521801</v>
      </c>
      <c r="AE194" s="12">
        <f t="shared" ca="1" si="342"/>
        <v>-16013.341338717873</v>
      </c>
      <c r="AF194" s="12">
        <f t="shared" ca="1" si="342"/>
        <v>-45057.139964299422</v>
      </c>
      <c r="AG194" s="12">
        <f t="shared" ca="1" si="342"/>
        <v>-86883.043362286058</v>
      </c>
      <c r="AH194" s="12">
        <f t="shared" ca="1" si="342"/>
        <v>-138198.20467727483</v>
      </c>
      <c r="AI194" s="12">
        <f t="shared" ca="1" si="342"/>
        <v>-123048.71955549388</v>
      </c>
      <c r="AJ194" s="12">
        <f t="shared" ca="1" si="342"/>
        <v>-128858.70962022309</v>
      </c>
      <c r="AK194" s="12">
        <f t="shared" ca="1" si="342"/>
        <v>-124231.43502203858</v>
      </c>
      <c r="AL194" s="12">
        <f t="shared" ca="1" si="342"/>
        <v>-130095.42258970125</v>
      </c>
      <c r="AM194" s="12">
        <f t="shared" ca="1" si="342"/>
        <v>-125460.43249685163</v>
      </c>
      <c r="AN194" s="12">
        <f t="shared" ca="1" si="342"/>
        <v>-160398.1239117058</v>
      </c>
      <c r="AO194" s="12">
        <f t="shared" ca="1" si="342"/>
        <v>-166394.36006254304</v>
      </c>
      <c r="AP194" s="12">
        <f t="shared" ca="1" si="342"/>
        <v>-161856.64667363136</v>
      </c>
      <c r="AQ194" s="12">
        <f t="shared" ca="1" si="342"/>
        <v>-167893.92227835837</v>
      </c>
      <c r="AR194" s="12">
        <f t="shared" ca="1" si="342"/>
        <v>-21892843.082096983</v>
      </c>
      <c r="AS194" s="12">
        <f t="shared" ca="1" si="342"/>
        <v>0</v>
      </c>
      <c r="AT194" s="12">
        <f t="shared" ca="1" si="342"/>
        <v>0</v>
      </c>
      <c r="AU194" s="12">
        <f t="shared" ca="1" si="342"/>
        <v>0</v>
      </c>
      <c r="AV194" s="12">
        <f t="shared" ca="1" si="342"/>
        <v>0</v>
      </c>
      <c r="AW194" s="12">
        <f t="shared" ca="1" si="342"/>
        <v>0</v>
      </c>
      <c r="AX194" s="12">
        <f t="shared" ca="1" si="342"/>
        <v>0</v>
      </c>
      <c r="AY194" s="12">
        <f t="shared" ca="1" si="342"/>
        <v>0</v>
      </c>
      <c r="AZ194" s="12">
        <f t="shared" ca="1" si="342"/>
        <v>0</v>
      </c>
      <c r="BA194" s="12">
        <f t="shared" ca="1" si="342"/>
        <v>0</v>
      </c>
      <c r="BB194" s="12">
        <f t="shared" ca="1" si="342"/>
        <v>0</v>
      </c>
      <c r="BC194" s="12">
        <f t="shared" ca="1" si="342"/>
        <v>0</v>
      </c>
      <c r="BD194" s="12">
        <f t="shared" ca="1" si="342"/>
        <v>0</v>
      </c>
      <c r="BE194" s="12">
        <f t="shared" ca="1" si="342"/>
        <v>0</v>
      </c>
      <c r="BF194" s="12">
        <f t="shared" ca="1" si="342"/>
        <v>0</v>
      </c>
      <c r="BG194" s="12">
        <f t="shared" ca="1" si="342"/>
        <v>0</v>
      </c>
      <c r="BH194" s="12">
        <f t="shared" ca="1" si="342"/>
        <v>0</v>
      </c>
      <c r="BI194" s="12">
        <f t="shared" ca="1" si="342"/>
        <v>0</v>
      </c>
      <c r="BJ194" s="12">
        <f t="shared" ca="1" si="342"/>
        <v>0</v>
      </c>
      <c r="BK194" s="12">
        <f t="shared" ca="1" si="342"/>
        <v>0</v>
      </c>
      <c r="BL194" s="12">
        <f t="shared" ca="1" si="342"/>
        <v>0</v>
      </c>
      <c r="BM194" s="12">
        <f t="shared" ca="1" si="342"/>
        <v>0</v>
      </c>
      <c r="BN194" s="12">
        <f t="shared" ca="1" si="342"/>
        <v>0</v>
      </c>
      <c r="BO194" s="12">
        <f t="shared" ca="1" si="342"/>
        <v>0</v>
      </c>
      <c r="BP194" s="12">
        <f t="shared" ca="1" si="342"/>
        <v>0</v>
      </c>
      <c r="BQ194" s="12">
        <f t="shared" ca="1" si="342"/>
        <v>0</v>
      </c>
      <c r="BR194" s="12">
        <f t="shared" ca="1" si="342"/>
        <v>0</v>
      </c>
      <c r="BS194" s="12">
        <f t="shared" ca="1" si="342"/>
        <v>0</v>
      </c>
      <c r="BT194" s="12">
        <f t="shared" ca="1" si="342"/>
        <v>0</v>
      </c>
      <c r="BU194" s="12">
        <f t="shared" ca="1" si="342"/>
        <v>0</v>
      </c>
      <c r="BV194" s="12">
        <f t="shared" ref="BV194:EG194" ca="1" si="343">-MAX(MIN(SUM(BV192:BV193),BV159),0)</f>
        <v>0</v>
      </c>
      <c r="BW194" s="12">
        <f t="shared" ca="1" si="343"/>
        <v>0</v>
      </c>
      <c r="BX194" s="12">
        <f t="shared" ca="1" si="343"/>
        <v>0</v>
      </c>
      <c r="BY194" s="12">
        <f t="shared" ca="1" si="343"/>
        <v>0</v>
      </c>
      <c r="BZ194" s="12">
        <f t="shared" ca="1" si="343"/>
        <v>0</v>
      </c>
      <c r="CA194" s="12">
        <f t="shared" ca="1" si="343"/>
        <v>0</v>
      </c>
      <c r="CB194" s="12">
        <f t="shared" ca="1" si="343"/>
        <v>0</v>
      </c>
      <c r="CC194" s="12">
        <f t="shared" ca="1" si="343"/>
        <v>0</v>
      </c>
      <c r="CD194" s="12">
        <f t="shared" ca="1" si="343"/>
        <v>0</v>
      </c>
      <c r="CE194" s="12">
        <f t="shared" ca="1" si="343"/>
        <v>0</v>
      </c>
      <c r="CF194" s="12">
        <f t="shared" ca="1" si="343"/>
        <v>0</v>
      </c>
      <c r="CG194" s="12">
        <f t="shared" ca="1" si="343"/>
        <v>0</v>
      </c>
      <c r="CH194" s="12">
        <f t="shared" ca="1" si="343"/>
        <v>0</v>
      </c>
      <c r="CI194" s="12">
        <f t="shared" ca="1" si="343"/>
        <v>0</v>
      </c>
      <c r="CJ194" s="12">
        <f t="shared" ca="1" si="343"/>
        <v>0</v>
      </c>
      <c r="CK194" s="12">
        <f t="shared" ca="1" si="343"/>
        <v>0</v>
      </c>
      <c r="CL194" s="12">
        <f t="shared" ca="1" si="343"/>
        <v>0</v>
      </c>
      <c r="CM194" s="12">
        <f t="shared" ca="1" si="343"/>
        <v>0</v>
      </c>
      <c r="CN194" s="12">
        <f t="shared" ca="1" si="343"/>
        <v>0</v>
      </c>
      <c r="CO194" s="12">
        <f t="shared" ca="1" si="343"/>
        <v>0</v>
      </c>
      <c r="CP194" s="12">
        <f t="shared" ca="1" si="343"/>
        <v>0</v>
      </c>
      <c r="CQ194" s="12">
        <f t="shared" ca="1" si="343"/>
        <v>0</v>
      </c>
      <c r="CR194" s="12">
        <f t="shared" ca="1" si="343"/>
        <v>0</v>
      </c>
      <c r="CS194" s="12">
        <f t="shared" ca="1" si="343"/>
        <v>0</v>
      </c>
      <c r="CT194" s="12">
        <f t="shared" ca="1" si="343"/>
        <v>0</v>
      </c>
      <c r="CU194" s="12">
        <f t="shared" ca="1" si="343"/>
        <v>0</v>
      </c>
      <c r="CV194" s="12">
        <f t="shared" ca="1" si="343"/>
        <v>0</v>
      </c>
      <c r="CW194" s="12">
        <f t="shared" ca="1" si="343"/>
        <v>0</v>
      </c>
      <c r="CX194" s="12">
        <f t="shared" ca="1" si="343"/>
        <v>0</v>
      </c>
      <c r="CY194" s="12">
        <f t="shared" ca="1" si="343"/>
        <v>0</v>
      </c>
      <c r="CZ194" s="12">
        <f t="shared" ca="1" si="343"/>
        <v>0</v>
      </c>
      <c r="DA194" s="12">
        <f t="shared" ca="1" si="343"/>
        <v>0</v>
      </c>
      <c r="DB194" s="12">
        <f t="shared" ca="1" si="343"/>
        <v>0</v>
      </c>
      <c r="DC194" s="12">
        <f t="shared" ca="1" si="343"/>
        <v>0</v>
      </c>
      <c r="DD194" s="12">
        <f t="shared" ca="1" si="343"/>
        <v>0</v>
      </c>
      <c r="DE194" s="12">
        <f t="shared" ca="1" si="343"/>
        <v>0</v>
      </c>
      <c r="DF194" s="12">
        <f t="shared" ca="1" si="343"/>
        <v>0</v>
      </c>
      <c r="DG194" s="12">
        <f t="shared" ca="1" si="343"/>
        <v>0</v>
      </c>
      <c r="DH194" s="12">
        <f t="shared" ca="1" si="343"/>
        <v>0</v>
      </c>
      <c r="DI194" s="12">
        <f t="shared" ca="1" si="343"/>
        <v>0</v>
      </c>
      <c r="DJ194" s="12">
        <f t="shared" ca="1" si="343"/>
        <v>0</v>
      </c>
      <c r="DK194" s="12">
        <f t="shared" ca="1" si="343"/>
        <v>0</v>
      </c>
      <c r="DL194" s="12">
        <f t="shared" ca="1" si="343"/>
        <v>0</v>
      </c>
      <c r="DM194" s="12">
        <f t="shared" ca="1" si="343"/>
        <v>0</v>
      </c>
      <c r="DN194" s="12">
        <f t="shared" ca="1" si="343"/>
        <v>0</v>
      </c>
      <c r="DO194" s="12">
        <f t="shared" ca="1" si="343"/>
        <v>0</v>
      </c>
      <c r="DP194" s="12">
        <f t="shared" ca="1" si="343"/>
        <v>0</v>
      </c>
      <c r="DQ194" s="12">
        <f t="shared" ca="1" si="343"/>
        <v>0</v>
      </c>
      <c r="DR194" s="12">
        <f t="shared" ca="1" si="343"/>
        <v>0</v>
      </c>
      <c r="DS194" s="12">
        <f t="shared" ca="1" si="343"/>
        <v>0</v>
      </c>
      <c r="DT194" s="12">
        <f t="shared" ca="1" si="343"/>
        <v>0</v>
      </c>
      <c r="DU194" s="12">
        <f t="shared" ca="1" si="343"/>
        <v>0</v>
      </c>
      <c r="DV194" s="12">
        <f t="shared" ca="1" si="343"/>
        <v>0</v>
      </c>
      <c r="DW194" s="12">
        <f t="shared" ca="1" si="343"/>
        <v>0</v>
      </c>
      <c r="DX194" s="12">
        <f t="shared" ca="1" si="343"/>
        <v>0</v>
      </c>
      <c r="DY194" s="12">
        <f t="shared" ca="1" si="343"/>
        <v>0</v>
      </c>
      <c r="DZ194" s="12">
        <f t="shared" ca="1" si="343"/>
        <v>0</v>
      </c>
      <c r="EA194" s="12">
        <f t="shared" ca="1" si="343"/>
        <v>0</v>
      </c>
      <c r="EB194" s="12">
        <f t="shared" ca="1" si="343"/>
        <v>0</v>
      </c>
      <c r="EC194" s="12">
        <f t="shared" ca="1" si="343"/>
        <v>0</v>
      </c>
      <c r="ED194" s="12">
        <f t="shared" ca="1" si="343"/>
        <v>0</v>
      </c>
      <c r="EE194" s="12">
        <f t="shared" ca="1" si="343"/>
        <v>0</v>
      </c>
      <c r="EF194" s="12">
        <f t="shared" ca="1" si="343"/>
        <v>0</v>
      </c>
      <c r="EG194" s="12">
        <f t="shared" ca="1" si="343"/>
        <v>0</v>
      </c>
      <c r="EH194" s="12">
        <f ca="1">-MAX(MIN(SUM(EH192:EH193),EH159),0)</f>
        <v>0</v>
      </c>
      <c r="EI194" s="12">
        <f ca="1">-MAX(MIN(SUM(EI192:EI193),EI159),0)</f>
        <v>0</v>
      </c>
      <c r="EJ194" s="12">
        <f ca="1">-MAX(MIN(SUM(EJ192:EJ193),EJ159),0)</f>
        <v>0</v>
      </c>
    </row>
    <row r="195" spans="2:140" x14ac:dyDescent="0.4">
      <c r="B195" s="60" t="s">
        <v>118</v>
      </c>
      <c r="H195" s="318">
        <f ca="1">-MIN(H$159,0)</f>
        <v>6100000</v>
      </c>
      <c r="I195" s="12">
        <f t="shared" ref="I195:BT195" ca="1" si="344">-MIN(I$159,0)</f>
        <v>0</v>
      </c>
      <c r="J195" s="12">
        <f t="shared" ca="1" si="344"/>
        <v>0</v>
      </c>
      <c r="K195" s="12">
        <f t="shared" ca="1" si="344"/>
        <v>360500</v>
      </c>
      <c r="L195" s="12">
        <f t="shared" ca="1" si="344"/>
        <v>360500</v>
      </c>
      <c r="M195" s="12">
        <f t="shared" ca="1" si="344"/>
        <v>360500</v>
      </c>
      <c r="N195" s="12">
        <f t="shared" ca="1" si="344"/>
        <v>360500</v>
      </c>
      <c r="O195" s="12">
        <f t="shared" ca="1" si="344"/>
        <v>3141750</v>
      </c>
      <c r="P195" s="12">
        <f t="shared" ca="1" si="344"/>
        <v>3141750</v>
      </c>
      <c r="Q195" s="12">
        <f t="shared" ca="1" si="344"/>
        <v>3141750</v>
      </c>
      <c r="R195" s="12">
        <f t="shared" ca="1" si="344"/>
        <v>1778449.999427788</v>
      </c>
      <c r="S195" s="12">
        <f t="shared" ca="1" si="344"/>
        <v>0</v>
      </c>
      <c r="T195" s="12">
        <f t="shared" ca="1" si="344"/>
        <v>0</v>
      </c>
      <c r="U195" s="12">
        <f t="shared" ca="1" si="344"/>
        <v>0</v>
      </c>
      <c r="V195" s="12">
        <f t="shared" ca="1" si="344"/>
        <v>0</v>
      </c>
      <c r="W195" s="12">
        <f t="shared" ca="1" si="344"/>
        <v>0</v>
      </c>
      <c r="X195" s="12">
        <f t="shared" ca="1" si="344"/>
        <v>0</v>
      </c>
      <c r="Y195" s="12">
        <f t="shared" ca="1" si="344"/>
        <v>3750</v>
      </c>
      <c r="Z195" s="12">
        <f t="shared" ca="1" si="344"/>
        <v>0</v>
      </c>
      <c r="AA195" s="12">
        <f t="shared" ca="1" si="344"/>
        <v>0</v>
      </c>
      <c r="AB195" s="12">
        <f t="shared" ca="1" si="344"/>
        <v>0</v>
      </c>
      <c r="AC195" s="12">
        <f t="shared" ca="1" si="344"/>
        <v>0</v>
      </c>
      <c r="AD195" s="12">
        <f t="shared" ca="1" si="344"/>
        <v>0</v>
      </c>
      <c r="AE195" s="12">
        <f t="shared" ca="1" si="344"/>
        <v>0</v>
      </c>
      <c r="AF195" s="12">
        <f t="shared" ca="1" si="344"/>
        <v>0</v>
      </c>
      <c r="AG195" s="12">
        <f t="shared" ca="1" si="344"/>
        <v>0</v>
      </c>
      <c r="AH195" s="12">
        <f t="shared" ca="1" si="344"/>
        <v>0</v>
      </c>
      <c r="AI195" s="12">
        <f t="shared" ca="1" si="344"/>
        <v>0</v>
      </c>
      <c r="AJ195" s="12">
        <f t="shared" ca="1" si="344"/>
        <v>0</v>
      </c>
      <c r="AK195" s="12">
        <f t="shared" ca="1" si="344"/>
        <v>0</v>
      </c>
      <c r="AL195" s="12">
        <f t="shared" ca="1" si="344"/>
        <v>0</v>
      </c>
      <c r="AM195" s="12">
        <f t="shared" ca="1" si="344"/>
        <v>0</v>
      </c>
      <c r="AN195" s="12">
        <f t="shared" ca="1" si="344"/>
        <v>0</v>
      </c>
      <c r="AO195" s="12">
        <f t="shared" ca="1" si="344"/>
        <v>0</v>
      </c>
      <c r="AP195" s="12">
        <f t="shared" ca="1" si="344"/>
        <v>0</v>
      </c>
      <c r="AQ195" s="12">
        <f t="shared" ca="1" si="344"/>
        <v>0</v>
      </c>
      <c r="AR195" s="12">
        <f t="shared" ca="1" si="344"/>
        <v>0</v>
      </c>
      <c r="AS195" s="12">
        <f t="shared" ca="1" si="344"/>
        <v>0</v>
      </c>
      <c r="AT195" s="12">
        <f t="shared" ca="1" si="344"/>
        <v>0</v>
      </c>
      <c r="AU195" s="12">
        <f t="shared" ca="1" si="344"/>
        <v>0</v>
      </c>
      <c r="AV195" s="12">
        <f t="shared" ca="1" si="344"/>
        <v>0</v>
      </c>
      <c r="AW195" s="12">
        <f t="shared" ca="1" si="344"/>
        <v>0</v>
      </c>
      <c r="AX195" s="12">
        <f t="shared" ca="1" si="344"/>
        <v>0</v>
      </c>
      <c r="AY195" s="12">
        <f t="shared" ca="1" si="344"/>
        <v>0</v>
      </c>
      <c r="AZ195" s="12">
        <f t="shared" ca="1" si="344"/>
        <v>0</v>
      </c>
      <c r="BA195" s="12">
        <f t="shared" ca="1" si="344"/>
        <v>0</v>
      </c>
      <c r="BB195" s="12">
        <f t="shared" ca="1" si="344"/>
        <v>0</v>
      </c>
      <c r="BC195" s="12">
        <f t="shared" ca="1" si="344"/>
        <v>0</v>
      </c>
      <c r="BD195" s="12">
        <f t="shared" ca="1" si="344"/>
        <v>0</v>
      </c>
      <c r="BE195" s="12">
        <f t="shared" ca="1" si="344"/>
        <v>0</v>
      </c>
      <c r="BF195" s="12">
        <f t="shared" ca="1" si="344"/>
        <v>0</v>
      </c>
      <c r="BG195" s="12">
        <f t="shared" ca="1" si="344"/>
        <v>0</v>
      </c>
      <c r="BH195" s="12">
        <f t="shared" ca="1" si="344"/>
        <v>0</v>
      </c>
      <c r="BI195" s="12">
        <f t="shared" ca="1" si="344"/>
        <v>0</v>
      </c>
      <c r="BJ195" s="12">
        <f t="shared" ca="1" si="344"/>
        <v>0</v>
      </c>
      <c r="BK195" s="12">
        <f t="shared" ca="1" si="344"/>
        <v>0</v>
      </c>
      <c r="BL195" s="12">
        <f t="shared" ca="1" si="344"/>
        <v>0</v>
      </c>
      <c r="BM195" s="12">
        <f t="shared" ca="1" si="344"/>
        <v>0</v>
      </c>
      <c r="BN195" s="12">
        <f t="shared" ca="1" si="344"/>
        <v>0</v>
      </c>
      <c r="BO195" s="12">
        <f t="shared" ca="1" si="344"/>
        <v>0</v>
      </c>
      <c r="BP195" s="12">
        <f t="shared" ca="1" si="344"/>
        <v>0</v>
      </c>
      <c r="BQ195" s="12">
        <f t="shared" ca="1" si="344"/>
        <v>0</v>
      </c>
      <c r="BR195" s="12">
        <f t="shared" ca="1" si="344"/>
        <v>0</v>
      </c>
      <c r="BS195" s="12">
        <f t="shared" ca="1" si="344"/>
        <v>0</v>
      </c>
      <c r="BT195" s="12">
        <f t="shared" ca="1" si="344"/>
        <v>0</v>
      </c>
      <c r="BU195" s="12">
        <f t="shared" ref="BU195:EF195" ca="1" si="345">-MIN(BU$159,0)</f>
        <v>0</v>
      </c>
      <c r="BV195" s="12">
        <f t="shared" ca="1" si="345"/>
        <v>0</v>
      </c>
      <c r="BW195" s="12">
        <f t="shared" ca="1" si="345"/>
        <v>0</v>
      </c>
      <c r="BX195" s="12">
        <f t="shared" ca="1" si="345"/>
        <v>0</v>
      </c>
      <c r="BY195" s="12">
        <f t="shared" ca="1" si="345"/>
        <v>0</v>
      </c>
      <c r="BZ195" s="12">
        <f t="shared" ca="1" si="345"/>
        <v>0</v>
      </c>
      <c r="CA195" s="12">
        <f t="shared" ca="1" si="345"/>
        <v>0</v>
      </c>
      <c r="CB195" s="12">
        <f t="shared" ca="1" si="345"/>
        <v>0</v>
      </c>
      <c r="CC195" s="12">
        <f t="shared" ca="1" si="345"/>
        <v>0</v>
      </c>
      <c r="CD195" s="12">
        <f t="shared" ca="1" si="345"/>
        <v>0</v>
      </c>
      <c r="CE195" s="12">
        <f t="shared" ca="1" si="345"/>
        <v>0</v>
      </c>
      <c r="CF195" s="12">
        <f t="shared" ca="1" si="345"/>
        <v>0</v>
      </c>
      <c r="CG195" s="12">
        <f t="shared" ca="1" si="345"/>
        <v>0</v>
      </c>
      <c r="CH195" s="12">
        <f t="shared" ca="1" si="345"/>
        <v>0</v>
      </c>
      <c r="CI195" s="12">
        <f t="shared" ca="1" si="345"/>
        <v>0</v>
      </c>
      <c r="CJ195" s="12">
        <f t="shared" ca="1" si="345"/>
        <v>0</v>
      </c>
      <c r="CK195" s="12">
        <f t="shared" ca="1" si="345"/>
        <v>0</v>
      </c>
      <c r="CL195" s="12">
        <f t="shared" ca="1" si="345"/>
        <v>0</v>
      </c>
      <c r="CM195" s="12">
        <f t="shared" ca="1" si="345"/>
        <v>0</v>
      </c>
      <c r="CN195" s="12">
        <f t="shared" ca="1" si="345"/>
        <v>0</v>
      </c>
      <c r="CO195" s="12">
        <f t="shared" ca="1" si="345"/>
        <v>0</v>
      </c>
      <c r="CP195" s="12">
        <f t="shared" ca="1" si="345"/>
        <v>0</v>
      </c>
      <c r="CQ195" s="12">
        <f t="shared" ca="1" si="345"/>
        <v>0</v>
      </c>
      <c r="CR195" s="12">
        <f t="shared" ca="1" si="345"/>
        <v>0</v>
      </c>
      <c r="CS195" s="12">
        <f t="shared" ca="1" si="345"/>
        <v>0</v>
      </c>
      <c r="CT195" s="12">
        <f t="shared" ca="1" si="345"/>
        <v>0</v>
      </c>
      <c r="CU195" s="12">
        <f t="shared" ca="1" si="345"/>
        <v>0</v>
      </c>
      <c r="CV195" s="12">
        <f t="shared" ca="1" si="345"/>
        <v>0</v>
      </c>
      <c r="CW195" s="12">
        <f t="shared" ca="1" si="345"/>
        <v>0</v>
      </c>
      <c r="CX195" s="12">
        <f t="shared" ca="1" si="345"/>
        <v>0</v>
      </c>
      <c r="CY195" s="12">
        <f t="shared" ca="1" si="345"/>
        <v>0</v>
      </c>
      <c r="CZ195" s="12">
        <f t="shared" ca="1" si="345"/>
        <v>0</v>
      </c>
      <c r="DA195" s="12">
        <f t="shared" ca="1" si="345"/>
        <v>0</v>
      </c>
      <c r="DB195" s="12">
        <f t="shared" ca="1" si="345"/>
        <v>0</v>
      </c>
      <c r="DC195" s="12">
        <f t="shared" ca="1" si="345"/>
        <v>0</v>
      </c>
      <c r="DD195" s="12">
        <f t="shared" ca="1" si="345"/>
        <v>0</v>
      </c>
      <c r="DE195" s="12">
        <f t="shared" ca="1" si="345"/>
        <v>0</v>
      </c>
      <c r="DF195" s="12">
        <f t="shared" ca="1" si="345"/>
        <v>0</v>
      </c>
      <c r="DG195" s="12">
        <f t="shared" ca="1" si="345"/>
        <v>0</v>
      </c>
      <c r="DH195" s="12">
        <f t="shared" ca="1" si="345"/>
        <v>0</v>
      </c>
      <c r="DI195" s="12">
        <f t="shared" ca="1" si="345"/>
        <v>0</v>
      </c>
      <c r="DJ195" s="12">
        <f t="shared" ca="1" si="345"/>
        <v>0</v>
      </c>
      <c r="DK195" s="12">
        <f t="shared" ca="1" si="345"/>
        <v>0</v>
      </c>
      <c r="DL195" s="12">
        <f t="shared" ca="1" si="345"/>
        <v>0</v>
      </c>
      <c r="DM195" s="12">
        <f t="shared" ca="1" si="345"/>
        <v>0</v>
      </c>
      <c r="DN195" s="12">
        <f t="shared" ca="1" si="345"/>
        <v>0</v>
      </c>
      <c r="DO195" s="12">
        <f t="shared" ca="1" si="345"/>
        <v>0</v>
      </c>
      <c r="DP195" s="12">
        <f t="shared" ca="1" si="345"/>
        <v>0</v>
      </c>
      <c r="DQ195" s="12">
        <f t="shared" ca="1" si="345"/>
        <v>0</v>
      </c>
      <c r="DR195" s="12">
        <f t="shared" ca="1" si="345"/>
        <v>0</v>
      </c>
      <c r="DS195" s="12">
        <f t="shared" ca="1" si="345"/>
        <v>0</v>
      </c>
      <c r="DT195" s="12">
        <f t="shared" ca="1" si="345"/>
        <v>0</v>
      </c>
      <c r="DU195" s="12">
        <f t="shared" ca="1" si="345"/>
        <v>0</v>
      </c>
      <c r="DV195" s="12">
        <f t="shared" ca="1" si="345"/>
        <v>0</v>
      </c>
      <c r="DW195" s="12">
        <f t="shared" ca="1" si="345"/>
        <v>0</v>
      </c>
      <c r="DX195" s="12">
        <f t="shared" ca="1" si="345"/>
        <v>0</v>
      </c>
      <c r="DY195" s="12">
        <f t="shared" ca="1" si="345"/>
        <v>0</v>
      </c>
      <c r="DZ195" s="12">
        <f t="shared" ca="1" si="345"/>
        <v>0</v>
      </c>
      <c r="EA195" s="12">
        <f t="shared" ca="1" si="345"/>
        <v>0</v>
      </c>
      <c r="EB195" s="12">
        <f t="shared" ca="1" si="345"/>
        <v>0</v>
      </c>
      <c r="EC195" s="12">
        <f t="shared" ca="1" si="345"/>
        <v>0</v>
      </c>
      <c r="ED195" s="12">
        <f t="shared" ca="1" si="345"/>
        <v>0</v>
      </c>
      <c r="EE195" s="12">
        <f t="shared" ca="1" si="345"/>
        <v>0</v>
      </c>
      <c r="EF195" s="12">
        <f t="shared" ca="1" si="345"/>
        <v>0</v>
      </c>
      <c r="EG195" s="12">
        <f ca="1">-MIN(EG$159,0)</f>
        <v>0</v>
      </c>
      <c r="EH195" s="12">
        <f ca="1">-MIN(EH$159,0)</f>
        <v>0</v>
      </c>
      <c r="EI195" s="12">
        <f ca="1">-MIN(EI$159,0)</f>
        <v>0</v>
      </c>
      <c r="EJ195" s="12">
        <f ca="1">-MIN(EJ$159,0)</f>
        <v>0</v>
      </c>
    </row>
    <row r="196" spans="2:140" x14ac:dyDescent="0.4">
      <c r="B196" s="1" t="s">
        <v>99</v>
      </c>
      <c r="H196" s="319">
        <f ca="1">SUM(H192:H195)</f>
        <v>6100000</v>
      </c>
      <c r="I196" s="97">
        <f ca="1">SUM(I192:I195)</f>
        <v>6149578.902697809</v>
      </c>
      <c r="J196" s="97">
        <f ca="1">SUM(J192:J195)</f>
        <v>6194706.1108127022</v>
      </c>
      <c r="K196" s="97">
        <f t="shared" ref="K196:BV196" ca="1" si="346">SUM(K192:K195)</f>
        <v>6605554.7553224573</v>
      </c>
      <c r="L196" s="97">
        <f t="shared" ca="1" si="346"/>
        <v>7018003.9902252415</v>
      </c>
      <c r="M196" s="97">
        <f t="shared" ca="1" si="346"/>
        <v>7435544.1438259324</v>
      </c>
      <c r="N196" s="97">
        <f t="shared" ca="1" si="346"/>
        <v>7854520.8113679579</v>
      </c>
      <c r="O196" s="97">
        <f t="shared" ca="1" si="346"/>
        <v>11060109.913506437</v>
      </c>
      <c r="P196" s="97">
        <f t="shared" ca="1" si="346"/>
        <v>14291753.046822635</v>
      </c>
      <c r="Q196" s="97">
        <f t="shared" ca="1" si="346"/>
        <v>17545900.213102084</v>
      </c>
      <c r="R196" s="97">
        <f t="shared" ca="1" si="346"/>
        <v>19466957.832105424</v>
      </c>
      <c r="S196" s="97">
        <f t="shared" ca="1" si="346"/>
        <v>19620055.278530765</v>
      </c>
      <c r="T196" s="97">
        <f t="shared" ca="1" si="346"/>
        <v>19779520.985347144</v>
      </c>
      <c r="U196" s="97">
        <f t="shared" ca="1" si="346"/>
        <v>19940282.779829409</v>
      </c>
      <c r="V196" s="97">
        <f t="shared" ca="1" si="346"/>
        <v>20086609.756865256</v>
      </c>
      <c r="W196" s="97">
        <f t="shared" ca="1" si="346"/>
        <v>20249867.473367631</v>
      </c>
      <c r="X196" s="97">
        <f t="shared" ca="1" si="346"/>
        <v>20409122.094832484</v>
      </c>
      <c r="Y196" s="97">
        <f t="shared" ca="1" si="346"/>
        <v>20578751.09130583</v>
      </c>
      <c r="Z196" s="97">
        <f t="shared" ca="1" si="346"/>
        <v>20738410.095516935</v>
      </c>
      <c r="AA196" s="97">
        <f t="shared" ca="1" si="346"/>
        <v>20870923.744632121</v>
      </c>
      <c r="AB196" s="97">
        <f t="shared" ca="1" si="346"/>
        <v>20970541.991840176</v>
      </c>
      <c r="AC196" s="97">
        <f t="shared" ca="1" si="346"/>
        <v>21031364.649662517</v>
      </c>
      <c r="AD196" s="97">
        <f t="shared" ca="1" si="346"/>
        <v>21064002.371928245</v>
      </c>
      <c r="AE196" s="97">
        <f t="shared" ca="1" si="346"/>
        <v>21213646.397418622</v>
      </c>
      <c r="AF196" s="97">
        <f t="shared" ca="1" si="346"/>
        <v>21341007.177225363</v>
      </c>
      <c r="AG196" s="97">
        <f t="shared" ca="1" si="346"/>
        <v>21427577.202438962</v>
      </c>
      <c r="AH196" s="97">
        <f t="shared" ca="1" si="346"/>
        <v>21446620.127782509</v>
      </c>
      <c r="AI196" s="97">
        <f t="shared" ca="1" si="346"/>
        <v>21497882.866015904</v>
      </c>
      <c r="AJ196" s="97">
        <f t="shared" ca="1" si="346"/>
        <v>21538093.766486995</v>
      </c>
      <c r="AK196" s="97">
        <f t="shared" ca="1" si="346"/>
        <v>21588917.2585379</v>
      </c>
      <c r="AL196" s="97">
        <f t="shared" ca="1" si="346"/>
        <v>21628607.383945797</v>
      </c>
      <c r="AM196" s="97">
        <f t="shared" ca="1" si="346"/>
        <v>21678937.545051858</v>
      </c>
      <c r="AN196" s="97">
        <f t="shared" ca="1" si="346"/>
        <v>21694739.082638189</v>
      </c>
      <c r="AO196" s="97">
        <f t="shared" ca="1" si="346"/>
        <v>21698962.503898323</v>
      </c>
      <c r="AP196" s="97">
        <f t="shared" ca="1" si="346"/>
        <v>21713468.275359806</v>
      </c>
      <c r="AQ196" s="97">
        <f t="shared" ca="1" si="346"/>
        <v>21716339.429713644</v>
      </c>
      <c r="AR196" s="97">
        <f t="shared" ca="1" si="346"/>
        <v>0</v>
      </c>
      <c r="AS196" s="97">
        <f t="shared" ca="1" si="346"/>
        <v>0</v>
      </c>
      <c r="AT196" s="97">
        <f t="shared" ca="1" si="346"/>
        <v>0</v>
      </c>
      <c r="AU196" s="97">
        <f t="shared" ca="1" si="346"/>
        <v>0</v>
      </c>
      <c r="AV196" s="97">
        <f t="shared" ca="1" si="346"/>
        <v>0</v>
      </c>
      <c r="AW196" s="97">
        <f t="shared" ca="1" si="346"/>
        <v>0</v>
      </c>
      <c r="AX196" s="97">
        <f t="shared" ca="1" si="346"/>
        <v>0</v>
      </c>
      <c r="AY196" s="97">
        <f t="shared" ca="1" si="346"/>
        <v>0</v>
      </c>
      <c r="AZ196" s="97">
        <f t="shared" ca="1" si="346"/>
        <v>0</v>
      </c>
      <c r="BA196" s="97">
        <f t="shared" ca="1" si="346"/>
        <v>0</v>
      </c>
      <c r="BB196" s="97">
        <f t="shared" ca="1" si="346"/>
        <v>0</v>
      </c>
      <c r="BC196" s="97">
        <f ca="1">SUM(BC192:BC195)</f>
        <v>0</v>
      </c>
      <c r="BD196" s="97">
        <f ca="1">SUM(BD192:BD195)</f>
        <v>0</v>
      </c>
      <c r="BE196" s="97">
        <f t="shared" ca="1" si="346"/>
        <v>0</v>
      </c>
      <c r="BF196" s="97">
        <f t="shared" ca="1" si="346"/>
        <v>0</v>
      </c>
      <c r="BG196" s="97">
        <f t="shared" ca="1" si="346"/>
        <v>0</v>
      </c>
      <c r="BH196" s="97">
        <f t="shared" ca="1" si="346"/>
        <v>0</v>
      </c>
      <c r="BI196" s="97">
        <f t="shared" ca="1" si="346"/>
        <v>0</v>
      </c>
      <c r="BJ196" s="97">
        <f t="shared" ca="1" si="346"/>
        <v>0</v>
      </c>
      <c r="BK196" s="97">
        <f t="shared" ca="1" si="346"/>
        <v>0</v>
      </c>
      <c r="BL196" s="97">
        <f t="shared" ca="1" si="346"/>
        <v>0</v>
      </c>
      <c r="BM196" s="97">
        <f t="shared" ca="1" si="346"/>
        <v>0</v>
      </c>
      <c r="BN196" s="97">
        <f t="shared" ca="1" si="346"/>
        <v>0</v>
      </c>
      <c r="BO196" s="97">
        <f t="shared" ca="1" si="346"/>
        <v>0</v>
      </c>
      <c r="BP196" s="97">
        <f t="shared" ca="1" si="346"/>
        <v>0</v>
      </c>
      <c r="BQ196" s="97">
        <f t="shared" ca="1" si="346"/>
        <v>0</v>
      </c>
      <c r="BR196" s="97">
        <f t="shared" ca="1" si="346"/>
        <v>0</v>
      </c>
      <c r="BS196" s="97">
        <f t="shared" ca="1" si="346"/>
        <v>0</v>
      </c>
      <c r="BT196" s="97">
        <f t="shared" ca="1" si="346"/>
        <v>0</v>
      </c>
      <c r="BU196" s="97">
        <f t="shared" ca="1" si="346"/>
        <v>0</v>
      </c>
      <c r="BV196" s="97">
        <f t="shared" ca="1" si="346"/>
        <v>0</v>
      </c>
      <c r="BW196" s="97">
        <f t="shared" ref="BW196:EH196" ca="1" si="347">SUM(BW192:BW195)</f>
        <v>0</v>
      </c>
      <c r="BX196" s="97">
        <f t="shared" ca="1" si="347"/>
        <v>0</v>
      </c>
      <c r="BY196" s="97">
        <f t="shared" ca="1" si="347"/>
        <v>0</v>
      </c>
      <c r="BZ196" s="97">
        <f t="shared" ca="1" si="347"/>
        <v>0</v>
      </c>
      <c r="CA196" s="97">
        <f t="shared" ca="1" si="347"/>
        <v>0</v>
      </c>
      <c r="CB196" s="97">
        <f t="shared" ca="1" si="347"/>
        <v>0</v>
      </c>
      <c r="CC196" s="97">
        <f t="shared" ca="1" si="347"/>
        <v>0</v>
      </c>
      <c r="CD196" s="97">
        <f t="shared" ca="1" si="347"/>
        <v>0</v>
      </c>
      <c r="CE196" s="97">
        <f t="shared" ca="1" si="347"/>
        <v>0</v>
      </c>
      <c r="CF196" s="97">
        <f t="shared" ca="1" si="347"/>
        <v>0</v>
      </c>
      <c r="CG196" s="97">
        <f t="shared" ca="1" si="347"/>
        <v>0</v>
      </c>
      <c r="CH196" s="97">
        <f t="shared" ca="1" si="347"/>
        <v>0</v>
      </c>
      <c r="CI196" s="97">
        <f t="shared" ca="1" si="347"/>
        <v>0</v>
      </c>
      <c r="CJ196" s="97">
        <f t="shared" ca="1" si="347"/>
        <v>0</v>
      </c>
      <c r="CK196" s="97">
        <f t="shared" ca="1" si="347"/>
        <v>0</v>
      </c>
      <c r="CL196" s="97">
        <f t="shared" ca="1" si="347"/>
        <v>0</v>
      </c>
      <c r="CM196" s="97">
        <f t="shared" ca="1" si="347"/>
        <v>0</v>
      </c>
      <c r="CN196" s="97">
        <f t="shared" ca="1" si="347"/>
        <v>0</v>
      </c>
      <c r="CO196" s="97">
        <f t="shared" ca="1" si="347"/>
        <v>0</v>
      </c>
      <c r="CP196" s="97">
        <f t="shared" ca="1" si="347"/>
        <v>0</v>
      </c>
      <c r="CQ196" s="97">
        <f t="shared" ca="1" si="347"/>
        <v>0</v>
      </c>
      <c r="CR196" s="97">
        <f t="shared" ca="1" si="347"/>
        <v>0</v>
      </c>
      <c r="CS196" s="97">
        <f t="shared" ca="1" si="347"/>
        <v>0</v>
      </c>
      <c r="CT196" s="97">
        <f t="shared" ca="1" si="347"/>
        <v>0</v>
      </c>
      <c r="CU196" s="97">
        <f t="shared" ca="1" si="347"/>
        <v>0</v>
      </c>
      <c r="CV196" s="97">
        <f t="shared" ca="1" si="347"/>
        <v>0</v>
      </c>
      <c r="CW196" s="97">
        <f t="shared" ca="1" si="347"/>
        <v>0</v>
      </c>
      <c r="CX196" s="97">
        <f t="shared" ca="1" si="347"/>
        <v>0</v>
      </c>
      <c r="CY196" s="97">
        <f t="shared" ca="1" si="347"/>
        <v>0</v>
      </c>
      <c r="CZ196" s="97">
        <f t="shared" ca="1" si="347"/>
        <v>0</v>
      </c>
      <c r="DA196" s="97">
        <f t="shared" ca="1" si="347"/>
        <v>0</v>
      </c>
      <c r="DB196" s="97">
        <f t="shared" ca="1" si="347"/>
        <v>0</v>
      </c>
      <c r="DC196" s="97">
        <f t="shared" ca="1" si="347"/>
        <v>0</v>
      </c>
      <c r="DD196" s="97">
        <f t="shared" ca="1" si="347"/>
        <v>0</v>
      </c>
      <c r="DE196" s="97">
        <f t="shared" ca="1" si="347"/>
        <v>0</v>
      </c>
      <c r="DF196" s="97">
        <f t="shared" ca="1" si="347"/>
        <v>0</v>
      </c>
      <c r="DG196" s="97">
        <f t="shared" ca="1" si="347"/>
        <v>0</v>
      </c>
      <c r="DH196" s="97">
        <f t="shared" ca="1" si="347"/>
        <v>0</v>
      </c>
      <c r="DI196" s="97">
        <f t="shared" ca="1" si="347"/>
        <v>0</v>
      </c>
      <c r="DJ196" s="97">
        <f t="shared" ca="1" si="347"/>
        <v>0</v>
      </c>
      <c r="DK196" s="97">
        <f t="shared" ca="1" si="347"/>
        <v>0</v>
      </c>
      <c r="DL196" s="97">
        <f t="shared" ca="1" si="347"/>
        <v>0</v>
      </c>
      <c r="DM196" s="97">
        <f t="shared" ca="1" si="347"/>
        <v>0</v>
      </c>
      <c r="DN196" s="97">
        <f t="shared" ca="1" si="347"/>
        <v>0</v>
      </c>
      <c r="DO196" s="97">
        <f t="shared" ca="1" si="347"/>
        <v>0</v>
      </c>
      <c r="DP196" s="97">
        <f t="shared" ca="1" si="347"/>
        <v>0</v>
      </c>
      <c r="DQ196" s="97">
        <f t="shared" ca="1" si="347"/>
        <v>0</v>
      </c>
      <c r="DR196" s="97">
        <f t="shared" ca="1" si="347"/>
        <v>0</v>
      </c>
      <c r="DS196" s="97">
        <f t="shared" ca="1" si="347"/>
        <v>0</v>
      </c>
      <c r="DT196" s="97">
        <f t="shared" ca="1" si="347"/>
        <v>0</v>
      </c>
      <c r="DU196" s="97">
        <f t="shared" ca="1" si="347"/>
        <v>0</v>
      </c>
      <c r="DV196" s="97">
        <f t="shared" ca="1" si="347"/>
        <v>0</v>
      </c>
      <c r="DW196" s="97">
        <f t="shared" ca="1" si="347"/>
        <v>0</v>
      </c>
      <c r="DX196" s="97">
        <f t="shared" ca="1" si="347"/>
        <v>0</v>
      </c>
      <c r="DY196" s="97">
        <f t="shared" ca="1" si="347"/>
        <v>0</v>
      </c>
      <c r="DZ196" s="97">
        <f t="shared" ca="1" si="347"/>
        <v>0</v>
      </c>
      <c r="EA196" s="97">
        <f t="shared" ca="1" si="347"/>
        <v>0</v>
      </c>
      <c r="EB196" s="97">
        <f t="shared" ca="1" si="347"/>
        <v>0</v>
      </c>
      <c r="EC196" s="97">
        <f t="shared" ca="1" si="347"/>
        <v>0</v>
      </c>
      <c r="ED196" s="97">
        <f t="shared" ca="1" si="347"/>
        <v>0</v>
      </c>
      <c r="EE196" s="97">
        <f t="shared" ca="1" si="347"/>
        <v>0</v>
      </c>
      <c r="EF196" s="97">
        <f t="shared" ca="1" si="347"/>
        <v>0</v>
      </c>
      <c r="EG196" s="97">
        <f t="shared" ca="1" si="347"/>
        <v>0</v>
      </c>
      <c r="EH196" s="97">
        <f t="shared" ca="1" si="347"/>
        <v>0</v>
      </c>
      <c r="EI196" s="97">
        <f ca="1">SUM(EI192:EI195)</f>
        <v>0</v>
      </c>
      <c r="EJ196" s="97">
        <f ca="1">SUM(EJ192:EJ195)</f>
        <v>0</v>
      </c>
    </row>
    <row r="197" spans="2:140" x14ac:dyDescent="0.4">
      <c r="H197" s="316"/>
    </row>
    <row r="198" spans="2:140" x14ac:dyDescent="0.4">
      <c r="B198" s="1" t="s">
        <v>110</v>
      </c>
      <c r="C198" s="320" t="str">
        <f ca="1">IF(ROUND(XIRR(H198:EJ198,$H$6:$EJ$6),3)=C190,"Ok","Check")</f>
        <v>Ok</v>
      </c>
      <c r="H198" s="318">
        <f ca="1">-SUM(H194:H195)*$C$187</f>
        <v>-5490000</v>
      </c>
      <c r="I198" s="12">
        <f t="shared" ref="I198:BT198" ca="1" si="348">-SUM(I194:I195)*$C$187</f>
        <v>0</v>
      </c>
      <c r="J198" s="12">
        <f t="shared" ca="1" si="348"/>
        <v>0</v>
      </c>
      <c r="K198" s="12">
        <f t="shared" ca="1" si="348"/>
        <v>-324450</v>
      </c>
      <c r="L198" s="12">
        <f t="shared" ca="1" si="348"/>
        <v>-324450</v>
      </c>
      <c r="M198" s="12">
        <f t="shared" ca="1" si="348"/>
        <v>-324450</v>
      </c>
      <c r="N198" s="12">
        <f t="shared" ca="1" si="348"/>
        <v>-324450</v>
      </c>
      <c r="O198" s="12">
        <f t="shared" ca="1" si="348"/>
        <v>-2827575</v>
      </c>
      <c r="P198" s="12">
        <f t="shared" ca="1" si="348"/>
        <v>-2827575</v>
      </c>
      <c r="Q198" s="12">
        <f t="shared" ca="1" si="348"/>
        <v>-2827575</v>
      </c>
      <c r="R198" s="12">
        <f t="shared" ca="1" si="348"/>
        <v>-1600604.9994850091</v>
      </c>
      <c r="S198" s="12">
        <f t="shared" ca="1" si="348"/>
        <v>0</v>
      </c>
      <c r="T198" s="12">
        <f t="shared" ca="1" si="348"/>
        <v>0</v>
      </c>
      <c r="U198" s="12">
        <f t="shared" ca="1" si="348"/>
        <v>0</v>
      </c>
      <c r="V198" s="12">
        <f t="shared" ca="1" si="348"/>
        <v>0</v>
      </c>
      <c r="W198" s="12">
        <f t="shared" ca="1" si="348"/>
        <v>0</v>
      </c>
      <c r="X198" s="12">
        <f t="shared" ca="1" si="348"/>
        <v>0</v>
      </c>
      <c r="Y198" s="12">
        <f t="shared" ca="1" si="348"/>
        <v>-3375</v>
      </c>
      <c r="Z198" s="12">
        <f t="shared" ca="1" si="348"/>
        <v>1963.9034777278082</v>
      </c>
      <c r="AA198" s="12">
        <f t="shared" ca="1" si="348"/>
        <v>32437.528027416487</v>
      </c>
      <c r="AB198" s="12">
        <f t="shared" ca="1" si="348"/>
        <v>63012.71649531713</v>
      </c>
      <c r="AC198" s="12">
        <f t="shared" ca="1" si="348"/>
        <v>93689.722778865704</v>
      </c>
      <c r="AD198" s="12">
        <f t="shared" ca="1" si="348"/>
        <v>124468.80133969621</v>
      </c>
      <c r="AE198" s="12">
        <f t="shared" ca="1" si="348"/>
        <v>14412.007204846086</v>
      </c>
      <c r="AF198" s="12">
        <f t="shared" ca="1" si="348"/>
        <v>40551.42596786948</v>
      </c>
      <c r="AG198" s="12">
        <f t="shared" ca="1" si="348"/>
        <v>78194.739026057461</v>
      </c>
      <c r="AH198" s="12">
        <f t="shared" ca="1" si="348"/>
        <v>124378.38420954735</v>
      </c>
      <c r="AI198" s="12">
        <f t="shared" ca="1" si="348"/>
        <v>110743.84759994449</v>
      </c>
      <c r="AJ198" s="12">
        <f t="shared" ca="1" si="348"/>
        <v>115972.83865820078</v>
      </c>
      <c r="AK198" s="12">
        <f t="shared" ca="1" si="348"/>
        <v>111808.29151983473</v>
      </c>
      <c r="AL198" s="12">
        <f t="shared" ca="1" si="348"/>
        <v>117085.88033073113</v>
      </c>
      <c r="AM198" s="12">
        <f t="shared" ca="1" si="348"/>
        <v>112914.38924716647</v>
      </c>
      <c r="AN198" s="12">
        <f t="shared" ca="1" si="348"/>
        <v>144358.31152053524</v>
      </c>
      <c r="AO198" s="12">
        <f t="shared" ca="1" si="348"/>
        <v>149754.92405628873</v>
      </c>
      <c r="AP198" s="12">
        <f t="shared" ca="1" si="348"/>
        <v>145670.98200626823</v>
      </c>
      <c r="AQ198" s="12">
        <f t="shared" ca="1" si="348"/>
        <v>151104.53005052253</v>
      </c>
      <c r="AR198" s="12">
        <f t="shared" ca="1" si="348"/>
        <v>19703558.773887284</v>
      </c>
      <c r="AS198" s="12">
        <f t="shared" ca="1" si="348"/>
        <v>0</v>
      </c>
      <c r="AT198" s="12">
        <f t="shared" ca="1" si="348"/>
        <v>0</v>
      </c>
      <c r="AU198" s="12">
        <f t="shared" ca="1" si="348"/>
        <v>0</v>
      </c>
      <c r="AV198" s="12">
        <f t="shared" ca="1" si="348"/>
        <v>0</v>
      </c>
      <c r="AW198" s="12">
        <f t="shared" ca="1" si="348"/>
        <v>0</v>
      </c>
      <c r="AX198" s="12">
        <f t="shared" ca="1" si="348"/>
        <v>0</v>
      </c>
      <c r="AY198" s="12">
        <f t="shared" ca="1" si="348"/>
        <v>0</v>
      </c>
      <c r="AZ198" s="12">
        <f t="shared" ca="1" si="348"/>
        <v>0</v>
      </c>
      <c r="BA198" s="12">
        <f t="shared" ca="1" si="348"/>
        <v>0</v>
      </c>
      <c r="BB198" s="12">
        <f t="shared" ca="1" si="348"/>
        <v>0</v>
      </c>
      <c r="BC198" s="12">
        <f t="shared" ca="1" si="348"/>
        <v>0</v>
      </c>
      <c r="BD198" s="12">
        <f t="shared" ca="1" si="348"/>
        <v>0</v>
      </c>
      <c r="BE198" s="12">
        <f t="shared" ca="1" si="348"/>
        <v>0</v>
      </c>
      <c r="BF198" s="12">
        <f t="shared" ca="1" si="348"/>
        <v>0</v>
      </c>
      <c r="BG198" s="12">
        <f t="shared" ca="1" si="348"/>
        <v>0</v>
      </c>
      <c r="BH198" s="12">
        <f t="shared" ca="1" si="348"/>
        <v>0</v>
      </c>
      <c r="BI198" s="12">
        <f t="shared" ca="1" si="348"/>
        <v>0</v>
      </c>
      <c r="BJ198" s="12">
        <f t="shared" ca="1" si="348"/>
        <v>0</v>
      </c>
      <c r="BK198" s="12">
        <f t="shared" ca="1" si="348"/>
        <v>0</v>
      </c>
      <c r="BL198" s="12">
        <f t="shared" ca="1" si="348"/>
        <v>0</v>
      </c>
      <c r="BM198" s="12">
        <f t="shared" ca="1" si="348"/>
        <v>0</v>
      </c>
      <c r="BN198" s="12">
        <f t="shared" ca="1" si="348"/>
        <v>0</v>
      </c>
      <c r="BO198" s="12">
        <f t="shared" ca="1" si="348"/>
        <v>0</v>
      </c>
      <c r="BP198" s="12">
        <f t="shared" ca="1" si="348"/>
        <v>0</v>
      </c>
      <c r="BQ198" s="12">
        <f t="shared" ca="1" si="348"/>
        <v>0</v>
      </c>
      <c r="BR198" s="12">
        <f t="shared" ca="1" si="348"/>
        <v>0</v>
      </c>
      <c r="BS198" s="12">
        <f t="shared" ca="1" si="348"/>
        <v>0</v>
      </c>
      <c r="BT198" s="12">
        <f t="shared" ca="1" si="348"/>
        <v>0</v>
      </c>
      <c r="BU198" s="12">
        <f t="shared" ref="BU198:EF198" ca="1" si="349">-SUM(BU194:BU195)*$C$187</f>
        <v>0</v>
      </c>
      <c r="BV198" s="12">
        <f t="shared" ca="1" si="349"/>
        <v>0</v>
      </c>
      <c r="BW198" s="12">
        <f t="shared" ca="1" si="349"/>
        <v>0</v>
      </c>
      <c r="BX198" s="12">
        <f t="shared" ca="1" si="349"/>
        <v>0</v>
      </c>
      <c r="BY198" s="12">
        <f t="shared" ca="1" si="349"/>
        <v>0</v>
      </c>
      <c r="BZ198" s="12">
        <f t="shared" ca="1" si="349"/>
        <v>0</v>
      </c>
      <c r="CA198" s="12">
        <f t="shared" ca="1" si="349"/>
        <v>0</v>
      </c>
      <c r="CB198" s="12">
        <f t="shared" ca="1" si="349"/>
        <v>0</v>
      </c>
      <c r="CC198" s="12">
        <f t="shared" ca="1" si="349"/>
        <v>0</v>
      </c>
      <c r="CD198" s="12">
        <f t="shared" ca="1" si="349"/>
        <v>0</v>
      </c>
      <c r="CE198" s="12">
        <f t="shared" ca="1" si="349"/>
        <v>0</v>
      </c>
      <c r="CF198" s="12">
        <f t="shared" ca="1" si="349"/>
        <v>0</v>
      </c>
      <c r="CG198" s="12">
        <f t="shared" ca="1" si="349"/>
        <v>0</v>
      </c>
      <c r="CH198" s="12">
        <f t="shared" ca="1" si="349"/>
        <v>0</v>
      </c>
      <c r="CI198" s="12">
        <f t="shared" ca="1" si="349"/>
        <v>0</v>
      </c>
      <c r="CJ198" s="12">
        <f t="shared" ca="1" si="349"/>
        <v>0</v>
      </c>
      <c r="CK198" s="12">
        <f t="shared" ca="1" si="349"/>
        <v>0</v>
      </c>
      <c r="CL198" s="12">
        <f t="shared" ca="1" si="349"/>
        <v>0</v>
      </c>
      <c r="CM198" s="12">
        <f t="shared" ca="1" si="349"/>
        <v>0</v>
      </c>
      <c r="CN198" s="12">
        <f t="shared" ca="1" si="349"/>
        <v>0</v>
      </c>
      <c r="CO198" s="12">
        <f t="shared" ca="1" si="349"/>
        <v>0</v>
      </c>
      <c r="CP198" s="12">
        <f t="shared" ca="1" si="349"/>
        <v>0</v>
      </c>
      <c r="CQ198" s="12">
        <f t="shared" ca="1" si="349"/>
        <v>0</v>
      </c>
      <c r="CR198" s="12">
        <f t="shared" ca="1" si="349"/>
        <v>0</v>
      </c>
      <c r="CS198" s="12">
        <f t="shared" ca="1" si="349"/>
        <v>0</v>
      </c>
      <c r="CT198" s="12">
        <f t="shared" ca="1" si="349"/>
        <v>0</v>
      </c>
      <c r="CU198" s="12">
        <f t="shared" ca="1" si="349"/>
        <v>0</v>
      </c>
      <c r="CV198" s="12">
        <f t="shared" ca="1" si="349"/>
        <v>0</v>
      </c>
      <c r="CW198" s="12">
        <f t="shared" ca="1" si="349"/>
        <v>0</v>
      </c>
      <c r="CX198" s="12">
        <f t="shared" ca="1" si="349"/>
        <v>0</v>
      </c>
      <c r="CY198" s="12">
        <f t="shared" ca="1" si="349"/>
        <v>0</v>
      </c>
      <c r="CZ198" s="12">
        <f t="shared" ca="1" si="349"/>
        <v>0</v>
      </c>
      <c r="DA198" s="12">
        <f t="shared" ca="1" si="349"/>
        <v>0</v>
      </c>
      <c r="DB198" s="12">
        <f t="shared" ca="1" si="349"/>
        <v>0</v>
      </c>
      <c r="DC198" s="12">
        <f t="shared" ca="1" si="349"/>
        <v>0</v>
      </c>
      <c r="DD198" s="12">
        <f t="shared" ca="1" si="349"/>
        <v>0</v>
      </c>
      <c r="DE198" s="12">
        <f t="shared" ca="1" si="349"/>
        <v>0</v>
      </c>
      <c r="DF198" s="12">
        <f t="shared" ca="1" si="349"/>
        <v>0</v>
      </c>
      <c r="DG198" s="12">
        <f t="shared" ca="1" si="349"/>
        <v>0</v>
      </c>
      <c r="DH198" s="12">
        <f t="shared" ca="1" si="349"/>
        <v>0</v>
      </c>
      <c r="DI198" s="12">
        <f t="shared" ca="1" si="349"/>
        <v>0</v>
      </c>
      <c r="DJ198" s="12">
        <f t="shared" ca="1" si="349"/>
        <v>0</v>
      </c>
      <c r="DK198" s="12">
        <f t="shared" ca="1" si="349"/>
        <v>0</v>
      </c>
      <c r="DL198" s="12">
        <f t="shared" ca="1" si="349"/>
        <v>0</v>
      </c>
      <c r="DM198" s="12">
        <f t="shared" ca="1" si="349"/>
        <v>0</v>
      </c>
      <c r="DN198" s="12">
        <f t="shared" ca="1" si="349"/>
        <v>0</v>
      </c>
      <c r="DO198" s="12">
        <f t="shared" ca="1" si="349"/>
        <v>0</v>
      </c>
      <c r="DP198" s="12">
        <f t="shared" ca="1" si="349"/>
        <v>0</v>
      </c>
      <c r="DQ198" s="12">
        <f t="shared" ca="1" si="349"/>
        <v>0</v>
      </c>
      <c r="DR198" s="12">
        <f t="shared" ca="1" si="349"/>
        <v>0</v>
      </c>
      <c r="DS198" s="12">
        <f t="shared" ca="1" si="349"/>
        <v>0</v>
      </c>
      <c r="DT198" s="12">
        <f t="shared" ca="1" si="349"/>
        <v>0</v>
      </c>
      <c r="DU198" s="12">
        <f t="shared" ca="1" si="349"/>
        <v>0</v>
      </c>
      <c r="DV198" s="12">
        <f t="shared" ca="1" si="349"/>
        <v>0</v>
      </c>
      <c r="DW198" s="12">
        <f t="shared" ca="1" si="349"/>
        <v>0</v>
      </c>
      <c r="DX198" s="12">
        <f t="shared" ca="1" si="349"/>
        <v>0</v>
      </c>
      <c r="DY198" s="12">
        <f t="shared" ca="1" si="349"/>
        <v>0</v>
      </c>
      <c r="DZ198" s="12">
        <f t="shared" ca="1" si="349"/>
        <v>0</v>
      </c>
      <c r="EA198" s="12">
        <f t="shared" ca="1" si="349"/>
        <v>0</v>
      </c>
      <c r="EB198" s="12">
        <f t="shared" ca="1" si="349"/>
        <v>0</v>
      </c>
      <c r="EC198" s="12">
        <f t="shared" ca="1" si="349"/>
        <v>0</v>
      </c>
      <c r="ED198" s="12">
        <f t="shared" ca="1" si="349"/>
        <v>0</v>
      </c>
      <c r="EE198" s="12">
        <f t="shared" ca="1" si="349"/>
        <v>0</v>
      </c>
      <c r="EF198" s="12">
        <f t="shared" ca="1" si="349"/>
        <v>0</v>
      </c>
      <c r="EG198" s="12">
        <f ca="1">-SUM(EG194:EG195)*$C$187</f>
        <v>0</v>
      </c>
      <c r="EH198" s="12">
        <f ca="1">-SUM(EH194:EH195)*$C$187</f>
        <v>0</v>
      </c>
      <c r="EI198" s="12">
        <f ca="1">-SUM(EI194:EI195)*$C$187</f>
        <v>0</v>
      </c>
      <c r="EJ198" s="12">
        <f ca="1">-SUM(EJ194:EJ195)*$C$187</f>
        <v>0</v>
      </c>
    </row>
    <row r="199" spans="2:140" x14ac:dyDescent="0.4">
      <c r="B199" s="1" t="s">
        <v>114</v>
      </c>
      <c r="C199" s="320" t="str">
        <f ca="1">IF(ROUND(XIRR(H199:EJ199,$H$6:$EJ$6),3)=C190,"Ok","Check")</f>
        <v>Ok</v>
      </c>
      <c r="H199" s="318">
        <f ca="1">-SUM(H194:H195)*$C$188</f>
        <v>-610000</v>
      </c>
      <c r="I199" s="12">
        <f t="shared" ref="I199:BT199" ca="1" si="350">-SUM(I194:I195)*$C$188</f>
        <v>0</v>
      </c>
      <c r="J199" s="12">
        <f t="shared" ca="1" si="350"/>
        <v>0</v>
      </c>
      <c r="K199" s="12">
        <f t="shared" ca="1" si="350"/>
        <v>-36050</v>
      </c>
      <c r="L199" s="12">
        <f t="shared" ca="1" si="350"/>
        <v>-36050</v>
      </c>
      <c r="M199" s="12">
        <f t="shared" ca="1" si="350"/>
        <v>-36050</v>
      </c>
      <c r="N199" s="12">
        <f t="shared" ca="1" si="350"/>
        <v>-36050</v>
      </c>
      <c r="O199" s="12">
        <f t="shared" ca="1" si="350"/>
        <v>-314175</v>
      </c>
      <c r="P199" s="12">
        <f t="shared" ca="1" si="350"/>
        <v>-314175</v>
      </c>
      <c r="Q199" s="12">
        <f t="shared" ca="1" si="350"/>
        <v>-314175</v>
      </c>
      <c r="R199" s="12">
        <f t="shared" ca="1" si="350"/>
        <v>-177844.99994277881</v>
      </c>
      <c r="S199" s="12">
        <f t="shared" ca="1" si="350"/>
        <v>0</v>
      </c>
      <c r="T199" s="12">
        <f t="shared" ca="1" si="350"/>
        <v>0</v>
      </c>
      <c r="U199" s="12">
        <f t="shared" ca="1" si="350"/>
        <v>0</v>
      </c>
      <c r="V199" s="12">
        <f t="shared" ca="1" si="350"/>
        <v>0</v>
      </c>
      <c r="W199" s="12">
        <f t="shared" ca="1" si="350"/>
        <v>0</v>
      </c>
      <c r="X199" s="12">
        <f t="shared" ca="1" si="350"/>
        <v>0</v>
      </c>
      <c r="Y199" s="12">
        <f t="shared" ca="1" si="350"/>
        <v>-375</v>
      </c>
      <c r="Z199" s="12">
        <f t="shared" ca="1" si="350"/>
        <v>218.21149752531201</v>
      </c>
      <c r="AA199" s="12">
        <f t="shared" ca="1" si="350"/>
        <v>3604.1697808240542</v>
      </c>
      <c r="AB199" s="12">
        <f t="shared" ca="1" si="350"/>
        <v>7001.412943924126</v>
      </c>
      <c r="AC199" s="12">
        <f t="shared" ca="1" si="350"/>
        <v>10409.969197651744</v>
      </c>
      <c r="AD199" s="12">
        <f t="shared" ca="1" si="350"/>
        <v>13829.866815521802</v>
      </c>
      <c r="AE199" s="12">
        <f t="shared" ca="1" si="350"/>
        <v>1601.3341338717873</v>
      </c>
      <c r="AF199" s="12">
        <f t="shared" ca="1" si="350"/>
        <v>4505.7139964299422</v>
      </c>
      <c r="AG199" s="12">
        <f t="shared" ca="1" si="350"/>
        <v>8688.3043362286062</v>
      </c>
      <c r="AH199" s="12">
        <f t="shared" ca="1" si="350"/>
        <v>13819.820467727484</v>
      </c>
      <c r="AI199" s="12">
        <f t="shared" ca="1" si="350"/>
        <v>12304.871955549388</v>
      </c>
      <c r="AJ199" s="12">
        <f t="shared" ca="1" si="350"/>
        <v>12885.870962022309</v>
      </c>
      <c r="AK199" s="12">
        <f t="shared" ca="1" si="350"/>
        <v>12423.143502203859</v>
      </c>
      <c r="AL199" s="12">
        <f t="shared" ca="1" si="350"/>
        <v>13009.542258970127</v>
      </c>
      <c r="AM199" s="12">
        <f t="shared" ca="1" si="350"/>
        <v>12546.043249685164</v>
      </c>
      <c r="AN199" s="12">
        <f t="shared" ca="1" si="350"/>
        <v>16039.812391170581</v>
      </c>
      <c r="AO199" s="12">
        <f t="shared" ca="1" si="350"/>
        <v>16639.436006254306</v>
      </c>
      <c r="AP199" s="12">
        <f t="shared" ca="1" si="350"/>
        <v>16185.664667363137</v>
      </c>
      <c r="AQ199" s="12">
        <f t="shared" ca="1" si="350"/>
        <v>16789.392227835837</v>
      </c>
      <c r="AR199" s="12">
        <f t="shared" ca="1" si="350"/>
        <v>2189284.3082096982</v>
      </c>
      <c r="AS199" s="12">
        <f t="shared" ca="1" si="350"/>
        <v>0</v>
      </c>
      <c r="AT199" s="12">
        <f t="shared" ca="1" si="350"/>
        <v>0</v>
      </c>
      <c r="AU199" s="12">
        <f t="shared" ca="1" si="350"/>
        <v>0</v>
      </c>
      <c r="AV199" s="12">
        <f t="shared" ca="1" si="350"/>
        <v>0</v>
      </c>
      <c r="AW199" s="12">
        <f t="shared" ca="1" si="350"/>
        <v>0</v>
      </c>
      <c r="AX199" s="12">
        <f t="shared" ca="1" si="350"/>
        <v>0</v>
      </c>
      <c r="AY199" s="12">
        <f t="shared" ca="1" si="350"/>
        <v>0</v>
      </c>
      <c r="AZ199" s="12">
        <f t="shared" ca="1" si="350"/>
        <v>0</v>
      </c>
      <c r="BA199" s="12">
        <f t="shared" ca="1" si="350"/>
        <v>0</v>
      </c>
      <c r="BB199" s="12">
        <f t="shared" ca="1" si="350"/>
        <v>0</v>
      </c>
      <c r="BC199" s="12">
        <f t="shared" ca="1" si="350"/>
        <v>0</v>
      </c>
      <c r="BD199" s="12">
        <f t="shared" ca="1" si="350"/>
        <v>0</v>
      </c>
      <c r="BE199" s="12">
        <f t="shared" ca="1" si="350"/>
        <v>0</v>
      </c>
      <c r="BF199" s="12">
        <f t="shared" ca="1" si="350"/>
        <v>0</v>
      </c>
      <c r="BG199" s="12">
        <f t="shared" ca="1" si="350"/>
        <v>0</v>
      </c>
      <c r="BH199" s="12">
        <f t="shared" ca="1" si="350"/>
        <v>0</v>
      </c>
      <c r="BI199" s="12">
        <f t="shared" ca="1" si="350"/>
        <v>0</v>
      </c>
      <c r="BJ199" s="12">
        <f t="shared" ca="1" si="350"/>
        <v>0</v>
      </c>
      <c r="BK199" s="12">
        <f t="shared" ca="1" si="350"/>
        <v>0</v>
      </c>
      <c r="BL199" s="12">
        <f t="shared" ca="1" si="350"/>
        <v>0</v>
      </c>
      <c r="BM199" s="12">
        <f t="shared" ca="1" si="350"/>
        <v>0</v>
      </c>
      <c r="BN199" s="12">
        <f t="shared" ca="1" si="350"/>
        <v>0</v>
      </c>
      <c r="BO199" s="12">
        <f t="shared" ca="1" si="350"/>
        <v>0</v>
      </c>
      <c r="BP199" s="12">
        <f t="shared" ca="1" si="350"/>
        <v>0</v>
      </c>
      <c r="BQ199" s="12">
        <f t="shared" ca="1" si="350"/>
        <v>0</v>
      </c>
      <c r="BR199" s="12">
        <f t="shared" ca="1" si="350"/>
        <v>0</v>
      </c>
      <c r="BS199" s="12">
        <f t="shared" ca="1" si="350"/>
        <v>0</v>
      </c>
      <c r="BT199" s="12">
        <f t="shared" ca="1" si="350"/>
        <v>0</v>
      </c>
      <c r="BU199" s="12">
        <f t="shared" ref="BU199:EF199" ca="1" si="351">-SUM(BU194:BU195)*$C$188</f>
        <v>0</v>
      </c>
      <c r="BV199" s="12">
        <f t="shared" ca="1" si="351"/>
        <v>0</v>
      </c>
      <c r="BW199" s="12">
        <f t="shared" ca="1" si="351"/>
        <v>0</v>
      </c>
      <c r="BX199" s="12">
        <f t="shared" ca="1" si="351"/>
        <v>0</v>
      </c>
      <c r="BY199" s="12">
        <f t="shared" ca="1" si="351"/>
        <v>0</v>
      </c>
      <c r="BZ199" s="12">
        <f t="shared" ca="1" si="351"/>
        <v>0</v>
      </c>
      <c r="CA199" s="12">
        <f t="shared" ca="1" si="351"/>
        <v>0</v>
      </c>
      <c r="CB199" s="12">
        <f t="shared" ca="1" si="351"/>
        <v>0</v>
      </c>
      <c r="CC199" s="12">
        <f t="shared" ca="1" si="351"/>
        <v>0</v>
      </c>
      <c r="CD199" s="12">
        <f t="shared" ca="1" si="351"/>
        <v>0</v>
      </c>
      <c r="CE199" s="12">
        <f t="shared" ca="1" si="351"/>
        <v>0</v>
      </c>
      <c r="CF199" s="12">
        <f t="shared" ca="1" si="351"/>
        <v>0</v>
      </c>
      <c r="CG199" s="12">
        <f t="shared" ca="1" si="351"/>
        <v>0</v>
      </c>
      <c r="CH199" s="12">
        <f t="shared" ca="1" si="351"/>
        <v>0</v>
      </c>
      <c r="CI199" s="12">
        <f t="shared" ca="1" si="351"/>
        <v>0</v>
      </c>
      <c r="CJ199" s="12">
        <f t="shared" ca="1" si="351"/>
        <v>0</v>
      </c>
      <c r="CK199" s="12">
        <f t="shared" ca="1" si="351"/>
        <v>0</v>
      </c>
      <c r="CL199" s="12">
        <f t="shared" ca="1" si="351"/>
        <v>0</v>
      </c>
      <c r="CM199" s="12">
        <f t="shared" ca="1" si="351"/>
        <v>0</v>
      </c>
      <c r="CN199" s="12">
        <f t="shared" ca="1" si="351"/>
        <v>0</v>
      </c>
      <c r="CO199" s="12">
        <f t="shared" ca="1" si="351"/>
        <v>0</v>
      </c>
      <c r="CP199" s="12">
        <f t="shared" ca="1" si="351"/>
        <v>0</v>
      </c>
      <c r="CQ199" s="12">
        <f t="shared" ca="1" si="351"/>
        <v>0</v>
      </c>
      <c r="CR199" s="12">
        <f t="shared" ca="1" si="351"/>
        <v>0</v>
      </c>
      <c r="CS199" s="12">
        <f t="shared" ca="1" si="351"/>
        <v>0</v>
      </c>
      <c r="CT199" s="12">
        <f t="shared" ca="1" si="351"/>
        <v>0</v>
      </c>
      <c r="CU199" s="12">
        <f t="shared" ca="1" si="351"/>
        <v>0</v>
      </c>
      <c r="CV199" s="12">
        <f t="shared" ca="1" si="351"/>
        <v>0</v>
      </c>
      <c r="CW199" s="12">
        <f t="shared" ca="1" si="351"/>
        <v>0</v>
      </c>
      <c r="CX199" s="12">
        <f t="shared" ca="1" si="351"/>
        <v>0</v>
      </c>
      <c r="CY199" s="12">
        <f t="shared" ca="1" si="351"/>
        <v>0</v>
      </c>
      <c r="CZ199" s="12">
        <f t="shared" ca="1" si="351"/>
        <v>0</v>
      </c>
      <c r="DA199" s="12">
        <f t="shared" ca="1" si="351"/>
        <v>0</v>
      </c>
      <c r="DB199" s="12">
        <f t="shared" ca="1" si="351"/>
        <v>0</v>
      </c>
      <c r="DC199" s="12">
        <f t="shared" ca="1" si="351"/>
        <v>0</v>
      </c>
      <c r="DD199" s="12">
        <f t="shared" ca="1" si="351"/>
        <v>0</v>
      </c>
      <c r="DE199" s="12">
        <f t="shared" ca="1" si="351"/>
        <v>0</v>
      </c>
      <c r="DF199" s="12">
        <f t="shared" ca="1" si="351"/>
        <v>0</v>
      </c>
      <c r="DG199" s="12">
        <f t="shared" ca="1" si="351"/>
        <v>0</v>
      </c>
      <c r="DH199" s="12">
        <f t="shared" ca="1" si="351"/>
        <v>0</v>
      </c>
      <c r="DI199" s="12">
        <f t="shared" ca="1" si="351"/>
        <v>0</v>
      </c>
      <c r="DJ199" s="12">
        <f t="shared" ca="1" si="351"/>
        <v>0</v>
      </c>
      <c r="DK199" s="12">
        <f t="shared" ca="1" si="351"/>
        <v>0</v>
      </c>
      <c r="DL199" s="12">
        <f t="shared" ca="1" si="351"/>
        <v>0</v>
      </c>
      <c r="DM199" s="12">
        <f t="shared" ca="1" si="351"/>
        <v>0</v>
      </c>
      <c r="DN199" s="12">
        <f t="shared" ca="1" si="351"/>
        <v>0</v>
      </c>
      <c r="DO199" s="12">
        <f t="shared" ca="1" si="351"/>
        <v>0</v>
      </c>
      <c r="DP199" s="12">
        <f t="shared" ca="1" si="351"/>
        <v>0</v>
      </c>
      <c r="DQ199" s="12">
        <f t="shared" ca="1" si="351"/>
        <v>0</v>
      </c>
      <c r="DR199" s="12">
        <f t="shared" ca="1" si="351"/>
        <v>0</v>
      </c>
      <c r="DS199" s="12">
        <f t="shared" ca="1" si="351"/>
        <v>0</v>
      </c>
      <c r="DT199" s="12">
        <f t="shared" ca="1" si="351"/>
        <v>0</v>
      </c>
      <c r="DU199" s="12">
        <f t="shared" ca="1" si="351"/>
        <v>0</v>
      </c>
      <c r="DV199" s="12">
        <f t="shared" ca="1" si="351"/>
        <v>0</v>
      </c>
      <c r="DW199" s="12">
        <f t="shared" ca="1" si="351"/>
        <v>0</v>
      </c>
      <c r="DX199" s="12">
        <f t="shared" ca="1" si="351"/>
        <v>0</v>
      </c>
      <c r="DY199" s="12">
        <f t="shared" ca="1" si="351"/>
        <v>0</v>
      </c>
      <c r="DZ199" s="12">
        <f t="shared" ca="1" si="351"/>
        <v>0</v>
      </c>
      <c r="EA199" s="12">
        <f t="shared" ca="1" si="351"/>
        <v>0</v>
      </c>
      <c r="EB199" s="12">
        <f t="shared" ca="1" si="351"/>
        <v>0</v>
      </c>
      <c r="EC199" s="12">
        <f t="shared" ca="1" si="351"/>
        <v>0</v>
      </c>
      <c r="ED199" s="12">
        <f t="shared" ca="1" si="351"/>
        <v>0</v>
      </c>
      <c r="EE199" s="12">
        <f t="shared" ca="1" si="351"/>
        <v>0</v>
      </c>
      <c r="EF199" s="12">
        <f t="shared" ca="1" si="351"/>
        <v>0</v>
      </c>
      <c r="EG199" s="12">
        <f ca="1">-SUM(EG194:EG195)*$C$188</f>
        <v>0</v>
      </c>
      <c r="EH199" s="12">
        <f ca="1">-SUM(EH194:EH195)*$C$188</f>
        <v>0</v>
      </c>
      <c r="EI199" s="12">
        <f ca="1">-SUM(EI194:EI195)*$C$188</f>
        <v>0</v>
      </c>
      <c r="EJ199" s="12">
        <f ca="1">-SUM(EJ194:EJ195)*$C$188</f>
        <v>0</v>
      </c>
    </row>
    <row r="200" spans="2:140" x14ac:dyDescent="0.4">
      <c r="H200" s="316"/>
    </row>
    <row r="201" spans="2:140" x14ac:dyDescent="0.4">
      <c r="B201" s="1" t="s">
        <v>112</v>
      </c>
      <c r="H201" s="318">
        <f ca="1">H$159-SUM(H198:H199)</f>
        <v>0</v>
      </c>
      <c r="I201" s="12">
        <f t="shared" ref="I201:BT201" ca="1" si="352">I$159-SUM(I198:I199)</f>
        <v>0</v>
      </c>
      <c r="J201" s="12">
        <f t="shared" ca="1" si="352"/>
        <v>0</v>
      </c>
      <c r="K201" s="12">
        <f t="shared" ca="1" si="352"/>
        <v>0</v>
      </c>
      <c r="L201" s="12">
        <f t="shared" ca="1" si="352"/>
        <v>0</v>
      </c>
      <c r="M201" s="12">
        <f t="shared" ca="1" si="352"/>
        <v>0</v>
      </c>
      <c r="N201" s="12">
        <f t="shared" ca="1" si="352"/>
        <v>0</v>
      </c>
      <c r="O201" s="12">
        <f t="shared" ca="1" si="352"/>
        <v>0</v>
      </c>
      <c r="P201" s="12">
        <f t="shared" ca="1" si="352"/>
        <v>0</v>
      </c>
      <c r="Q201" s="12">
        <f t="shared" ca="1" si="352"/>
        <v>0</v>
      </c>
      <c r="R201" s="12">
        <f t="shared" ca="1" si="352"/>
        <v>0</v>
      </c>
      <c r="S201" s="12">
        <f t="shared" ca="1" si="352"/>
        <v>0</v>
      </c>
      <c r="T201" s="12">
        <f t="shared" ca="1" si="352"/>
        <v>0</v>
      </c>
      <c r="U201" s="12">
        <f t="shared" ca="1" si="352"/>
        <v>0</v>
      </c>
      <c r="V201" s="12">
        <f t="shared" ca="1" si="352"/>
        <v>0</v>
      </c>
      <c r="W201" s="12">
        <f t="shared" ca="1" si="352"/>
        <v>0</v>
      </c>
      <c r="X201" s="12">
        <f t="shared" ca="1" si="352"/>
        <v>0</v>
      </c>
      <c r="Y201" s="12">
        <f t="shared" ca="1" si="352"/>
        <v>0</v>
      </c>
      <c r="Z201" s="12">
        <f t="shared" ca="1" si="352"/>
        <v>0</v>
      </c>
      <c r="AA201" s="12">
        <f t="shared" ca="1" si="352"/>
        <v>0</v>
      </c>
      <c r="AB201" s="12">
        <f t="shared" ca="1" si="352"/>
        <v>0</v>
      </c>
      <c r="AC201" s="12">
        <f t="shared" ca="1" si="352"/>
        <v>0</v>
      </c>
      <c r="AD201" s="12">
        <f t="shared" ca="1" si="352"/>
        <v>0</v>
      </c>
      <c r="AE201" s="12">
        <f t="shared" ca="1" si="352"/>
        <v>0</v>
      </c>
      <c r="AF201" s="12">
        <f t="shared" ca="1" si="352"/>
        <v>0</v>
      </c>
      <c r="AG201" s="12">
        <f t="shared" ca="1" si="352"/>
        <v>0</v>
      </c>
      <c r="AH201" s="12">
        <f t="shared" ca="1" si="352"/>
        <v>0</v>
      </c>
      <c r="AI201" s="12">
        <f t="shared" ca="1" si="352"/>
        <v>0</v>
      </c>
      <c r="AJ201" s="12">
        <f t="shared" ca="1" si="352"/>
        <v>0</v>
      </c>
      <c r="AK201" s="12">
        <f t="shared" ca="1" si="352"/>
        <v>0</v>
      </c>
      <c r="AL201" s="12">
        <f t="shared" ca="1" si="352"/>
        <v>0</v>
      </c>
      <c r="AM201" s="12">
        <f t="shared" ca="1" si="352"/>
        <v>0</v>
      </c>
      <c r="AN201" s="12">
        <f t="shared" ca="1" si="352"/>
        <v>0</v>
      </c>
      <c r="AO201" s="12">
        <f t="shared" ca="1" si="352"/>
        <v>0</v>
      </c>
      <c r="AP201" s="12">
        <f t="shared" ca="1" si="352"/>
        <v>0</v>
      </c>
      <c r="AQ201" s="12">
        <f t="shared" ca="1" si="352"/>
        <v>0</v>
      </c>
      <c r="AR201" s="12">
        <f t="shared" ca="1" si="352"/>
        <v>10846850.898659851</v>
      </c>
      <c r="AS201" s="12">
        <f t="shared" ca="1" si="352"/>
        <v>0</v>
      </c>
      <c r="AT201" s="12">
        <f t="shared" ca="1" si="352"/>
        <v>0</v>
      </c>
      <c r="AU201" s="12">
        <f t="shared" ca="1" si="352"/>
        <v>0</v>
      </c>
      <c r="AV201" s="12">
        <f t="shared" ca="1" si="352"/>
        <v>0</v>
      </c>
      <c r="AW201" s="12">
        <f t="shared" ca="1" si="352"/>
        <v>0</v>
      </c>
      <c r="AX201" s="12">
        <f t="shared" ca="1" si="352"/>
        <v>0</v>
      </c>
      <c r="AY201" s="12">
        <f t="shared" ca="1" si="352"/>
        <v>0</v>
      </c>
      <c r="AZ201" s="12">
        <f t="shared" ca="1" si="352"/>
        <v>0</v>
      </c>
      <c r="BA201" s="12">
        <f t="shared" ca="1" si="352"/>
        <v>0</v>
      </c>
      <c r="BB201" s="12">
        <f t="shared" ca="1" si="352"/>
        <v>0</v>
      </c>
      <c r="BC201" s="12">
        <f t="shared" ca="1" si="352"/>
        <v>0</v>
      </c>
      <c r="BD201" s="12">
        <f t="shared" ca="1" si="352"/>
        <v>0</v>
      </c>
      <c r="BE201" s="12">
        <f t="shared" ca="1" si="352"/>
        <v>0</v>
      </c>
      <c r="BF201" s="12">
        <f t="shared" ca="1" si="352"/>
        <v>0</v>
      </c>
      <c r="BG201" s="12">
        <f t="shared" ca="1" si="352"/>
        <v>0</v>
      </c>
      <c r="BH201" s="12">
        <f t="shared" ca="1" si="352"/>
        <v>0</v>
      </c>
      <c r="BI201" s="12">
        <f t="shared" ca="1" si="352"/>
        <v>0</v>
      </c>
      <c r="BJ201" s="12">
        <f t="shared" ca="1" si="352"/>
        <v>0</v>
      </c>
      <c r="BK201" s="12">
        <f t="shared" ca="1" si="352"/>
        <v>0</v>
      </c>
      <c r="BL201" s="12">
        <f t="shared" ca="1" si="352"/>
        <v>0</v>
      </c>
      <c r="BM201" s="12">
        <f t="shared" ca="1" si="352"/>
        <v>0</v>
      </c>
      <c r="BN201" s="12">
        <f t="shared" ca="1" si="352"/>
        <v>0</v>
      </c>
      <c r="BO201" s="12">
        <f t="shared" ca="1" si="352"/>
        <v>0</v>
      </c>
      <c r="BP201" s="12">
        <f t="shared" ca="1" si="352"/>
        <v>0</v>
      </c>
      <c r="BQ201" s="12">
        <f t="shared" ca="1" si="352"/>
        <v>0</v>
      </c>
      <c r="BR201" s="12">
        <f t="shared" ca="1" si="352"/>
        <v>0</v>
      </c>
      <c r="BS201" s="12">
        <f t="shared" ca="1" si="352"/>
        <v>0</v>
      </c>
      <c r="BT201" s="12">
        <f t="shared" ca="1" si="352"/>
        <v>0</v>
      </c>
      <c r="BU201" s="12">
        <f t="shared" ref="BU201:EF201" ca="1" si="353">BU$159-SUM(BU198:BU199)</f>
        <v>0</v>
      </c>
      <c r="BV201" s="12">
        <f t="shared" ca="1" si="353"/>
        <v>0</v>
      </c>
      <c r="BW201" s="12">
        <f t="shared" ca="1" si="353"/>
        <v>0</v>
      </c>
      <c r="BX201" s="12">
        <f t="shared" ca="1" si="353"/>
        <v>0</v>
      </c>
      <c r="BY201" s="12">
        <f t="shared" ca="1" si="353"/>
        <v>0</v>
      </c>
      <c r="BZ201" s="12">
        <f t="shared" ca="1" si="353"/>
        <v>0</v>
      </c>
      <c r="CA201" s="12">
        <f t="shared" ca="1" si="353"/>
        <v>0</v>
      </c>
      <c r="CB201" s="12">
        <f t="shared" ca="1" si="353"/>
        <v>0</v>
      </c>
      <c r="CC201" s="12">
        <f t="shared" ca="1" si="353"/>
        <v>0</v>
      </c>
      <c r="CD201" s="12">
        <f t="shared" ca="1" si="353"/>
        <v>0</v>
      </c>
      <c r="CE201" s="12">
        <f t="shared" ca="1" si="353"/>
        <v>0</v>
      </c>
      <c r="CF201" s="12">
        <f t="shared" ca="1" si="353"/>
        <v>0</v>
      </c>
      <c r="CG201" s="12">
        <f t="shared" ca="1" si="353"/>
        <v>0</v>
      </c>
      <c r="CH201" s="12">
        <f t="shared" ca="1" si="353"/>
        <v>0</v>
      </c>
      <c r="CI201" s="12">
        <f t="shared" ca="1" si="353"/>
        <v>0</v>
      </c>
      <c r="CJ201" s="12">
        <f t="shared" ca="1" si="353"/>
        <v>0</v>
      </c>
      <c r="CK201" s="12">
        <f t="shared" ca="1" si="353"/>
        <v>0</v>
      </c>
      <c r="CL201" s="12">
        <f t="shared" ca="1" si="353"/>
        <v>0</v>
      </c>
      <c r="CM201" s="12">
        <f t="shared" ca="1" si="353"/>
        <v>0</v>
      </c>
      <c r="CN201" s="12">
        <f t="shared" ca="1" si="353"/>
        <v>0</v>
      </c>
      <c r="CO201" s="12">
        <f t="shared" ca="1" si="353"/>
        <v>0</v>
      </c>
      <c r="CP201" s="12">
        <f t="shared" ca="1" si="353"/>
        <v>0</v>
      </c>
      <c r="CQ201" s="12">
        <f t="shared" ca="1" si="353"/>
        <v>0</v>
      </c>
      <c r="CR201" s="12">
        <f t="shared" ca="1" si="353"/>
        <v>0</v>
      </c>
      <c r="CS201" s="12">
        <f t="shared" ca="1" si="353"/>
        <v>0</v>
      </c>
      <c r="CT201" s="12">
        <f t="shared" ca="1" si="353"/>
        <v>0</v>
      </c>
      <c r="CU201" s="12">
        <f t="shared" ca="1" si="353"/>
        <v>0</v>
      </c>
      <c r="CV201" s="12">
        <f t="shared" ca="1" si="353"/>
        <v>0</v>
      </c>
      <c r="CW201" s="12">
        <f t="shared" ca="1" si="353"/>
        <v>0</v>
      </c>
      <c r="CX201" s="12">
        <f t="shared" ca="1" si="353"/>
        <v>0</v>
      </c>
      <c r="CY201" s="12">
        <f t="shared" ca="1" si="353"/>
        <v>0</v>
      </c>
      <c r="CZ201" s="12">
        <f t="shared" ca="1" si="353"/>
        <v>0</v>
      </c>
      <c r="DA201" s="12">
        <f t="shared" ca="1" si="353"/>
        <v>0</v>
      </c>
      <c r="DB201" s="12">
        <f t="shared" ca="1" si="353"/>
        <v>0</v>
      </c>
      <c r="DC201" s="12">
        <f t="shared" ca="1" si="353"/>
        <v>0</v>
      </c>
      <c r="DD201" s="12">
        <f t="shared" ca="1" si="353"/>
        <v>0</v>
      </c>
      <c r="DE201" s="12">
        <f t="shared" ca="1" si="353"/>
        <v>0</v>
      </c>
      <c r="DF201" s="12">
        <f t="shared" ca="1" si="353"/>
        <v>0</v>
      </c>
      <c r="DG201" s="12">
        <f t="shared" ca="1" si="353"/>
        <v>0</v>
      </c>
      <c r="DH201" s="12">
        <f t="shared" ca="1" si="353"/>
        <v>0</v>
      </c>
      <c r="DI201" s="12">
        <f t="shared" ca="1" si="353"/>
        <v>0</v>
      </c>
      <c r="DJ201" s="12">
        <f t="shared" ca="1" si="353"/>
        <v>0</v>
      </c>
      <c r="DK201" s="12">
        <f t="shared" ca="1" si="353"/>
        <v>0</v>
      </c>
      <c r="DL201" s="12">
        <f t="shared" ca="1" si="353"/>
        <v>0</v>
      </c>
      <c r="DM201" s="12">
        <f t="shared" ca="1" si="353"/>
        <v>0</v>
      </c>
      <c r="DN201" s="12">
        <f t="shared" ca="1" si="353"/>
        <v>0</v>
      </c>
      <c r="DO201" s="12">
        <f t="shared" ca="1" si="353"/>
        <v>0</v>
      </c>
      <c r="DP201" s="12">
        <f t="shared" ca="1" si="353"/>
        <v>0</v>
      </c>
      <c r="DQ201" s="12">
        <f t="shared" ca="1" si="353"/>
        <v>0</v>
      </c>
      <c r="DR201" s="12">
        <f t="shared" ca="1" si="353"/>
        <v>0</v>
      </c>
      <c r="DS201" s="12">
        <f t="shared" ca="1" si="353"/>
        <v>0</v>
      </c>
      <c r="DT201" s="12">
        <f t="shared" ca="1" si="353"/>
        <v>0</v>
      </c>
      <c r="DU201" s="12">
        <f t="shared" ca="1" si="353"/>
        <v>0</v>
      </c>
      <c r="DV201" s="12">
        <f t="shared" ca="1" si="353"/>
        <v>0</v>
      </c>
      <c r="DW201" s="12">
        <f t="shared" ca="1" si="353"/>
        <v>0</v>
      </c>
      <c r="DX201" s="12">
        <f t="shared" ca="1" si="353"/>
        <v>0</v>
      </c>
      <c r="DY201" s="12">
        <f t="shared" ca="1" si="353"/>
        <v>0</v>
      </c>
      <c r="DZ201" s="12">
        <f t="shared" ca="1" si="353"/>
        <v>0</v>
      </c>
      <c r="EA201" s="12">
        <f t="shared" ca="1" si="353"/>
        <v>0</v>
      </c>
      <c r="EB201" s="12">
        <f t="shared" ca="1" si="353"/>
        <v>0</v>
      </c>
      <c r="EC201" s="12">
        <f t="shared" ca="1" si="353"/>
        <v>0</v>
      </c>
      <c r="ED201" s="12">
        <f t="shared" ca="1" si="353"/>
        <v>0</v>
      </c>
      <c r="EE201" s="12">
        <f t="shared" ca="1" si="353"/>
        <v>0</v>
      </c>
      <c r="EF201" s="12">
        <f t="shared" ca="1" si="353"/>
        <v>0</v>
      </c>
      <c r="EG201" s="12">
        <f ca="1">EG$159-SUM(EG198:EG199)</f>
        <v>0</v>
      </c>
      <c r="EH201" s="12">
        <f ca="1">EH$159-SUM(EH198:EH199)</f>
        <v>0</v>
      </c>
      <c r="EI201" s="12">
        <f ca="1">EI$159-SUM(EI198:EI199)</f>
        <v>0</v>
      </c>
      <c r="EJ201" s="12">
        <f ca="1">EJ$159-SUM(EJ198:EJ199)</f>
        <v>0</v>
      </c>
    </row>
    <row r="202" spans="2:140" x14ac:dyDescent="0.4">
      <c r="H202" s="316"/>
    </row>
    <row r="203" spans="2:140" x14ac:dyDescent="0.4">
      <c r="B203" s="95" t="str">
        <f>"Hurdle #2: "&amp;TEXT(C204,"0.0%")&amp;" Promote up to a "&amp;TEXT(C203,"0.0%")&amp;" IRR"</f>
        <v>Hurdle #2: 20.0% Promote up to a 15.0% IRR</v>
      </c>
      <c r="C203" s="317">
        <f>'Inputs &amp; Drivers'!I8</f>
        <v>0.15</v>
      </c>
      <c r="H203" s="316"/>
    </row>
    <row r="204" spans="2:140" x14ac:dyDescent="0.4">
      <c r="C204" s="317">
        <f>'Inputs &amp; Drivers'!H8</f>
        <v>0.2</v>
      </c>
      <c r="H204" s="316"/>
    </row>
    <row r="205" spans="2:140" x14ac:dyDescent="0.4">
      <c r="B205" s="1" t="s">
        <v>95</v>
      </c>
      <c r="H205" s="316"/>
      <c r="I205" s="12">
        <f ca="1">H210</f>
        <v>6100000</v>
      </c>
      <c r="J205" s="12">
        <f ca="1">I210</f>
        <v>6172839.6283680378</v>
      </c>
      <c r="K205" s="12">
        <f t="shared" ref="K205:BV205" ca="1" si="354">J210</f>
        <v>6239377.5613228455</v>
      </c>
      <c r="L205" s="12">
        <f t="shared" ca="1" si="354"/>
        <v>6674381.4863744248</v>
      </c>
      <c r="M205" s="12">
        <f t="shared" ca="1" si="354"/>
        <v>7111994.0539003108</v>
      </c>
      <c r="N205" s="12">
        <f t="shared" ca="1" si="354"/>
        <v>7557417.825021917</v>
      </c>
      <c r="O205" s="12">
        <f t="shared" ca="1" si="354"/>
        <v>8005232.5662519541</v>
      </c>
      <c r="P205" s="12">
        <f t="shared" ca="1" si="354"/>
        <v>11242572.429387283</v>
      </c>
      <c r="Q205" s="12">
        <f t="shared" ca="1" si="354"/>
        <v>14518569.117527828</v>
      </c>
      <c r="R205" s="12">
        <f t="shared" ca="1" si="354"/>
        <v>17828059.625579424</v>
      </c>
      <c r="S205" s="12">
        <f t="shared" ca="1" si="354"/>
        <v>19819393.10658925</v>
      </c>
      <c r="T205" s="12">
        <f t="shared" ca="1" si="354"/>
        <v>20048376.764831435</v>
      </c>
      <c r="U205" s="12">
        <f t="shared" ca="1" si="354"/>
        <v>20287772.881705653</v>
      </c>
      <c r="V205" s="12">
        <f t="shared" ca="1" si="354"/>
        <v>20530027.609102145</v>
      </c>
      <c r="W205" s="12">
        <f t="shared" ca="1" si="354"/>
        <v>20751323.752021044</v>
      </c>
      <c r="X205" s="12">
        <f t="shared" ca="1" si="354"/>
        <v>20999113.704519741</v>
      </c>
      <c r="Y205" s="12">
        <f t="shared" ca="1" si="354"/>
        <v>21241727.2825463</v>
      </c>
      <c r="Z205" s="12">
        <f t="shared" ca="1" si="354"/>
        <v>21499123.105686609</v>
      </c>
      <c r="AA205" s="12">
        <f t="shared" ca="1" si="354"/>
        <v>21745331.434922412</v>
      </c>
      <c r="AB205" s="12">
        <f t="shared" ca="1" si="354"/>
        <v>21968949.058500987</v>
      </c>
      <c r="AC205" s="12">
        <f t="shared" ca="1" si="354"/>
        <v>22161264.451202329</v>
      </c>
      <c r="AD205" s="12">
        <f t="shared" ca="1" si="354"/>
        <v>22313205.263494417</v>
      </c>
      <c r="AE205" s="12">
        <f t="shared" ca="1" si="354"/>
        <v>22441346.854206853</v>
      </c>
      <c r="AF205" s="12">
        <f t="shared" ca="1" si="354"/>
        <v>22684609.953419164</v>
      </c>
      <c r="AG205" s="12">
        <f t="shared" ca="1" si="354"/>
        <v>22910427.987009116</v>
      </c>
      <c r="AH205" s="12">
        <f t="shared" ca="1" si="354"/>
        <v>23097116.592880674</v>
      </c>
      <c r="AI205" s="12">
        <f t="shared" ca="1" si="354"/>
        <v>23207885.555314586</v>
      </c>
      <c r="AJ205" s="12">
        <f t="shared" ca="1" si="354"/>
        <v>23361960.402817629</v>
      </c>
      <c r="AK205" s="12">
        <f t="shared" ca="1" si="354"/>
        <v>23503014.456316665</v>
      </c>
      <c r="AL205" s="12">
        <f t="shared" ca="1" si="354"/>
        <v>23659430.699741632</v>
      </c>
      <c r="AM205" s="12">
        <f t="shared" ca="1" si="354"/>
        <v>23802684.867849194</v>
      </c>
      <c r="AN205" s="12">
        <f t="shared" ca="1" si="354"/>
        <v>23961450.455013923</v>
      </c>
      <c r="AO205" s="12">
        <f t="shared" ca="1" si="354"/>
        <v>24087174.158364903</v>
      </c>
      <c r="AP205" s="12">
        <f t="shared" ca="1" si="354"/>
        <v>24199071.329523128</v>
      </c>
      <c r="AQ205" s="12">
        <f t="shared" ca="1" si="354"/>
        <v>24326173.922602631</v>
      </c>
      <c r="AR205" s="12">
        <f t="shared" ca="1" si="354"/>
        <v>24439332.818938646</v>
      </c>
      <c r="AS205" s="12">
        <f t="shared" ca="1" si="354"/>
        <v>0</v>
      </c>
      <c r="AT205" s="12">
        <f t="shared" ca="1" si="354"/>
        <v>0</v>
      </c>
      <c r="AU205" s="12">
        <f t="shared" ca="1" si="354"/>
        <v>0</v>
      </c>
      <c r="AV205" s="12">
        <f t="shared" ca="1" si="354"/>
        <v>0</v>
      </c>
      <c r="AW205" s="12">
        <f t="shared" ca="1" si="354"/>
        <v>0</v>
      </c>
      <c r="AX205" s="12">
        <f t="shared" ca="1" si="354"/>
        <v>0</v>
      </c>
      <c r="AY205" s="12">
        <f t="shared" ca="1" si="354"/>
        <v>0</v>
      </c>
      <c r="AZ205" s="12">
        <f t="shared" ca="1" si="354"/>
        <v>0</v>
      </c>
      <c r="BA205" s="12">
        <f t="shared" ca="1" si="354"/>
        <v>0</v>
      </c>
      <c r="BB205" s="12">
        <f t="shared" ca="1" si="354"/>
        <v>0</v>
      </c>
      <c r="BC205" s="12">
        <f t="shared" ca="1" si="354"/>
        <v>0</v>
      </c>
      <c r="BD205" s="12">
        <f t="shared" ca="1" si="354"/>
        <v>0</v>
      </c>
      <c r="BE205" s="12">
        <f t="shared" ca="1" si="354"/>
        <v>0</v>
      </c>
      <c r="BF205" s="12">
        <f t="shared" ca="1" si="354"/>
        <v>0</v>
      </c>
      <c r="BG205" s="12">
        <f t="shared" ca="1" si="354"/>
        <v>0</v>
      </c>
      <c r="BH205" s="12">
        <f t="shared" ca="1" si="354"/>
        <v>0</v>
      </c>
      <c r="BI205" s="12">
        <f t="shared" ca="1" si="354"/>
        <v>0</v>
      </c>
      <c r="BJ205" s="12">
        <f t="shared" ca="1" si="354"/>
        <v>0</v>
      </c>
      <c r="BK205" s="12">
        <f t="shared" ca="1" si="354"/>
        <v>0</v>
      </c>
      <c r="BL205" s="12">
        <f t="shared" ca="1" si="354"/>
        <v>0</v>
      </c>
      <c r="BM205" s="12">
        <f t="shared" ca="1" si="354"/>
        <v>0</v>
      </c>
      <c r="BN205" s="12">
        <f t="shared" ca="1" si="354"/>
        <v>0</v>
      </c>
      <c r="BO205" s="12">
        <f t="shared" ca="1" si="354"/>
        <v>0</v>
      </c>
      <c r="BP205" s="12">
        <f t="shared" ca="1" si="354"/>
        <v>0</v>
      </c>
      <c r="BQ205" s="12">
        <f t="shared" ca="1" si="354"/>
        <v>0</v>
      </c>
      <c r="BR205" s="12">
        <f t="shared" ca="1" si="354"/>
        <v>0</v>
      </c>
      <c r="BS205" s="12">
        <f t="shared" ca="1" si="354"/>
        <v>0</v>
      </c>
      <c r="BT205" s="12">
        <f t="shared" ca="1" si="354"/>
        <v>0</v>
      </c>
      <c r="BU205" s="12">
        <f t="shared" ca="1" si="354"/>
        <v>0</v>
      </c>
      <c r="BV205" s="12">
        <f t="shared" ca="1" si="354"/>
        <v>0</v>
      </c>
      <c r="BW205" s="12">
        <f t="shared" ref="BW205:EH205" ca="1" si="355">BV210</f>
        <v>0</v>
      </c>
      <c r="BX205" s="12">
        <f t="shared" ca="1" si="355"/>
        <v>0</v>
      </c>
      <c r="BY205" s="12">
        <f t="shared" ca="1" si="355"/>
        <v>0</v>
      </c>
      <c r="BZ205" s="12">
        <f t="shared" ca="1" si="355"/>
        <v>0</v>
      </c>
      <c r="CA205" s="12">
        <f t="shared" ca="1" si="355"/>
        <v>0</v>
      </c>
      <c r="CB205" s="12">
        <f t="shared" ca="1" si="355"/>
        <v>0</v>
      </c>
      <c r="CC205" s="12">
        <f t="shared" ca="1" si="355"/>
        <v>0</v>
      </c>
      <c r="CD205" s="12">
        <f t="shared" ca="1" si="355"/>
        <v>0</v>
      </c>
      <c r="CE205" s="12">
        <f t="shared" ca="1" si="355"/>
        <v>0</v>
      </c>
      <c r="CF205" s="12">
        <f t="shared" ca="1" si="355"/>
        <v>0</v>
      </c>
      <c r="CG205" s="12">
        <f t="shared" ca="1" si="355"/>
        <v>0</v>
      </c>
      <c r="CH205" s="12">
        <f t="shared" ca="1" si="355"/>
        <v>0</v>
      </c>
      <c r="CI205" s="12">
        <f t="shared" ca="1" si="355"/>
        <v>0</v>
      </c>
      <c r="CJ205" s="12">
        <f t="shared" ca="1" si="355"/>
        <v>0</v>
      </c>
      <c r="CK205" s="12">
        <f t="shared" ca="1" si="355"/>
        <v>0</v>
      </c>
      <c r="CL205" s="12">
        <f t="shared" ca="1" si="355"/>
        <v>0</v>
      </c>
      <c r="CM205" s="12">
        <f t="shared" ca="1" si="355"/>
        <v>0</v>
      </c>
      <c r="CN205" s="12">
        <f t="shared" ca="1" si="355"/>
        <v>0</v>
      </c>
      <c r="CO205" s="12">
        <f t="shared" ca="1" si="355"/>
        <v>0</v>
      </c>
      <c r="CP205" s="12">
        <f t="shared" ca="1" si="355"/>
        <v>0</v>
      </c>
      <c r="CQ205" s="12">
        <f t="shared" ca="1" si="355"/>
        <v>0</v>
      </c>
      <c r="CR205" s="12">
        <f t="shared" ca="1" si="355"/>
        <v>0</v>
      </c>
      <c r="CS205" s="12">
        <f t="shared" ca="1" si="355"/>
        <v>0</v>
      </c>
      <c r="CT205" s="12">
        <f t="shared" ca="1" si="355"/>
        <v>0</v>
      </c>
      <c r="CU205" s="12">
        <f t="shared" ca="1" si="355"/>
        <v>0</v>
      </c>
      <c r="CV205" s="12">
        <f t="shared" ca="1" si="355"/>
        <v>0</v>
      </c>
      <c r="CW205" s="12">
        <f t="shared" ca="1" si="355"/>
        <v>0</v>
      </c>
      <c r="CX205" s="12">
        <f t="shared" ca="1" si="355"/>
        <v>0</v>
      </c>
      <c r="CY205" s="12">
        <f t="shared" ca="1" si="355"/>
        <v>0</v>
      </c>
      <c r="CZ205" s="12">
        <f t="shared" ca="1" si="355"/>
        <v>0</v>
      </c>
      <c r="DA205" s="12">
        <f t="shared" ca="1" si="355"/>
        <v>0</v>
      </c>
      <c r="DB205" s="12">
        <f t="shared" ca="1" si="355"/>
        <v>0</v>
      </c>
      <c r="DC205" s="12">
        <f t="shared" ca="1" si="355"/>
        <v>0</v>
      </c>
      <c r="DD205" s="12">
        <f t="shared" ca="1" si="355"/>
        <v>0</v>
      </c>
      <c r="DE205" s="12">
        <f t="shared" ca="1" si="355"/>
        <v>0</v>
      </c>
      <c r="DF205" s="12">
        <f t="shared" ca="1" si="355"/>
        <v>0</v>
      </c>
      <c r="DG205" s="12">
        <f t="shared" ca="1" si="355"/>
        <v>0</v>
      </c>
      <c r="DH205" s="12">
        <f t="shared" ca="1" si="355"/>
        <v>0</v>
      </c>
      <c r="DI205" s="12">
        <f t="shared" ca="1" si="355"/>
        <v>0</v>
      </c>
      <c r="DJ205" s="12">
        <f t="shared" ca="1" si="355"/>
        <v>0</v>
      </c>
      <c r="DK205" s="12">
        <f t="shared" ca="1" si="355"/>
        <v>0</v>
      </c>
      <c r="DL205" s="12">
        <f t="shared" ca="1" si="355"/>
        <v>0</v>
      </c>
      <c r="DM205" s="12">
        <f t="shared" ca="1" si="355"/>
        <v>0</v>
      </c>
      <c r="DN205" s="12">
        <f t="shared" ca="1" si="355"/>
        <v>0</v>
      </c>
      <c r="DO205" s="12">
        <f t="shared" ca="1" si="355"/>
        <v>0</v>
      </c>
      <c r="DP205" s="12">
        <f t="shared" ca="1" si="355"/>
        <v>0</v>
      </c>
      <c r="DQ205" s="12">
        <f t="shared" ca="1" si="355"/>
        <v>0</v>
      </c>
      <c r="DR205" s="12">
        <f t="shared" ca="1" si="355"/>
        <v>0</v>
      </c>
      <c r="DS205" s="12">
        <f t="shared" ca="1" si="355"/>
        <v>0</v>
      </c>
      <c r="DT205" s="12">
        <f t="shared" ca="1" si="355"/>
        <v>0</v>
      </c>
      <c r="DU205" s="12">
        <f t="shared" ca="1" si="355"/>
        <v>0</v>
      </c>
      <c r="DV205" s="12">
        <f t="shared" ca="1" si="355"/>
        <v>0</v>
      </c>
      <c r="DW205" s="12">
        <f t="shared" ca="1" si="355"/>
        <v>0</v>
      </c>
      <c r="DX205" s="12">
        <f t="shared" ca="1" si="355"/>
        <v>0</v>
      </c>
      <c r="DY205" s="12">
        <f t="shared" ca="1" si="355"/>
        <v>0</v>
      </c>
      <c r="DZ205" s="12">
        <f t="shared" ca="1" si="355"/>
        <v>0</v>
      </c>
      <c r="EA205" s="12">
        <f t="shared" ca="1" si="355"/>
        <v>0</v>
      </c>
      <c r="EB205" s="12">
        <f t="shared" ca="1" si="355"/>
        <v>0</v>
      </c>
      <c r="EC205" s="12">
        <f t="shared" ca="1" si="355"/>
        <v>0</v>
      </c>
      <c r="ED205" s="12">
        <f t="shared" ca="1" si="355"/>
        <v>0</v>
      </c>
      <c r="EE205" s="12">
        <f t="shared" ca="1" si="355"/>
        <v>0</v>
      </c>
      <c r="EF205" s="12">
        <f t="shared" ca="1" si="355"/>
        <v>0</v>
      </c>
      <c r="EG205" s="12">
        <f t="shared" ca="1" si="355"/>
        <v>0</v>
      </c>
      <c r="EH205" s="12">
        <f t="shared" ca="1" si="355"/>
        <v>0</v>
      </c>
      <c r="EI205" s="12">
        <f ca="1">EH210</f>
        <v>0</v>
      </c>
      <c r="EJ205" s="12">
        <f ca="1">EI210</f>
        <v>0</v>
      </c>
    </row>
    <row r="206" spans="2:140" x14ac:dyDescent="0.4">
      <c r="B206" s="60" t="s">
        <v>120</v>
      </c>
      <c r="H206" s="316"/>
      <c r="I206" s="12">
        <f ca="1">I205*((1+$C203)^((I$6-H$6)/365))-I205</f>
        <v>72839.628368037753</v>
      </c>
      <c r="J206" s="12">
        <f t="shared" ref="J206:BU206" ca="1" si="356">J205*((1+$C203)^((J$6-I$6)/365))-J205</f>
        <v>66537.932954807766</v>
      </c>
      <c r="K206" s="12">
        <f t="shared" ca="1" si="356"/>
        <v>74503.925051579252</v>
      </c>
      <c r="L206" s="12">
        <f t="shared" ca="1" si="356"/>
        <v>77112.567525885999</v>
      </c>
      <c r="M206" s="12">
        <f t="shared" ca="1" si="356"/>
        <v>84923.771121606231</v>
      </c>
      <c r="N206" s="12">
        <f t="shared" ca="1" si="356"/>
        <v>87314.741230037063</v>
      </c>
      <c r="O206" s="12">
        <f t="shared" ca="1" si="356"/>
        <v>95589.863135329448</v>
      </c>
      <c r="P206" s="12">
        <f t="shared" ca="1" si="356"/>
        <v>134246.68814054504</v>
      </c>
      <c r="Q206" s="12">
        <f t="shared" ca="1" si="356"/>
        <v>167740.50805159472</v>
      </c>
      <c r="R206" s="12">
        <f t="shared" ca="1" si="356"/>
        <v>212883.4815820381</v>
      </c>
      <c r="S206" s="12">
        <f t="shared" ca="1" si="356"/>
        <v>228983.65824218467</v>
      </c>
      <c r="T206" s="12">
        <f t="shared" ca="1" si="356"/>
        <v>239396.11687421799</v>
      </c>
      <c r="U206" s="12">
        <f t="shared" ca="1" si="356"/>
        <v>242254.72739649191</v>
      </c>
      <c r="V206" s="12">
        <f t="shared" ca="1" si="356"/>
        <v>221296.14291889966</v>
      </c>
      <c r="W206" s="12">
        <f t="shared" ca="1" si="356"/>
        <v>247789.95249869674</v>
      </c>
      <c r="X206" s="12">
        <f t="shared" ca="1" si="356"/>
        <v>242613.5780265592</v>
      </c>
      <c r="Y206" s="12">
        <f t="shared" ca="1" si="356"/>
        <v>253645.82314030826</v>
      </c>
      <c r="Z206" s="12">
        <f t="shared" ca="1" si="356"/>
        <v>248390.44421105459</v>
      </c>
      <c r="AA206" s="12">
        <f t="shared" ca="1" si="356"/>
        <v>259659.32138681412</v>
      </c>
      <c r="AB206" s="12">
        <f t="shared" ca="1" si="356"/>
        <v>262329.52214058489</v>
      </c>
      <c r="AC206" s="12">
        <f t="shared" ca="1" si="356"/>
        <v>256040.50426860526</v>
      </c>
      <c r="AD206" s="12">
        <f t="shared" ca="1" si="356"/>
        <v>266440.25886765495</v>
      </c>
      <c r="AE206" s="12">
        <f t="shared" ca="1" si="356"/>
        <v>259276.44055102766</v>
      </c>
      <c r="AF206" s="12">
        <f t="shared" ca="1" si="356"/>
        <v>270875.17355425283</v>
      </c>
      <c r="AG206" s="12">
        <f t="shared" ca="1" si="356"/>
        <v>273571.64923384413</v>
      </c>
      <c r="AH206" s="12">
        <f t="shared" ca="1" si="356"/>
        <v>248967.16711118817</v>
      </c>
      <c r="AI206" s="12">
        <f t="shared" ca="1" si="356"/>
        <v>277123.56705853716</v>
      </c>
      <c r="AJ206" s="12">
        <f t="shared" ca="1" si="356"/>
        <v>269912.76311925799</v>
      </c>
      <c r="AK206" s="12">
        <f t="shared" ca="1" si="356"/>
        <v>280647.67844700441</v>
      </c>
      <c r="AL206" s="12">
        <f t="shared" ca="1" si="356"/>
        <v>273349.59069726244</v>
      </c>
      <c r="AM206" s="12">
        <f t="shared" ca="1" si="356"/>
        <v>284226.01966158301</v>
      </c>
      <c r="AN206" s="12">
        <f t="shared" ca="1" si="356"/>
        <v>286121.8272626847</v>
      </c>
      <c r="AO206" s="12">
        <f t="shared" ca="1" si="356"/>
        <v>278291.53122076765</v>
      </c>
      <c r="AP206" s="12">
        <f t="shared" ca="1" si="356"/>
        <v>288959.23975313455</v>
      </c>
      <c r="AQ206" s="12">
        <f t="shared" ca="1" si="356"/>
        <v>281052.81861437485</v>
      </c>
      <c r="AR206" s="12">
        <f t="shared" ca="1" si="356"/>
        <v>291828.18362201378</v>
      </c>
      <c r="AS206" s="12">
        <f t="shared" ca="1" si="356"/>
        <v>0</v>
      </c>
      <c r="AT206" s="12">
        <f t="shared" ca="1" si="356"/>
        <v>0</v>
      </c>
      <c r="AU206" s="12">
        <f t="shared" ca="1" si="356"/>
        <v>0</v>
      </c>
      <c r="AV206" s="12">
        <f t="shared" ca="1" si="356"/>
        <v>0</v>
      </c>
      <c r="AW206" s="12">
        <f t="shared" ca="1" si="356"/>
        <v>0</v>
      </c>
      <c r="AX206" s="12">
        <f t="shared" ca="1" si="356"/>
        <v>0</v>
      </c>
      <c r="AY206" s="12">
        <f t="shared" ca="1" si="356"/>
        <v>0</v>
      </c>
      <c r="AZ206" s="12">
        <f t="shared" ca="1" si="356"/>
        <v>0</v>
      </c>
      <c r="BA206" s="12">
        <f t="shared" ca="1" si="356"/>
        <v>0</v>
      </c>
      <c r="BB206" s="12">
        <f t="shared" ca="1" si="356"/>
        <v>0</v>
      </c>
      <c r="BC206" s="12">
        <f t="shared" ca="1" si="356"/>
        <v>0</v>
      </c>
      <c r="BD206" s="12">
        <f t="shared" ca="1" si="356"/>
        <v>0</v>
      </c>
      <c r="BE206" s="12">
        <f t="shared" ca="1" si="356"/>
        <v>0</v>
      </c>
      <c r="BF206" s="12">
        <f t="shared" ca="1" si="356"/>
        <v>0</v>
      </c>
      <c r="BG206" s="12">
        <f t="shared" ca="1" si="356"/>
        <v>0</v>
      </c>
      <c r="BH206" s="12">
        <f t="shared" ca="1" si="356"/>
        <v>0</v>
      </c>
      <c r="BI206" s="12">
        <f t="shared" ca="1" si="356"/>
        <v>0</v>
      </c>
      <c r="BJ206" s="12">
        <f t="shared" ca="1" si="356"/>
        <v>0</v>
      </c>
      <c r="BK206" s="12">
        <f t="shared" ca="1" si="356"/>
        <v>0</v>
      </c>
      <c r="BL206" s="12">
        <f t="shared" ca="1" si="356"/>
        <v>0</v>
      </c>
      <c r="BM206" s="12">
        <f t="shared" ca="1" si="356"/>
        <v>0</v>
      </c>
      <c r="BN206" s="12">
        <f t="shared" ca="1" si="356"/>
        <v>0</v>
      </c>
      <c r="BO206" s="12">
        <f t="shared" ca="1" si="356"/>
        <v>0</v>
      </c>
      <c r="BP206" s="12">
        <f t="shared" ca="1" si="356"/>
        <v>0</v>
      </c>
      <c r="BQ206" s="12">
        <f t="shared" ca="1" si="356"/>
        <v>0</v>
      </c>
      <c r="BR206" s="12">
        <f t="shared" ca="1" si="356"/>
        <v>0</v>
      </c>
      <c r="BS206" s="12">
        <f t="shared" ca="1" si="356"/>
        <v>0</v>
      </c>
      <c r="BT206" s="12">
        <f t="shared" ca="1" si="356"/>
        <v>0</v>
      </c>
      <c r="BU206" s="12">
        <f t="shared" ca="1" si="356"/>
        <v>0</v>
      </c>
      <c r="BV206" s="12">
        <f t="shared" ref="BV206:EG206" ca="1" si="357">BV205*((1+$C203)^((BV$6-BU$6)/365))-BV205</f>
        <v>0</v>
      </c>
      <c r="BW206" s="12">
        <f t="shared" ca="1" si="357"/>
        <v>0</v>
      </c>
      <c r="BX206" s="12">
        <f t="shared" ca="1" si="357"/>
        <v>0</v>
      </c>
      <c r="BY206" s="12">
        <f t="shared" ca="1" si="357"/>
        <v>0</v>
      </c>
      <c r="BZ206" s="12">
        <f t="shared" ca="1" si="357"/>
        <v>0</v>
      </c>
      <c r="CA206" s="12">
        <f t="shared" ca="1" si="357"/>
        <v>0</v>
      </c>
      <c r="CB206" s="12">
        <f t="shared" ca="1" si="357"/>
        <v>0</v>
      </c>
      <c r="CC206" s="12">
        <f t="shared" ca="1" si="357"/>
        <v>0</v>
      </c>
      <c r="CD206" s="12">
        <f t="shared" ca="1" si="357"/>
        <v>0</v>
      </c>
      <c r="CE206" s="12">
        <f t="shared" ca="1" si="357"/>
        <v>0</v>
      </c>
      <c r="CF206" s="12">
        <f t="shared" ca="1" si="357"/>
        <v>0</v>
      </c>
      <c r="CG206" s="12">
        <f t="shared" ca="1" si="357"/>
        <v>0</v>
      </c>
      <c r="CH206" s="12">
        <f t="shared" ca="1" si="357"/>
        <v>0</v>
      </c>
      <c r="CI206" s="12">
        <f t="shared" ca="1" si="357"/>
        <v>0</v>
      </c>
      <c r="CJ206" s="12">
        <f t="shared" ca="1" si="357"/>
        <v>0</v>
      </c>
      <c r="CK206" s="12">
        <f t="shared" ca="1" si="357"/>
        <v>0</v>
      </c>
      <c r="CL206" s="12">
        <f t="shared" ca="1" si="357"/>
        <v>0</v>
      </c>
      <c r="CM206" s="12">
        <f t="shared" ca="1" si="357"/>
        <v>0</v>
      </c>
      <c r="CN206" s="12">
        <f t="shared" ca="1" si="357"/>
        <v>0</v>
      </c>
      <c r="CO206" s="12">
        <f t="shared" ca="1" si="357"/>
        <v>0</v>
      </c>
      <c r="CP206" s="12">
        <f t="shared" ca="1" si="357"/>
        <v>0</v>
      </c>
      <c r="CQ206" s="12">
        <f t="shared" ca="1" si="357"/>
        <v>0</v>
      </c>
      <c r="CR206" s="12">
        <f t="shared" ca="1" si="357"/>
        <v>0</v>
      </c>
      <c r="CS206" s="12">
        <f t="shared" ca="1" si="357"/>
        <v>0</v>
      </c>
      <c r="CT206" s="12">
        <f t="shared" ca="1" si="357"/>
        <v>0</v>
      </c>
      <c r="CU206" s="12">
        <f t="shared" ca="1" si="357"/>
        <v>0</v>
      </c>
      <c r="CV206" s="12">
        <f t="shared" ca="1" si="357"/>
        <v>0</v>
      </c>
      <c r="CW206" s="12">
        <f t="shared" ca="1" si="357"/>
        <v>0</v>
      </c>
      <c r="CX206" s="12">
        <f t="shared" ca="1" si="357"/>
        <v>0</v>
      </c>
      <c r="CY206" s="12">
        <f t="shared" ca="1" si="357"/>
        <v>0</v>
      </c>
      <c r="CZ206" s="12">
        <f t="shared" ca="1" si="357"/>
        <v>0</v>
      </c>
      <c r="DA206" s="12">
        <f t="shared" ca="1" si="357"/>
        <v>0</v>
      </c>
      <c r="DB206" s="12">
        <f t="shared" ca="1" si="357"/>
        <v>0</v>
      </c>
      <c r="DC206" s="12">
        <f t="shared" ca="1" si="357"/>
        <v>0</v>
      </c>
      <c r="DD206" s="12">
        <f t="shared" ca="1" si="357"/>
        <v>0</v>
      </c>
      <c r="DE206" s="12">
        <f t="shared" ca="1" si="357"/>
        <v>0</v>
      </c>
      <c r="DF206" s="12">
        <f t="shared" ca="1" si="357"/>
        <v>0</v>
      </c>
      <c r="DG206" s="12">
        <f t="shared" ca="1" si="357"/>
        <v>0</v>
      </c>
      <c r="DH206" s="12">
        <f t="shared" ca="1" si="357"/>
        <v>0</v>
      </c>
      <c r="DI206" s="12">
        <f t="shared" ca="1" si="357"/>
        <v>0</v>
      </c>
      <c r="DJ206" s="12">
        <f t="shared" ca="1" si="357"/>
        <v>0</v>
      </c>
      <c r="DK206" s="12">
        <f t="shared" ca="1" si="357"/>
        <v>0</v>
      </c>
      <c r="DL206" s="12">
        <f t="shared" ca="1" si="357"/>
        <v>0</v>
      </c>
      <c r="DM206" s="12">
        <f t="shared" ca="1" si="357"/>
        <v>0</v>
      </c>
      <c r="DN206" s="12">
        <f t="shared" ca="1" si="357"/>
        <v>0</v>
      </c>
      <c r="DO206" s="12">
        <f t="shared" ca="1" si="357"/>
        <v>0</v>
      </c>
      <c r="DP206" s="12">
        <f t="shared" ca="1" si="357"/>
        <v>0</v>
      </c>
      <c r="DQ206" s="12">
        <f t="shared" ca="1" si="357"/>
        <v>0</v>
      </c>
      <c r="DR206" s="12">
        <f t="shared" ca="1" si="357"/>
        <v>0</v>
      </c>
      <c r="DS206" s="12">
        <f t="shared" ca="1" si="357"/>
        <v>0</v>
      </c>
      <c r="DT206" s="12">
        <f t="shared" ca="1" si="357"/>
        <v>0</v>
      </c>
      <c r="DU206" s="12">
        <f t="shared" ca="1" si="357"/>
        <v>0</v>
      </c>
      <c r="DV206" s="12">
        <f t="shared" ca="1" si="357"/>
        <v>0</v>
      </c>
      <c r="DW206" s="12">
        <f t="shared" ca="1" si="357"/>
        <v>0</v>
      </c>
      <c r="DX206" s="12">
        <f t="shared" ca="1" si="357"/>
        <v>0</v>
      </c>
      <c r="DY206" s="12">
        <f t="shared" ca="1" si="357"/>
        <v>0</v>
      </c>
      <c r="DZ206" s="12">
        <f t="shared" ca="1" si="357"/>
        <v>0</v>
      </c>
      <c r="EA206" s="12">
        <f t="shared" ca="1" si="357"/>
        <v>0</v>
      </c>
      <c r="EB206" s="12">
        <f t="shared" ca="1" si="357"/>
        <v>0</v>
      </c>
      <c r="EC206" s="12">
        <f t="shared" ca="1" si="357"/>
        <v>0</v>
      </c>
      <c r="ED206" s="12">
        <f t="shared" ca="1" si="357"/>
        <v>0</v>
      </c>
      <c r="EE206" s="12">
        <f t="shared" ca="1" si="357"/>
        <v>0</v>
      </c>
      <c r="EF206" s="12">
        <f t="shared" ca="1" si="357"/>
        <v>0</v>
      </c>
      <c r="EG206" s="12">
        <f t="shared" ca="1" si="357"/>
        <v>0</v>
      </c>
      <c r="EH206" s="12">
        <f ca="1">EH205*((1+$C203)^((EH$6-EG$6)/365))-EH205</f>
        <v>0</v>
      </c>
      <c r="EI206" s="12">
        <f ca="1">EI205*((1+$C203)^((EI$6-EH$6)/365))-EI205</f>
        <v>0</v>
      </c>
      <c r="EJ206" s="12">
        <f ca="1">EJ205*((1+$C203)^((EJ$6-EI$6)/365))-EJ205</f>
        <v>0</v>
      </c>
    </row>
    <row r="207" spans="2:140" x14ac:dyDescent="0.4">
      <c r="B207" s="60" t="s">
        <v>324</v>
      </c>
      <c r="H207" s="316"/>
      <c r="I207" s="12">
        <f ca="1">I194</f>
        <v>0</v>
      </c>
      <c r="J207" s="12">
        <f t="shared" ref="J207:BU207" ca="1" si="358">J194</f>
        <v>0</v>
      </c>
      <c r="K207" s="12">
        <f t="shared" ca="1" si="358"/>
        <v>0</v>
      </c>
      <c r="L207" s="12">
        <f t="shared" ca="1" si="358"/>
        <v>0</v>
      </c>
      <c r="M207" s="12">
        <f t="shared" ca="1" si="358"/>
        <v>0</v>
      </c>
      <c r="N207" s="12">
        <f t="shared" ca="1" si="358"/>
        <v>0</v>
      </c>
      <c r="O207" s="12">
        <f t="shared" ca="1" si="358"/>
        <v>0</v>
      </c>
      <c r="P207" s="12">
        <f t="shared" ca="1" si="358"/>
        <v>0</v>
      </c>
      <c r="Q207" s="12">
        <f t="shared" ca="1" si="358"/>
        <v>0</v>
      </c>
      <c r="R207" s="12">
        <f t="shared" ca="1" si="358"/>
        <v>0</v>
      </c>
      <c r="S207" s="12">
        <f t="shared" ca="1" si="358"/>
        <v>0</v>
      </c>
      <c r="T207" s="12">
        <f t="shared" ca="1" si="358"/>
        <v>0</v>
      </c>
      <c r="U207" s="12">
        <f t="shared" ca="1" si="358"/>
        <v>0</v>
      </c>
      <c r="V207" s="12">
        <f t="shared" ca="1" si="358"/>
        <v>0</v>
      </c>
      <c r="W207" s="12">
        <f t="shared" ca="1" si="358"/>
        <v>0</v>
      </c>
      <c r="X207" s="12">
        <f t="shared" ca="1" si="358"/>
        <v>0</v>
      </c>
      <c r="Y207" s="12">
        <f t="shared" ca="1" si="358"/>
        <v>0</v>
      </c>
      <c r="Z207" s="12">
        <f t="shared" ca="1" si="358"/>
        <v>-2182.1149752531201</v>
      </c>
      <c r="AA207" s="12">
        <f t="shared" ca="1" si="358"/>
        <v>-36041.69780824054</v>
      </c>
      <c r="AB207" s="12">
        <f t="shared" ca="1" si="358"/>
        <v>-70014.129439241253</v>
      </c>
      <c r="AC207" s="12">
        <f t="shared" ca="1" si="358"/>
        <v>-104099.69197651744</v>
      </c>
      <c r="AD207" s="12">
        <f t="shared" ca="1" si="358"/>
        <v>-138298.66815521801</v>
      </c>
      <c r="AE207" s="12">
        <f t="shared" ca="1" si="358"/>
        <v>-16013.341338717873</v>
      </c>
      <c r="AF207" s="12">
        <f t="shared" ca="1" si="358"/>
        <v>-45057.139964299422</v>
      </c>
      <c r="AG207" s="12">
        <f t="shared" ca="1" si="358"/>
        <v>-86883.043362286058</v>
      </c>
      <c r="AH207" s="12">
        <f t="shared" ca="1" si="358"/>
        <v>-138198.20467727483</v>
      </c>
      <c r="AI207" s="12">
        <f t="shared" ca="1" si="358"/>
        <v>-123048.71955549388</v>
      </c>
      <c r="AJ207" s="12">
        <f t="shared" ca="1" si="358"/>
        <v>-128858.70962022309</v>
      </c>
      <c r="AK207" s="12">
        <f t="shared" ca="1" si="358"/>
        <v>-124231.43502203858</v>
      </c>
      <c r="AL207" s="12">
        <f t="shared" ca="1" si="358"/>
        <v>-130095.42258970125</v>
      </c>
      <c r="AM207" s="12">
        <f t="shared" ca="1" si="358"/>
        <v>-125460.43249685163</v>
      </c>
      <c r="AN207" s="12">
        <f t="shared" ca="1" si="358"/>
        <v>-160398.1239117058</v>
      </c>
      <c r="AO207" s="12">
        <f t="shared" ca="1" si="358"/>
        <v>-166394.36006254304</v>
      </c>
      <c r="AP207" s="12">
        <f t="shared" ca="1" si="358"/>
        <v>-161856.64667363136</v>
      </c>
      <c r="AQ207" s="12">
        <f t="shared" ca="1" si="358"/>
        <v>-167893.92227835837</v>
      </c>
      <c r="AR207" s="12">
        <f t="shared" ca="1" si="358"/>
        <v>-21892843.082096983</v>
      </c>
      <c r="AS207" s="12">
        <f t="shared" ca="1" si="358"/>
        <v>0</v>
      </c>
      <c r="AT207" s="12">
        <f t="shared" ca="1" si="358"/>
        <v>0</v>
      </c>
      <c r="AU207" s="12">
        <f t="shared" ca="1" si="358"/>
        <v>0</v>
      </c>
      <c r="AV207" s="12">
        <f t="shared" ca="1" si="358"/>
        <v>0</v>
      </c>
      <c r="AW207" s="12">
        <f t="shared" ca="1" si="358"/>
        <v>0</v>
      </c>
      <c r="AX207" s="12">
        <f t="shared" ca="1" si="358"/>
        <v>0</v>
      </c>
      <c r="AY207" s="12">
        <f t="shared" ca="1" si="358"/>
        <v>0</v>
      </c>
      <c r="AZ207" s="12">
        <f t="shared" ca="1" si="358"/>
        <v>0</v>
      </c>
      <c r="BA207" s="12">
        <f t="shared" ca="1" si="358"/>
        <v>0</v>
      </c>
      <c r="BB207" s="12">
        <f t="shared" ca="1" si="358"/>
        <v>0</v>
      </c>
      <c r="BC207" s="12">
        <f t="shared" ca="1" si="358"/>
        <v>0</v>
      </c>
      <c r="BD207" s="12">
        <f t="shared" ca="1" si="358"/>
        <v>0</v>
      </c>
      <c r="BE207" s="12">
        <f t="shared" ca="1" si="358"/>
        <v>0</v>
      </c>
      <c r="BF207" s="12">
        <f t="shared" ca="1" si="358"/>
        <v>0</v>
      </c>
      <c r="BG207" s="12">
        <f t="shared" ca="1" si="358"/>
        <v>0</v>
      </c>
      <c r="BH207" s="12">
        <f t="shared" ca="1" si="358"/>
        <v>0</v>
      </c>
      <c r="BI207" s="12">
        <f t="shared" ca="1" si="358"/>
        <v>0</v>
      </c>
      <c r="BJ207" s="12">
        <f t="shared" ca="1" si="358"/>
        <v>0</v>
      </c>
      <c r="BK207" s="12">
        <f t="shared" ca="1" si="358"/>
        <v>0</v>
      </c>
      <c r="BL207" s="12">
        <f t="shared" ca="1" si="358"/>
        <v>0</v>
      </c>
      <c r="BM207" s="12">
        <f t="shared" ca="1" si="358"/>
        <v>0</v>
      </c>
      <c r="BN207" s="12">
        <f t="shared" ca="1" si="358"/>
        <v>0</v>
      </c>
      <c r="BO207" s="12">
        <f t="shared" ca="1" si="358"/>
        <v>0</v>
      </c>
      <c r="BP207" s="12">
        <f t="shared" ca="1" si="358"/>
        <v>0</v>
      </c>
      <c r="BQ207" s="12">
        <f t="shared" ca="1" si="358"/>
        <v>0</v>
      </c>
      <c r="BR207" s="12">
        <f t="shared" ca="1" si="358"/>
        <v>0</v>
      </c>
      <c r="BS207" s="12">
        <f t="shared" ca="1" si="358"/>
        <v>0</v>
      </c>
      <c r="BT207" s="12">
        <f t="shared" ca="1" si="358"/>
        <v>0</v>
      </c>
      <c r="BU207" s="12">
        <f t="shared" ca="1" si="358"/>
        <v>0</v>
      </c>
      <c r="BV207" s="12">
        <f t="shared" ref="BV207:EG207" ca="1" si="359">BV194</f>
        <v>0</v>
      </c>
      <c r="BW207" s="12">
        <f t="shared" ca="1" si="359"/>
        <v>0</v>
      </c>
      <c r="BX207" s="12">
        <f t="shared" ca="1" si="359"/>
        <v>0</v>
      </c>
      <c r="BY207" s="12">
        <f t="shared" ca="1" si="359"/>
        <v>0</v>
      </c>
      <c r="BZ207" s="12">
        <f t="shared" ca="1" si="359"/>
        <v>0</v>
      </c>
      <c r="CA207" s="12">
        <f t="shared" ca="1" si="359"/>
        <v>0</v>
      </c>
      <c r="CB207" s="12">
        <f t="shared" ca="1" si="359"/>
        <v>0</v>
      </c>
      <c r="CC207" s="12">
        <f t="shared" ca="1" si="359"/>
        <v>0</v>
      </c>
      <c r="CD207" s="12">
        <f t="shared" ca="1" si="359"/>
        <v>0</v>
      </c>
      <c r="CE207" s="12">
        <f t="shared" ca="1" si="359"/>
        <v>0</v>
      </c>
      <c r="CF207" s="12">
        <f t="shared" ca="1" si="359"/>
        <v>0</v>
      </c>
      <c r="CG207" s="12">
        <f t="shared" ca="1" si="359"/>
        <v>0</v>
      </c>
      <c r="CH207" s="12">
        <f t="shared" ca="1" si="359"/>
        <v>0</v>
      </c>
      <c r="CI207" s="12">
        <f t="shared" ca="1" si="359"/>
        <v>0</v>
      </c>
      <c r="CJ207" s="12">
        <f t="shared" ca="1" si="359"/>
        <v>0</v>
      </c>
      <c r="CK207" s="12">
        <f t="shared" ca="1" si="359"/>
        <v>0</v>
      </c>
      <c r="CL207" s="12">
        <f t="shared" ca="1" si="359"/>
        <v>0</v>
      </c>
      <c r="CM207" s="12">
        <f t="shared" ca="1" si="359"/>
        <v>0</v>
      </c>
      <c r="CN207" s="12">
        <f t="shared" ca="1" si="359"/>
        <v>0</v>
      </c>
      <c r="CO207" s="12">
        <f t="shared" ca="1" si="359"/>
        <v>0</v>
      </c>
      <c r="CP207" s="12">
        <f t="shared" ca="1" si="359"/>
        <v>0</v>
      </c>
      <c r="CQ207" s="12">
        <f t="shared" ca="1" si="359"/>
        <v>0</v>
      </c>
      <c r="CR207" s="12">
        <f t="shared" ca="1" si="359"/>
        <v>0</v>
      </c>
      <c r="CS207" s="12">
        <f t="shared" ca="1" si="359"/>
        <v>0</v>
      </c>
      <c r="CT207" s="12">
        <f t="shared" ca="1" si="359"/>
        <v>0</v>
      </c>
      <c r="CU207" s="12">
        <f t="shared" ca="1" si="359"/>
        <v>0</v>
      </c>
      <c r="CV207" s="12">
        <f t="shared" ca="1" si="359"/>
        <v>0</v>
      </c>
      <c r="CW207" s="12">
        <f t="shared" ca="1" si="359"/>
        <v>0</v>
      </c>
      <c r="CX207" s="12">
        <f t="shared" ca="1" si="359"/>
        <v>0</v>
      </c>
      <c r="CY207" s="12">
        <f t="shared" ca="1" si="359"/>
        <v>0</v>
      </c>
      <c r="CZ207" s="12">
        <f t="shared" ca="1" si="359"/>
        <v>0</v>
      </c>
      <c r="DA207" s="12">
        <f t="shared" ca="1" si="359"/>
        <v>0</v>
      </c>
      <c r="DB207" s="12">
        <f t="shared" ca="1" si="359"/>
        <v>0</v>
      </c>
      <c r="DC207" s="12">
        <f t="shared" ca="1" si="359"/>
        <v>0</v>
      </c>
      <c r="DD207" s="12">
        <f t="shared" ca="1" si="359"/>
        <v>0</v>
      </c>
      <c r="DE207" s="12">
        <f t="shared" ca="1" si="359"/>
        <v>0</v>
      </c>
      <c r="DF207" s="12">
        <f t="shared" ca="1" si="359"/>
        <v>0</v>
      </c>
      <c r="DG207" s="12">
        <f t="shared" ca="1" si="359"/>
        <v>0</v>
      </c>
      <c r="DH207" s="12">
        <f t="shared" ca="1" si="359"/>
        <v>0</v>
      </c>
      <c r="DI207" s="12">
        <f t="shared" ca="1" si="359"/>
        <v>0</v>
      </c>
      <c r="DJ207" s="12">
        <f t="shared" ca="1" si="359"/>
        <v>0</v>
      </c>
      <c r="DK207" s="12">
        <f t="shared" ca="1" si="359"/>
        <v>0</v>
      </c>
      <c r="DL207" s="12">
        <f t="shared" ca="1" si="359"/>
        <v>0</v>
      </c>
      <c r="DM207" s="12">
        <f t="shared" ca="1" si="359"/>
        <v>0</v>
      </c>
      <c r="DN207" s="12">
        <f t="shared" ca="1" si="359"/>
        <v>0</v>
      </c>
      <c r="DO207" s="12">
        <f t="shared" ca="1" si="359"/>
        <v>0</v>
      </c>
      <c r="DP207" s="12">
        <f t="shared" ca="1" si="359"/>
        <v>0</v>
      </c>
      <c r="DQ207" s="12">
        <f t="shared" ca="1" si="359"/>
        <v>0</v>
      </c>
      <c r="DR207" s="12">
        <f t="shared" ca="1" si="359"/>
        <v>0</v>
      </c>
      <c r="DS207" s="12">
        <f t="shared" ca="1" si="359"/>
        <v>0</v>
      </c>
      <c r="DT207" s="12">
        <f t="shared" ca="1" si="359"/>
        <v>0</v>
      </c>
      <c r="DU207" s="12">
        <f t="shared" ca="1" si="359"/>
        <v>0</v>
      </c>
      <c r="DV207" s="12">
        <f t="shared" ca="1" si="359"/>
        <v>0</v>
      </c>
      <c r="DW207" s="12">
        <f t="shared" ca="1" si="359"/>
        <v>0</v>
      </c>
      <c r="DX207" s="12">
        <f t="shared" ca="1" si="359"/>
        <v>0</v>
      </c>
      <c r="DY207" s="12">
        <f t="shared" ca="1" si="359"/>
        <v>0</v>
      </c>
      <c r="DZ207" s="12">
        <f t="shared" ca="1" si="359"/>
        <v>0</v>
      </c>
      <c r="EA207" s="12">
        <f t="shared" ca="1" si="359"/>
        <v>0</v>
      </c>
      <c r="EB207" s="12">
        <f t="shared" ca="1" si="359"/>
        <v>0</v>
      </c>
      <c r="EC207" s="12">
        <f t="shared" ca="1" si="359"/>
        <v>0</v>
      </c>
      <c r="ED207" s="12">
        <f t="shared" ca="1" si="359"/>
        <v>0</v>
      </c>
      <c r="EE207" s="12">
        <f t="shared" ca="1" si="359"/>
        <v>0</v>
      </c>
      <c r="EF207" s="12">
        <f t="shared" ca="1" si="359"/>
        <v>0</v>
      </c>
      <c r="EG207" s="12">
        <f t="shared" ca="1" si="359"/>
        <v>0</v>
      </c>
      <c r="EH207" s="12">
        <f ca="1">EH194</f>
        <v>0</v>
      </c>
      <c r="EI207" s="12">
        <f ca="1">EI194</f>
        <v>0</v>
      </c>
      <c r="EJ207" s="12">
        <f ca="1">EJ194</f>
        <v>0</v>
      </c>
    </row>
    <row r="208" spans="2:140" x14ac:dyDescent="0.4">
      <c r="B208" s="60" t="s">
        <v>325</v>
      </c>
      <c r="H208" s="316"/>
      <c r="I208" s="12">
        <f ca="1">-MAX(MIN(SUM(I205:I207),(1-$C204)*I201),0)</f>
        <v>0</v>
      </c>
      <c r="J208" s="12">
        <f t="shared" ref="J208:BU208" ca="1" si="360">-MAX(MIN(SUM(J205:J207),(1-$C204)*J201),0)</f>
        <v>0</v>
      </c>
      <c r="K208" s="12">
        <f t="shared" ca="1" si="360"/>
        <v>0</v>
      </c>
      <c r="L208" s="12">
        <f t="shared" ca="1" si="360"/>
        <v>0</v>
      </c>
      <c r="M208" s="12">
        <f t="shared" ca="1" si="360"/>
        <v>0</v>
      </c>
      <c r="N208" s="12">
        <f t="shared" ca="1" si="360"/>
        <v>0</v>
      </c>
      <c r="O208" s="12">
        <f t="shared" ca="1" si="360"/>
        <v>0</v>
      </c>
      <c r="P208" s="12">
        <f t="shared" ca="1" si="360"/>
        <v>0</v>
      </c>
      <c r="Q208" s="12">
        <f t="shared" ca="1" si="360"/>
        <v>0</v>
      </c>
      <c r="R208" s="12">
        <f t="shared" ca="1" si="360"/>
        <v>0</v>
      </c>
      <c r="S208" s="12">
        <f t="shared" ca="1" si="360"/>
        <v>0</v>
      </c>
      <c r="T208" s="12">
        <f t="shared" ca="1" si="360"/>
        <v>0</v>
      </c>
      <c r="U208" s="12">
        <f t="shared" ca="1" si="360"/>
        <v>0</v>
      </c>
      <c r="V208" s="12">
        <f t="shared" ca="1" si="360"/>
        <v>0</v>
      </c>
      <c r="W208" s="12">
        <f t="shared" ca="1" si="360"/>
        <v>0</v>
      </c>
      <c r="X208" s="12">
        <f t="shared" ca="1" si="360"/>
        <v>0</v>
      </c>
      <c r="Y208" s="12">
        <f t="shared" ca="1" si="360"/>
        <v>0</v>
      </c>
      <c r="Z208" s="12">
        <f t="shared" ca="1" si="360"/>
        <v>0</v>
      </c>
      <c r="AA208" s="12">
        <f t="shared" ca="1" si="360"/>
        <v>0</v>
      </c>
      <c r="AB208" s="12">
        <f t="shared" ca="1" si="360"/>
        <v>0</v>
      </c>
      <c r="AC208" s="12">
        <f t="shared" ca="1" si="360"/>
        <v>0</v>
      </c>
      <c r="AD208" s="12">
        <f t="shared" ca="1" si="360"/>
        <v>0</v>
      </c>
      <c r="AE208" s="12">
        <f t="shared" ca="1" si="360"/>
        <v>0</v>
      </c>
      <c r="AF208" s="12">
        <f t="shared" ca="1" si="360"/>
        <v>0</v>
      </c>
      <c r="AG208" s="12">
        <f t="shared" ca="1" si="360"/>
        <v>0</v>
      </c>
      <c r="AH208" s="12">
        <f t="shared" ca="1" si="360"/>
        <v>0</v>
      </c>
      <c r="AI208" s="12">
        <f t="shared" ca="1" si="360"/>
        <v>0</v>
      </c>
      <c r="AJ208" s="12">
        <f t="shared" ca="1" si="360"/>
        <v>0</v>
      </c>
      <c r="AK208" s="12">
        <f t="shared" ca="1" si="360"/>
        <v>0</v>
      </c>
      <c r="AL208" s="12">
        <f t="shared" ca="1" si="360"/>
        <v>0</v>
      </c>
      <c r="AM208" s="12">
        <f t="shared" ca="1" si="360"/>
        <v>0</v>
      </c>
      <c r="AN208" s="12">
        <f t="shared" ca="1" si="360"/>
        <v>0</v>
      </c>
      <c r="AO208" s="12">
        <f t="shared" ca="1" si="360"/>
        <v>0</v>
      </c>
      <c r="AP208" s="12">
        <f t="shared" ca="1" si="360"/>
        <v>0</v>
      </c>
      <c r="AQ208" s="12">
        <f t="shared" ca="1" si="360"/>
        <v>0</v>
      </c>
      <c r="AR208" s="12">
        <f t="shared" ca="1" si="360"/>
        <v>-2838317.9204636775</v>
      </c>
      <c r="AS208" s="12">
        <f t="shared" ca="1" si="360"/>
        <v>0</v>
      </c>
      <c r="AT208" s="12">
        <f t="shared" ca="1" si="360"/>
        <v>0</v>
      </c>
      <c r="AU208" s="12">
        <f t="shared" ca="1" si="360"/>
        <v>0</v>
      </c>
      <c r="AV208" s="12">
        <f t="shared" ca="1" si="360"/>
        <v>0</v>
      </c>
      <c r="AW208" s="12">
        <f t="shared" ca="1" si="360"/>
        <v>0</v>
      </c>
      <c r="AX208" s="12">
        <f t="shared" ca="1" si="360"/>
        <v>0</v>
      </c>
      <c r="AY208" s="12">
        <f t="shared" ca="1" si="360"/>
        <v>0</v>
      </c>
      <c r="AZ208" s="12">
        <f t="shared" ca="1" si="360"/>
        <v>0</v>
      </c>
      <c r="BA208" s="12">
        <f t="shared" ca="1" si="360"/>
        <v>0</v>
      </c>
      <c r="BB208" s="12">
        <f t="shared" ca="1" si="360"/>
        <v>0</v>
      </c>
      <c r="BC208" s="12">
        <f t="shared" ca="1" si="360"/>
        <v>0</v>
      </c>
      <c r="BD208" s="12">
        <f t="shared" ca="1" si="360"/>
        <v>0</v>
      </c>
      <c r="BE208" s="12">
        <f t="shared" ca="1" si="360"/>
        <v>0</v>
      </c>
      <c r="BF208" s="12">
        <f t="shared" ca="1" si="360"/>
        <v>0</v>
      </c>
      <c r="BG208" s="12">
        <f t="shared" ca="1" si="360"/>
        <v>0</v>
      </c>
      <c r="BH208" s="12">
        <f t="shared" ca="1" si="360"/>
        <v>0</v>
      </c>
      <c r="BI208" s="12">
        <f t="shared" ca="1" si="360"/>
        <v>0</v>
      </c>
      <c r="BJ208" s="12">
        <f t="shared" ca="1" si="360"/>
        <v>0</v>
      </c>
      <c r="BK208" s="12">
        <f t="shared" ca="1" si="360"/>
        <v>0</v>
      </c>
      <c r="BL208" s="12">
        <f t="shared" ca="1" si="360"/>
        <v>0</v>
      </c>
      <c r="BM208" s="12">
        <f t="shared" ca="1" si="360"/>
        <v>0</v>
      </c>
      <c r="BN208" s="12">
        <f t="shared" ca="1" si="360"/>
        <v>0</v>
      </c>
      <c r="BO208" s="12">
        <f t="shared" ca="1" si="360"/>
        <v>0</v>
      </c>
      <c r="BP208" s="12">
        <f t="shared" ca="1" si="360"/>
        <v>0</v>
      </c>
      <c r="BQ208" s="12">
        <f t="shared" ca="1" si="360"/>
        <v>0</v>
      </c>
      <c r="BR208" s="12">
        <f t="shared" ca="1" si="360"/>
        <v>0</v>
      </c>
      <c r="BS208" s="12">
        <f t="shared" ca="1" si="360"/>
        <v>0</v>
      </c>
      <c r="BT208" s="12">
        <f t="shared" ca="1" si="360"/>
        <v>0</v>
      </c>
      <c r="BU208" s="12">
        <f t="shared" ca="1" si="360"/>
        <v>0</v>
      </c>
      <c r="BV208" s="12">
        <f t="shared" ref="BV208:EG208" ca="1" si="361">-MAX(MIN(SUM(BV205:BV207),(1-$C204)*BV201),0)</f>
        <v>0</v>
      </c>
      <c r="BW208" s="12">
        <f t="shared" ca="1" si="361"/>
        <v>0</v>
      </c>
      <c r="BX208" s="12">
        <f t="shared" ca="1" si="361"/>
        <v>0</v>
      </c>
      <c r="BY208" s="12">
        <f t="shared" ca="1" si="361"/>
        <v>0</v>
      </c>
      <c r="BZ208" s="12">
        <f t="shared" ca="1" si="361"/>
        <v>0</v>
      </c>
      <c r="CA208" s="12">
        <f t="shared" ca="1" si="361"/>
        <v>0</v>
      </c>
      <c r="CB208" s="12">
        <f t="shared" ca="1" si="361"/>
        <v>0</v>
      </c>
      <c r="CC208" s="12">
        <f t="shared" ca="1" si="361"/>
        <v>0</v>
      </c>
      <c r="CD208" s="12">
        <f t="shared" ca="1" si="361"/>
        <v>0</v>
      </c>
      <c r="CE208" s="12">
        <f t="shared" ca="1" si="361"/>
        <v>0</v>
      </c>
      <c r="CF208" s="12">
        <f t="shared" ca="1" si="361"/>
        <v>0</v>
      </c>
      <c r="CG208" s="12">
        <f t="shared" ca="1" si="361"/>
        <v>0</v>
      </c>
      <c r="CH208" s="12">
        <f t="shared" ca="1" si="361"/>
        <v>0</v>
      </c>
      <c r="CI208" s="12">
        <f t="shared" ca="1" si="361"/>
        <v>0</v>
      </c>
      <c r="CJ208" s="12">
        <f t="shared" ca="1" si="361"/>
        <v>0</v>
      </c>
      <c r="CK208" s="12">
        <f t="shared" ca="1" si="361"/>
        <v>0</v>
      </c>
      <c r="CL208" s="12">
        <f t="shared" ca="1" si="361"/>
        <v>0</v>
      </c>
      <c r="CM208" s="12">
        <f t="shared" ca="1" si="361"/>
        <v>0</v>
      </c>
      <c r="CN208" s="12">
        <f t="shared" ca="1" si="361"/>
        <v>0</v>
      </c>
      <c r="CO208" s="12">
        <f t="shared" ca="1" si="361"/>
        <v>0</v>
      </c>
      <c r="CP208" s="12">
        <f t="shared" ca="1" si="361"/>
        <v>0</v>
      </c>
      <c r="CQ208" s="12">
        <f t="shared" ca="1" si="361"/>
        <v>0</v>
      </c>
      <c r="CR208" s="12">
        <f t="shared" ca="1" si="361"/>
        <v>0</v>
      </c>
      <c r="CS208" s="12">
        <f t="shared" ca="1" si="361"/>
        <v>0</v>
      </c>
      <c r="CT208" s="12">
        <f t="shared" ca="1" si="361"/>
        <v>0</v>
      </c>
      <c r="CU208" s="12">
        <f t="shared" ca="1" si="361"/>
        <v>0</v>
      </c>
      <c r="CV208" s="12">
        <f t="shared" ca="1" si="361"/>
        <v>0</v>
      </c>
      <c r="CW208" s="12">
        <f t="shared" ca="1" si="361"/>
        <v>0</v>
      </c>
      <c r="CX208" s="12">
        <f t="shared" ca="1" si="361"/>
        <v>0</v>
      </c>
      <c r="CY208" s="12">
        <f t="shared" ca="1" si="361"/>
        <v>0</v>
      </c>
      <c r="CZ208" s="12">
        <f t="shared" ca="1" si="361"/>
        <v>0</v>
      </c>
      <c r="DA208" s="12">
        <f t="shared" ca="1" si="361"/>
        <v>0</v>
      </c>
      <c r="DB208" s="12">
        <f t="shared" ca="1" si="361"/>
        <v>0</v>
      </c>
      <c r="DC208" s="12">
        <f t="shared" ca="1" si="361"/>
        <v>0</v>
      </c>
      <c r="DD208" s="12">
        <f t="shared" ca="1" si="361"/>
        <v>0</v>
      </c>
      <c r="DE208" s="12">
        <f t="shared" ca="1" si="361"/>
        <v>0</v>
      </c>
      <c r="DF208" s="12">
        <f t="shared" ca="1" si="361"/>
        <v>0</v>
      </c>
      <c r="DG208" s="12">
        <f t="shared" ca="1" si="361"/>
        <v>0</v>
      </c>
      <c r="DH208" s="12">
        <f t="shared" ca="1" si="361"/>
        <v>0</v>
      </c>
      <c r="DI208" s="12">
        <f t="shared" ca="1" si="361"/>
        <v>0</v>
      </c>
      <c r="DJ208" s="12">
        <f t="shared" ca="1" si="361"/>
        <v>0</v>
      </c>
      <c r="DK208" s="12">
        <f t="shared" ca="1" si="361"/>
        <v>0</v>
      </c>
      <c r="DL208" s="12">
        <f t="shared" ca="1" si="361"/>
        <v>0</v>
      </c>
      <c r="DM208" s="12">
        <f t="shared" ca="1" si="361"/>
        <v>0</v>
      </c>
      <c r="DN208" s="12">
        <f t="shared" ca="1" si="361"/>
        <v>0</v>
      </c>
      <c r="DO208" s="12">
        <f t="shared" ca="1" si="361"/>
        <v>0</v>
      </c>
      <c r="DP208" s="12">
        <f t="shared" ca="1" si="361"/>
        <v>0</v>
      </c>
      <c r="DQ208" s="12">
        <f t="shared" ca="1" si="361"/>
        <v>0</v>
      </c>
      <c r="DR208" s="12">
        <f t="shared" ca="1" si="361"/>
        <v>0</v>
      </c>
      <c r="DS208" s="12">
        <f t="shared" ca="1" si="361"/>
        <v>0</v>
      </c>
      <c r="DT208" s="12">
        <f t="shared" ca="1" si="361"/>
        <v>0</v>
      </c>
      <c r="DU208" s="12">
        <f t="shared" ca="1" si="361"/>
        <v>0</v>
      </c>
      <c r="DV208" s="12">
        <f t="shared" ca="1" si="361"/>
        <v>0</v>
      </c>
      <c r="DW208" s="12">
        <f t="shared" ca="1" si="361"/>
        <v>0</v>
      </c>
      <c r="DX208" s="12">
        <f t="shared" ca="1" si="361"/>
        <v>0</v>
      </c>
      <c r="DY208" s="12">
        <f t="shared" ca="1" si="361"/>
        <v>0</v>
      </c>
      <c r="DZ208" s="12">
        <f t="shared" ca="1" si="361"/>
        <v>0</v>
      </c>
      <c r="EA208" s="12">
        <f t="shared" ca="1" si="361"/>
        <v>0</v>
      </c>
      <c r="EB208" s="12">
        <f t="shared" ca="1" si="361"/>
        <v>0</v>
      </c>
      <c r="EC208" s="12">
        <f t="shared" ca="1" si="361"/>
        <v>0</v>
      </c>
      <c r="ED208" s="12">
        <f t="shared" ca="1" si="361"/>
        <v>0</v>
      </c>
      <c r="EE208" s="12">
        <f t="shared" ca="1" si="361"/>
        <v>0</v>
      </c>
      <c r="EF208" s="12">
        <f t="shared" ca="1" si="361"/>
        <v>0</v>
      </c>
      <c r="EG208" s="12">
        <f t="shared" ca="1" si="361"/>
        <v>0</v>
      </c>
      <c r="EH208" s="12">
        <f ca="1">-MAX(MIN(SUM(EH205:EH207),(1-$C204)*EH201),0)</f>
        <v>0</v>
      </c>
      <c r="EI208" s="12">
        <f ca="1">-MAX(MIN(SUM(EI205:EI207),(1-$C204)*EI201),0)</f>
        <v>0</v>
      </c>
      <c r="EJ208" s="12">
        <f ca="1">-MAX(MIN(SUM(EJ205:EJ207),(1-$C204)*EJ201),0)</f>
        <v>0</v>
      </c>
    </row>
    <row r="209" spans="2:140" x14ac:dyDescent="0.4">
      <c r="B209" s="60" t="s">
        <v>118</v>
      </c>
      <c r="H209" s="318">
        <f ca="1">-MIN(H$159,0)</f>
        <v>6100000</v>
      </c>
      <c r="I209" s="12">
        <f t="shared" ref="I209:BT209" ca="1" si="362">-MIN(I$159,0)</f>
        <v>0</v>
      </c>
      <c r="J209" s="12">
        <f t="shared" ca="1" si="362"/>
        <v>0</v>
      </c>
      <c r="K209" s="12">
        <f t="shared" ca="1" si="362"/>
        <v>360500</v>
      </c>
      <c r="L209" s="12">
        <f t="shared" ca="1" si="362"/>
        <v>360500</v>
      </c>
      <c r="M209" s="12">
        <f t="shared" ca="1" si="362"/>
        <v>360500</v>
      </c>
      <c r="N209" s="12">
        <f t="shared" ca="1" si="362"/>
        <v>360500</v>
      </c>
      <c r="O209" s="12">
        <f t="shared" ca="1" si="362"/>
        <v>3141750</v>
      </c>
      <c r="P209" s="12">
        <f t="shared" ca="1" si="362"/>
        <v>3141750</v>
      </c>
      <c r="Q209" s="12">
        <f t="shared" ca="1" si="362"/>
        <v>3141750</v>
      </c>
      <c r="R209" s="12">
        <f t="shared" ca="1" si="362"/>
        <v>1778449.999427788</v>
      </c>
      <c r="S209" s="12">
        <f t="shared" ca="1" si="362"/>
        <v>0</v>
      </c>
      <c r="T209" s="12">
        <f t="shared" ca="1" si="362"/>
        <v>0</v>
      </c>
      <c r="U209" s="12">
        <f t="shared" ca="1" si="362"/>
        <v>0</v>
      </c>
      <c r="V209" s="12">
        <f t="shared" ca="1" si="362"/>
        <v>0</v>
      </c>
      <c r="W209" s="12">
        <f t="shared" ca="1" si="362"/>
        <v>0</v>
      </c>
      <c r="X209" s="12">
        <f t="shared" ca="1" si="362"/>
        <v>0</v>
      </c>
      <c r="Y209" s="12">
        <f t="shared" ca="1" si="362"/>
        <v>3750</v>
      </c>
      <c r="Z209" s="12">
        <f t="shared" ca="1" si="362"/>
        <v>0</v>
      </c>
      <c r="AA209" s="12">
        <f t="shared" ca="1" si="362"/>
        <v>0</v>
      </c>
      <c r="AB209" s="12">
        <f t="shared" ca="1" si="362"/>
        <v>0</v>
      </c>
      <c r="AC209" s="12">
        <f t="shared" ca="1" si="362"/>
        <v>0</v>
      </c>
      <c r="AD209" s="12">
        <f t="shared" ca="1" si="362"/>
        <v>0</v>
      </c>
      <c r="AE209" s="12">
        <f t="shared" ca="1" si="362"/>
        <v>0</v>
      </c>
      <c r="AF209" s="12">
        <f t="shared" ca="1" si="362"/>
        <v>0</v>
      </c>
      <c r="AG209" s="12">
        <f t="shared" ca="1" si="362"/>
        <v>0</v>
      </c>
      <c r="AH209" s="12">
        <f t="shared" ca="1" si="362"/>
        <v>0</v>
      </c>
      <c r="AI209" s="12">
        <f t="shared" ca="1" si="362"/>
        <v>0</v>
      </c>
      <c r="AJ209" s="12">
        <f t="shared" ca="1" si="362"/>
        <v>0</v>
      </c>
      <c r="AK209" s="12">
        <f t="shared" ca="1" si="362"/>
        <v>0</v>
      </c>
      <c r="AL209" s="12">
        <f t="shared" ca="1" si="362"/>
        <v>0</v>
      </c>
      <c r="AM209" s="12">
        <f t="shared" ca="1" si="362"/>
        <v>0</v>
      </c>
      <c r="AN209" s="12">
        <f t="shared" ca="1" si="362"/>
        <v>0</v>
      </c>
      <c r="AO209" s="12">
        <f t="shared" ca="1" si="362"/>
        <v>0</v>
      </c>
      <c r="AP209" s="12">
        <f t="shared" ca="1" si="362"/>
        <v>0</v>
      </c>
      <c r="AQ209" s="12">
        <f t="shared" ca="1" si="362"/>
        <v>0</v>
      </c>
      <c r="AR209" s="12">
        <f t="shared" ca="1" si="362"/>
        <v>0</v>
      </c>
      <c r="AS209" s="12">
        <f t="shared" ca="1" si="362"/>
        <v>0</v>
      </c>
      <c r="AT209" s="12">
        <f t="shared" ca="1" si="362"/>
        <v>0</v>
      </c>
      <c r="AU209" s="12">
        <f t="shared" ca="1" si="362"/>
        <v>0</v>
      </c>
      <c r="AV209" s="12">
        <f t="shared" ca="1" si="362"/>
        <v>0</v>
      </c>
      <c r="AW209" s="12">
        <f t="shared" ca="1" si="362"/>
        <v>0</v>
      </c>
      <c r="AX209" s="12">
        <f t="shared" ca="1" si="362"/>
        <v>0</v>
      </c>
      <c r="AY209" s="12">
        <f t="shared" ca="1" si="362"/>
        <v>0</v>
      </c>
      <c r="AZ209" s="12">
        <f t="shared" ca="1" si="362"/>
        <v>0</v>
      </c>
      <c r="BA209" s="12">
        <f t="shared" ca="1" si="362"/>
        <v>0</v>
      </c>
      <c r="BB209" s="12">
        <f t="shared" ca="1" si="362"/>
        <v>0</v>
      </c>
      <c r="BC209" s="12">
        <f t="shared" ca="1" si="362"/>
        <v>0</v>
      </c>
      <c r="BD209" s="12">
        <f t="shared" ca="1" si="362"/>
        <v>0</v>
      </c>
      <c r="BE209" s="12">
        <f t="shared" ca="1" si="362"/>
        <v>0</v>
      </c>
      <c r="BF209" s="12">
        <f t="shared" ca="1" si="362"/>
        <v>0</v>
      </c>
      <c r="BG209" s="12">
        <f t="shared" ca="1" si="362"/>
        <v>0</v>
      </c>
      <c r="BH209" s="12">
        <f t="shared" ca="1" si="362"/>
        <v>0</v>
      </c>
      <c r="BI209" s="12">
        <f t="shared" ca="1" si="362"/>
        <v>0</v>
      </c>
      <c r="BJ209" s="12">
        <f t="shared" ca="1" si="362"/>
        <v>0</v>
      </c>
      <c r="BK209" s="12">
        <f t="shared" ca="1" si="362"/>
        <v>0</v>
      </c>
      <c r="BL209" s="12">
        <f t="shared" ca="1" si="362"/>
        <v>0</v>
      </c>
      <c r="BM209" s="12">
        <f t="shared" ca="1" si="362"/>
        <v>0</v>
      </c>
      <c r="BN209" s="12">
        <f t="shared" ca="1" si="362"/>
        <v>0</v>
      </c>
      <c r="BO209" s="12">
        <f t="shared" ca="1" si="362"/>
        <v>0</v>
      </c>
      <c r="BP209" s="12">
        <f t="shared" ca="1" si="362"/>
        <v>0</v>
      </c>
      <c r="BQ209" s="12">
        <f t="shared" ca="1" si="362"/>
        <v>0</v>
      </c>
      <c r="BR209" s="12">
        <f t="shared" ca="1" si="362"/>
        <v>0</v>
      </c>
      <c r="BS209" s="12">
        <f t="shared" ca="1" si="362"/>
        <v>0</v>
      </c>
      <c r="BT209" s="12">
        <f t="shared" ca="1" si="362"/>
        <v>0</v>
      </c>
      <c r="BU209" s="12">
        <f t="shared" ref="BU209:EF209" ca="1" si="363">-MIN(BU$159,0)</f>
        <v>0</v>
      </c>
      <c r="BV209" s="12">
        <f t="shared" ca="1" si="363"/>
        <v>0</v>
      </c>
      <c r="BW209" s="12">
        <f t="shared" ca="1" si="363"/>
        <v>0</v>
      </c>
      <c r="BX209" s="12">
        <f t="shared" ca="1" si="363"/>
        <v>0</v>
      </c>
      <c r="BY209" s="12">
        <f t="shared" ca="1" si="363"/>
        <v>0</v>
      </c>
      <c r="BZ209" s="12">
        <f t="shared" ca="1" si="363"/>
        <v>0</v>
      </c>
      <c r="CA209" s="12">
        <f t="shared" ca="1" si="363"/>
        <v>0</v>
      </c>
      <c r="CB209" s="12">
        <f t="shared" ca="1" si="363"/>
        <v>0</v>
      </c>
      <c r="CC209" s="12">
        <f t="shared" ca="1" si="363"/>
        <v>0</v>
      </c>
      <c r="CD209" s="12">
        <f t="shared" ca="1" si="363"/>
        <v>0</v>
      </c>
      <c r="CE209" s="12">
        <f t="shared" ca="1" si="363"/>
        <v>0</v>
      </c>
      <c r="CF209" s="12">
        <f t="shared" ca="1" si="363"/>
        <v>0</v>
      </c>
      <c r="CG209" s="12">
        <f t="shared" ca="1" si="363"/>
        <v>0</v>
      </c>
      <c r="CH209" s="12">
        <f t="shared" ca="1" si="363"/>
        <v>0</v>
      </c>
      <c r="CI209" s="12">
        <f t="shared" ca="1" si="363"/>
        <v>0</v>
      </c>
      <c r="CJ209" s="12">
        <f t="shared" ca="1" si="363"/>
        <v>0</v>
      </c>
      <c r="CK209" s="12">
        <f t="shared" ca="1" si="363"/>
        <v>0</v>
      </c>
      <c r="CL209" s="12">
        <f t="shared" ca="1" si="363"/>
        <v>0</v>
      </c>
      <c r="CM209" s="12">
        <f t="shared" ca="1" si="363"/>
        <v>0</v>
      </c>
      <c r="CN209" s="12">
        <f t="shared" ca="1" si="363"/>
        <v>0</v>
      </c>
      <c r="CO209" s="12">
        <f t="shared" ca="1" si="363"/>
        <v>0</v>
      </c>
      <c r="CP209" s="12">
        <f t="shared" ca="1" si="363"/>
        <v>0</v>
      </c>
      <c r="CQ209" s="12">
        <f t="shared" ca="1" si="363"/>
        <v>0</v>
      </c>
      <c r="CR209" s="12">
        <f t="shared" ca="1" si="363"/>
        <v>0</v>
      </c>
      <c r="CS209" s="12">
        <f t="shared" ca="1" si="363"/>
        <v>0</v>
      </c>
      <c r="CT209" s="12">
        <f t="shared" ca="1" si="363"/>
        <v>0</v>
      </c>
      <c r="CU209" s="12">
        <f t="shared" ca="1" si="363"/>
        <v>0</v>
      </c>
      <c r="CV209" s="12">
        <f t="shared" ca="1" si="363"/>
        <v>0</v>
      </c>
      <c r="CW209" s="12">
        <f t="shared" ca="1" si="363"/>
        <v>0</v>
      </c>
      <c r="CX209" s="12">
        <f t="shared" ca="1" si="363"/>
        <v>0</v>
      </c>
      <c r="CY209" s="12">
        <f t="shared" ca="1" si="363"/>
        <v>0</v>
      </c>
      <c r="CZ209" s="12">
        <f t="shared" ca="1" si="363"/>
        <v>0</v>
      </c>
      <c r="DA209" s="12">
        <f t="shared" ca="1" si="363"/>
        <v>0</v>
      </c>
      <c r="DB209" s="12">
        <f t="shared" ca="1" si="363"/>
        <v>0</v>
      </c>
      <c r="DC209" s="12">
        <f t="shared" ca="1" si="363"/>
        <v>0</v>
      </c>
      <c r="DD209" s="12">
        <f t="shared" ca="1" si="363"/>
        <v>0</v>
      </c>
      <c r="DE209" s="12">
        <f t="shared" ca="1" si="363"/>
        <v>0</v>
      </c>
      <c r="DF209" s="12">
        <f t="shared" ca="1" si="363"/>
        <v>0</v>
      </c>
      <c r="DG209" s="12">
        <f t="shared" ca="1" si="363"/>
        <v>0</v>
      </c>
      <c r="DH209" s="12">
        <f t="shared" ca="1" si="363"/>
        <v>0</v>
      </c>
      <c r="DI209" s="12">
        <f t="shared" ca="1" si="363"/>
        <v>0</v>
      </c>
      <c r="DJ209" s="12">
        <f t="shared" ca="1" si="363"/>
        <v>0</v>
      </c>
      <c r="DK209" s="12">
        <f t="shared" ca="1" si="363"/>
        <v>0</v>
      </c>
      <c r="DL209" s="12">
        <f t="shared" ca="1" si="363"/>
        <v>0</v>
      </c>
      <c r="DM209" s="12">
        <f t="shared" ca="1" si="363"/>
        <v>0</v>
      </c>
      <c r="DN209" s="12">
        <f t="shared" ca="1" si="363"/>
        <v>0</v>
      </c>
      <c r="DO209" s="12">
        <f t="shared" ca="1" si="363"/>
        <v>0</v>
      </c>
      <c r="DP209" s="12">
        <f t="shared" ca="1" si="363"/>
        <v>0</v>
      </c>
      <c r="DQ209" s="12">
        <f t="shared" ca="1" si="363"/>
        <v>0</v>
      </c>
      <c r="DR209" s="12">
        <f t="shared" ca="1" si="363"/>
        <v>0</v>
      </c>
      <c r="DS209" s="12">
        <f t="shared" ca="1" si="363"/>
        <v>0</v>
      </c>
      <c r="DT209" s="12">
        <f t="shared" ca="1" si="363"/>
        <v>0</v>
      </c>
      <c r="DU209" s="12">
        <f t="shared" ca="1" si="363"/>
        <v>0</v>
      </c>
      <c r="DV209" s="12">
        <f t="shared" ca="1" si="363"/>
        <v>0</v>
      </c>
      <c r="DW209" s="12">
        <f t="shared" ca="1" si="363"/>
        <v>0</v>
      </c>
      <c r="DX209" s="12">
        <f t="shared" ca="1" si="363"/>
        <v>0</v>
      </c>
      <c r="DY209" s="12">
        <f t="shared" ca="1" si="363"/>
        <v>0</v>
      </c>
      <c r="DZ209" s="12">
        <f t="shared" ca="1" si="363"/>
        <v>0</v>
      </c>
      <c r="EA209" s="12">
        <f t="shared" ca="1" si="363"/>
        <v>0</v>
      </c>
      <c r="EB209" s="12">
        <f t="shared" ca="1" si="363"/>
        <v>0</v>
      </c>
      <c r="EC209" s="12">
        <f t="shared" ca="1" si="363"/>
        <v>0</v>
      </c>
      <c r="ED209" s="12">
        <f t="shared" ca="1" si="363"/>
        <v>0</v>
      </c>
      <c r="EE209" s="12">
        <f t="shared" ca="1" si="363"/>
        <v>0</v>
      </c>
      <c r="EF209" s="12">
        <f t="shared" ca="1" si="363"/>
        <v>0</v>
      </c>
      <c r="EG209" s="12">
        <f ca="1">-MIN(EG$159,0)</f>
        <v>0</v>
      </c>
      <c r="EH209" s="12">
        <f ca="1">-MIN(EH$159,0)</f>
        <v>0</v>
      </c>
      <c r="EI209" s="12">
        <f ca="1">-MIN(EI$159,0)</f>
        <v>0</v>
      </c>
      <c r="EJ209" s="12">
        <f ca="1">-MIN(EJ$159,0)</f>
        <v>0</v>
      </c>
    </row>
    <row r="210" spans="2:140" x14ac:dyDescent="0.4">
      <c r="B210" s="1" t="s">
        <v>99</v>
      </c>
      <c r="H210" s="319">
        <f ca="1">SUM(H205:H209)</f>
        <v>6100000</v>
      </c>
      <c r="I210" s="97">
        <f ca="1">SUM(I205:I209)</f>
        <v>6172839.6283680378</v>
      </c>
      <c r="J210" s="97">
        <f ca="1">SUM(J205:J209)</f>
        <v>6239377.5613228455</v>
      </c>
      <c r="K210" s="97">
        <f t="shared" ref="K210:BV210" ca="1" si="364">SUM(K205:K209)</f>
        <v>6674381.4863744248</v>
      </c>
      <c r="L210" s="97">
        <f t="shared" ca="1" si="364"/>
        <v>7111994.0539003108</v>
      </c>
      <c r="M210" s="97">
        <f t="shared" ca="1" si="364"/>
        <v>7557417.825021917</v>
      </c>
      <c r="N210" s="97">
        <f t="shared" ca="1" si="364"/>
        <v>8005232.5662519541</v>
      </c>
      <c r="O210" s="97">
        <f t="shared" ca="1" si="364"/>
        <v>11242572.429387283</v>
      </c>
      <c r="P210" s="97">
        <f t="shared" ca="1" si="364"/>
        <v>14518569.117527828</v>
      </c>
      <c r="Q210" s="97">
        <f t="shared" ca="1" si="364"/>
        <v>17828059.625579424</v>
      </c>
      <c r="R210" s="97">
        <f t="shared" ca="1" si="364"/>
        <v>19819393.10658925</v>
      </c>
      <c r="S210" s="97">
        <f t="shared" ca="1" si="364"/>
        <v>20048376.764831435</v>
      </c>
      <c r="T210" s="97">
        <f t="shared" ca="1" si="364"/>
        <v>20287772.881705653</v>
      </c>
      <c r="U210" s="97">
        <f t="shared" ca="1" si="364"/>
        <v>20530027.609102145</v>
      </c>
      <c r="V210" s="97">
        <f t="shared" ca="1" si="364"/>
        <v>20751323.752021044</v>
      </c>
      <c r="W210" s="97">
        <f t="shared" ca="1" si="364"/>
        <v>20999113.704519741</v>
      </c>
      <c r="X210" s="97">
        <f t="shared" ca="1" si="364"/>
        <v>21241727.2825463</v>
      </c>
      <c r="Y210" s="97">
        <f t="shared" ca="1" si="364"/>
        <v>21499123.105686609</v>
      </c>
      <c r="Z210" s="97">
        <f t="shared" ca="1" si="364"/>
        <v>21745331.434922412</v>
      </c>
      <c r="AA210" s="97">
        <f t="shared" ca="1" si="364"/>
        <v>21968949.058500987</v>
      </c>
      <c r="AB210" s="97">
        <f t="shared" ca="1" si="364"/>
        <v>22161264.451202329</v>
      </c>
      <c r="AC210" s="97">
        <f t="shared" ca="1" si="364"/>
        <v>22313205.263494417</v>
      </c>
      <c r="AD210" s="97">
        <f t="shared" ca="1" si="364"/>
        <v>22441346.854206853</v>
      </c>
      <c r="AE210" s="97">
        <f t="shared" ca="1" si="364"/>
        <v>22684609.953419164</v>
      </c>
      <c r="AF210" s="97">
        <f t="shared" ca="1" si="364"/>
        <v>22910427.987009116</v>
      </c>
      <c r="AG210" s="97">
        <f t="shared" ca="1" si="364"/>
        <v>23097116.592880674</v>
      </c>
      <c r="AH210" s="97">
        <f t="shared" ca="1" si="364"/>
        <v>23207885.555314586</v>
      </c>
      <c r="AI210" s="97">
        <f t="shared" ca="1" si="364"/>
        <v>23361960.402817629</v>
      </c>
      <c r="AJ210" s="97">
        <f t="shared" ca="1" si="364"/>
        <v>23503014.456316665</v>
      </c>
      <c r="AK210" s="97">
        <f t="shared" ca="1" si="364"/>
        <v>23659430.699741632</v>
      </c>
      <c r="AL210" s="97">
        <f t="shared" ca="1" si="364"/>
        <v>23802684.867849194</v>
      </c>
      <c r="AM210" s="97">
        <f t="shared" ca="1" si="364"/>
        <v>23961450.455013923</v>
      </c>
      <c r="AN210" s="97">
        <f t="shared" ca="1" si="364"/>
        <v>24087174.158364903</v>
      </c>
      <c r="AO210" s="97">
        <f t="shared" ca="1" si="364"/>
        <v>24199071.329523128</v>
      </c>
      <c r="AP210" s="97">
        <f t="shared" ca="1" si="364"/>
        <v>24326173.922602631</v>
      </c>
      <c r="AQ210" s="97">
        <f t="shared" ca="1" si="364"/>
        <v>24439332.818938646</v>
      </c>
      <c r="AR210" s="97">
        <f t="shared" ca="1" si="364"/>
        <v>0</v>
      </c>
      <c r="AS210" s="97">
        <f t="shared" ca="1" si="364"/>
        <v>0</v>
      </c>
      <c r="AT210" s="97">
        <f t="shared" ca="1" si="364"/>
        <v>0</v>
      </c>
      <c r="AU210" s="97">
        <f t="shared" ca="1" si="364"/>
        <v>0</v>
      </c>
      <c r="AV210" s="97">
        <f t="shared" ca="1" si="364"/>
        <v>0</v>
      </c>
      <c r="AW210" s="97">
        <f t="shared" ca="1" si="364"/>
        <v>0</v>
      </c>
      <c r="AX210" s="97">
        <f t="shared" ca="1" si="364"/>
        <v>0</v>
      </c>
      <c r="AY210" s="97">
        <f t="shared" ca="1" si="364"/>
        <v>0</v>
      </c>
      <c r="AZ210" s="97">
        <f t="shared" ca="1" si="364"/>
        <v>0</v>
      </c>
      <c r="BA210" s="97">
        <f t="shared" ca="1" si="364"/>
        <v>0</v>
      </c>
      <c r="BB210" s="97">
        <f t="shared" ca="1" si="364"/>
        <v>0</v>
      </c>
      <c r="BC210" s="97">
        <f t="shared" ca="1" si="364"/>
        <v>0</v>
      </c>
      <c r="BD210" s="97">
        <f t="shared" ca="1" si="364"/>
        <v>0</v>
      </c>
      <c r="BE210" s="97">
        <f t="shared" ca="1" si="364"/>
        <v>0</v>
      </c>
      <c r="BF210" s="97">
        <f t="shared" ca="1" si="364"/>
        <v>0</v>
      </c>
      <c r="BG210" s="97">
        <f t="shared" ca="1" si="364"/>
        <v>0</v>
      </c>
      <c r="BH210" s="97">
        <f t="shared" ca="1" si="364"/>
        <v>0</v>
      </c>
      <c r="BI210" s="97">
        <f t="shared" ca="1" si="364"/>
        <v>0</v>
      </c>
      <c r="BJ210" s="97">
        <f t="shared" ca="1" si="364"/>
        <v>0</v>
      </c>
      <c r="BK210" s="97">
        <f t="shared" ca="1" si="364"/>
        <v>0</v>
      </c>
      <c r="BL210" s="97">
        <f t="shared" ca="1" si="364"/>
        <v>0</v>
      </c>
      <c r="BM210" s="97">
        <f t="shared" ca="1" si="364"/>
        <v>0</v>
      </c>
      <c r="BN210" s="97">
        <f t="shared" ca="1" si="364"/>
        <v>0</v>
      </c>
      <c r="BO210" s="97">
        <f t="shared" ca="1" si="364"/>
        <v>0</v>
      </c>
      <c r="BP210" s="97">
        <f t="shared" ca="1" si="364"/>
        <v>0</v>
      </c>
      <c r="BQ210" s="97">
        <f t="shared" ca="1" si="364"/>
        <v>0</v>
      </c>
      <c r="BR210" s="97">
        <f t="shared" ca="1" si="364"/>
        <v>0</v>
      </c>
      <c r="BS210" s="97">
        <f t="shared" ca="1" si="364"/>
        <v>0</v>
      </c>
      <c r="BT210" s="97">
        <f t="shared" ca="1" si="364"/>
        <v>0</v>
      </c>
      <c r="BU210" s="97">
        <f t="shared" ca="1" si="364"/>
        <v>0</v>
      </c>
      <c r="BV210" s="97">
        <f t="shared" ca="1" si="364"/>
        <v>0</v>
      </c>
      <c r="BW210" s="97">
        <f t="shared" ref="BW210:EH210" ca="1" si="365">SUM(BW205:BW209)</f>
        <v>0</v>
      </c>
      <c r="BX210" s="97">
        <f t="shared" ca="1" si="365"/>
        <v>0</v>
      </c>
      <c r="BY210" s="97">
        <f t="shared" ca="1" si="365"/>
        <v>0</v>
      </c>
      <c r="BZ210" s="97">
        <f t="shared" ca="1" si="365"/>
        <v>0</v>
      </c>
      <c r="CA210" s="97">
        <f t="shared" ca="1" si="365"/>
        <v>0</v>
      </c>
      <c r="CB210" s="97">
        <f t="shared" ca="1" si="365"/>
        <v>0</v>
      </c>
      <c r="CC210" s="97">
        <f t="shared" ca="1" si="365"/>
        <v>0</v>
      </c>
      <c r="CD210" s="97">
        <f t="shared" ca="1" si="365"/>
        <v>0</v>
      </c>
      <c r="CE210" s="97">
        <f t="shared" ca="1" si="365"/>
        <v>0</v>
      </c>
      <c r="CF210" s="97">
        <f t="shared" ca="1" si="365"/>
        <v>0</v>
      </c>
      <c r="CG210" s="97">
        <f t="shared" ca="1" si="365"/>
        <v>0</v>
      </c>
      <c r="CH210" s="97">
        <f t="shared" ca="1" si="365"/>
        <v>0</v>
      </c>
      <c r="CI210" s="97">
        <f t="shared" ca="1" si="365"/>
        <v>0</v>
      </c>
      <c r="CJ210" s="97">
        <f t="shared" ca="1" si="365"/>
        <v>0</v>
      </c>
      <c r="CK210" s="97">
        <f t="shared" ca="1" si="365"/>
        <v>0</v>
      </c>
      <c r="CL210" s="97">
        <f t="shared" ca="1" si="365"/>
        <v>0</v>
      </c>
      <c r="CM210" s="97">
        <f t="shared" ca="1" si="365"/>
        <v>0</v>
      </c>
      <c r="CN210" s="97">
        <f t="shared" ca="1" si="365"/>
        <v>0</v>
      </c>
      <c r="CO210" s="97">
        <f t="shared" ca="1" si="365"/>
        <v>0</v>
      </c>
      <c r="CP210" s="97">
        <f t="shared" ca="1" si="365"/>
        <v>0</v>
      </c>
      <c r="CQ210" s="97">
        <f t="shared" ca="1" si="365"/>
        <v>0</v>
      </c>
      <c r="CR210" s="97">
        <f t="shared" ca="1" si="365"/>
        <v>0</v>
      </c>
      <c r="CS210" s="97">
        <f t="shared" ca="1" si="365"/>
        <v>0</v>
      </c>
      <c r="CT210" s="97">
        <f t="shared" ca="1" si="365"/>
        <v>0</v>
      </c>
      <c r="CU210" s="97">
        <f t="shared" ca="1" si="365"/>
        <v>0</v>
      </c>
      <c r="CV210" s="97">
        <f t="shared" ca="1" si="365"/>
        <v>0</v>
      </c>
      <c r="CW210" s="97">
        <f t="shared" ca="1" si="365"/>
        <v>0</v>
      </c>
      <c r="CX210" s="97">
        <f t="shared" ca="1" si="365"/>
        <v>0</v>
      </c>
      <c r="CY210" s="97">
        <f t="shared" ca="1" si="365"/>
        <v>0</v>
      </c>
      <c r="CZ210" s="97">
        <f t="shared" ca="1" si="365"/>
        <v>0</v>
      </c>
      <c r="DA210" s="97">
        <f t="shared" ca="1" si="365"/>
        <v>0</v>
      </c>
      <c r="DB210" s="97">
        <f t="shared" ca="1" si="365"/>
        <v>0</v>
      </c>
      <c r="DC210" s="97">
        <f t="shared" ca="1" si="365"/>
        <v>0</v>
      </c>
      <c r="DD210" s="97">
        <f t="shared" ca="1" si="365"/>
        <v>0</v>
      </c>
      <c r="DE210" s="97">
        <f t="shared" ca="1" si="365"/>
        <v>0</v>
      </c>
      <c r="DF210" s="97">
        <f t="shared" ca="1" si="365"/>
        <v>0</v>
      </c>
      <c r="DG210" s="97">
        <f t="shared" ca="1" si="365"/>
        <v>0</v>
      </c>
      <c r="DH210" s="97">
        <f t="shared" ca="1" si="365"/>
        <v>0</v>
      </c>
      <c r="DI210" s="97">
        <f t="shared" ca="1" si="365"/>
        <v>0</v>
      </c>
      <c r="DJ210" s="97">
        <f t="shared" ca="1" si="365"/>
        <v>0</v>
      </c>
      <c r="DK210" s="97">
        <f t="shared" ca="1" si="365"/>
        <v>0</v>
      </c>
      <c r="DL210" s="97">
        <f t="shared" ca="1" si="365"/>
        <v>0</v>
      </c>
      <c r="DM210" s="97">
        <f t="shared" ca="1" si="365"/>
        <v>0</v>
      </c>
      <c r="DN210" s="97">
        <f t="shared" ca="1" si="365"/>
        <v>0</v>
      </c>
      <c r="DO210" s="97">
        <f t="shared" ca="1" si="365"/>
        <v>0</v>
      </c>
      <c r="DP210" s="97">
        <f t="shared" ca="1" si="365"/>
        <v>0</v>
      </c>
      <c r="DQ210" s="97">
        <f t="shared" ca="1" si="365"/>
        <v>0</v>
      </c>
      <c r="DR210" s="97">
        <f t="shared" ca="1" si="365"/>
        <v>0</v>
      </c>
      <c r="DS210" s="97">
        <f t="shared" ca="1" si="365"/>
        <v>0</v>
      </c>
      <c r="DT210" s="97">
        <f t="shared" ca="1" si="365"/>
        <v>0</v>
      </c>
      <c r="DU210" s="97">
        <f t="shared" ca="1" si="365"/>
        <v>0</v>
      </c>
      <c r="DV210" s="97">
        <f t="shared" ca="1" si="365"/>
        <v>0</v>
      </c>
      <c r="DW210" s="97">
        <f t="shared" ca="1" si="365"/>
        <v>0</v>
      </c>
      <c r="DX210" s="97">
        <f t="shared" ca="1" si="365"/>
        <v>0</v>
      </c>
      <c r="DY210" s="97">
        <f t="shared" ca="1" si="365"/>
        <v>0</v>
      </c>
      <c r="DZ210" s="97">
        <f t="shared" ca="1" si="365"/>
        <v>0</v>
      </c>
      <c r="EA210" s="97">
        <f t="shared" ca="1" si="365"/>
        <v>0</v>
      </c>
      <c r="EB210" s="97">
        <f t="shared" ca="1" si="365"/>
        <v>0</v>
      </c>
      <c r="EC210" s="97">
        <f t="shared" ca="1" si="365"/>
        <v>0</v>
      </c>
      <c r="ED210" s="97">
        <f t="shared" ca="1" si="365"/>
        <v>0</v>
      </c>
      <c r="EE210" s="97">
        <f t="shared" ca="1" si="365"/>
        <v>0</v>
      </c>
      <c r="EF210" s="97">
        <f t="shared" ca="1" si="365"/>
        <v>0</v>
      </c>
      <c r="EG210" s="97">
        <f t="shared" ca="1" si="365"/>
        <v>0</v>
      </c>
      <c r="EH210" s="97">
        <f t="shared" ca="1" si="365"/>
        <v>0</v>
      </c>
      <c r="EI210" s="97">
        <f ca="1">SUM(EI205:EI209)</f>
        <v>0</v>
      </c>
      <c r="EJ210" s="97">
        <f ca="1">SUM(EJ205:EJ209)</f>
        <v>0</v>
      </c>
    </row>
    <row r="211" spans="2:140" x14ac:dyDescent="0.4">
      <c r="H211" s="316"/>
    </row>
    <row r="212" spans="2:140" x14ac:dyDescent="0.4">
      <c r="B212" s="1" t="s">
        <v>123</v>
      </c>
      <c r="H212" s="318">
        <f ca="1">-SUM(H207:H209)*$C$187-H198</f>
        <v>0</v>
      </c>
      <c r="I212" s="12">
        <f t="shared" ref="I212:BT212" ca="1" si="366">-SUM(I207:I209)*$C$187-I198</f>
        <v>0</v>
      </c>
      <c r="J212" s="12">
        <f t="shared" ca="1" si="366"/>
        <v>0</v>
      </c>
      <c r="K212" s="12">
        <f t="shared" ca="1" si="366"/>
        <v>0</v>
      </c>
      <c r="L212" s="12">
        <f t="shared" ca="1" si="366"/>
        <v>0</v>
      </c>
      <c r="M212" s="12">
        <f t="shared" ca="1" si="366"/>
        <v>0</v>
      </c>
      <c r="N212" s="12">
        <f t="shared" ca="1" si="366"/>
        <v>0</v>
      </c>
      <c r="O212" s="12">
        <f t="shared" ca="1" si="366"/>
        <v>0</v>
      </c>
      <c r="P212" s="12">
        <f t="shared" ca="1" si="366"/>
        <v>0</v>
      </c>
      <c r="Q212" s="12">
        <f t="shared" ca="1" si="366"/>
        <v>0</v>
      </c>
      <c r="R212" s="12">
        <f t="shared" ca="1" si="366"/>
        <v>0</v>
      </c>
      <c r="S212" s="12">
        <f t="shared" ca="1" si="366"/>
        <v>0</v>
      </c>
      <c r="T212" s="12">
        <f t="shared" ca="1" si="366"/>
        <v>0</v>
      </c>
      <c r="U212" s="12">
        <f t="shared" ca="1" si="366"/>
        <v>0</v>
      </c>
      <c r="V212" s="12">
        <f t="shared" ca="1" si="366"/>
        <v>0</v>
      </c>
      <c r="W212" s="12">
        <f t="shared" ca="1" si="366"/>
        <v>0</v>
      </c>
      <c r="X212" s="12">
        <f t="shared" ca="1" si="366"/>
        <v>0</v>
      </c>
      <c r="Y212" s="12">
        <f t="shared" ca="1" si="366"/>
        <v>0</v>
      </c>
      <c r="Z212" s="12">
        <f t="shared" ca="1" si="366"/>
        <v>0</v>
      </c>
      <c r="AA212" s="12">
        <f t="shared" ca="1" si="366"/>
        <v>0</v>
      </c>
      <c r="AB212" s="12">
        <f t="shared" ca="1" si="366"/>
        <v>0</v>
      </c>
      <c r="AC212" s="12">
        <f t="shared" ca="1" si="366"/>
        <v>0</v>
      </c>
      <c r="AD212" s="12">
        <f t="shared" ca="1" si="366"/>
        <v>0</v>
      </c>
      <c r="AE212" s="12">
        <f t="shared" ca="1" si="366"/>
        <v>0</v>
      </c>
      <c r="AF212" s="12">
        <f t="shared" ca="1" si="366"/>
        <v>0</v>
      </c>
      <c r="AG212" s="12">
        <f t="shared" ca="1" si="366"/>
        <v>0</v>
      </c>
      <c r="AH212" s="12">
        <f t="shared" ca="1" si="366"/>
        <v>0</v>
      </c>
      <c r="AI212" s="12">
        <f t="shared" ca="1" si="366"/>
        <v>0</v>
      </c>
      <c r="AJ212" s="12">
        <f t="shared" ca="1" si="366"/>
        <v>0</v>
      </c>
      <c r="AK212" s="12">
        <f t="shared" ca="1" si="366"/>
        <v>0</v>
      </c>
      <c r="AL212" s="12">
        <f t="shared" ca="1" si="366"/>
        <v>0</v>
      </c>
      <c r="AM212" s="12">
        <f t="shared" ca="1" si="366"/>
        <v>0</v>
      </c>
      <c r="AN212" s="12">
        <f t="shared" ca="1" si="366"/>
        <v>0</v>
      </c>
      <c r="AO212" s="12">
        <f t="shared" ca="1" si="366"/>
        <v>0</v>
      </c>
      <c r="AP212" s="12">
        <f t="shared" ca="1" si="366"/>
        <v>0</v>
      </c>
      <c r="AQ212" s="12">
        <f t="shared" ca="1" si="366"/>
        <v>0</v>
      </c>
      <c r="AR212" s="12">
        <f t="shared" ca="1" si="366"/>
        <v>2554486.1284173094</v>
      </c>
      <c r="AS212" s="12">
        <f t="shared" ca="1" si="366"/>
        <v>0</v>
      </c>
      <c r="AT212" s="12">
        <f t="shared" ca="1" si="366"/>
        <v>0</v>
      </c>
      <c r="AU212" s="12">
        <f t="shared" ca="1" si="366"/>
        <v>0</v>
      </c>
      <c r="AV212" s="12">
        <f t="shared" ca="1" si="366"/>
        <v>0</v>
      </c>
      <c r="AW212" s="12">
        <f t="shared" ca="1" si="366"/>
        <v>0</v>
      </c>
      <c r="AX212" s="12">
        <f t="shared" ca="1" si="366"/>
        <v>0</v>
      </c>
      <c r="AY212" s="12">
        <f t="shared" ca="1" si="366"/>
        <v>0</v>
      </c>
      <c r="AZ212" s="12">
        <f t="shared" ca="1" si="366"/>
        <v>0</v>
      </c>
      <c r="BA212" s="12">
        <f t="shared" ca="1" si="366"/>
        <v>0</v>
      </c>
      <c r="BB212" s="12">
        <f t="shared" ca="1" si="366"/>
        <v>0</v>
      </c>
      <c r="BC212" s="12">
        <f t="shared" ca="1" si="366"/>
        <v>0</v>
      </c>
      <c r="BD212" s="12">
        <f t="shared" ca="1" si="366"/>
        <v>0</v>
      </c>
      <c r="BE212" s="12">
        <f t="shared" ca="1" si="366"/>
        <v>0</v>
      </c>
      <c r="BF212" s="12">
        <f t="shared" ca="1" si="366"/>
        <v>0</v>
      </c>
      <c r="BG212" s="12">
        <f t="shared" ca="1" si="366"/>
        <v>0</v>
      </c>
      <c r="BH212" s="12">
        <f t="shared" ca="1" si="366"/>
        <v>0</v>
      </c>
      <c r="BI212" s="12">
        <f t="shared" ca="1" si="366"/>
        <v>0</v>
      </c>
      <c r="BJ212" s="12">
        <f t="shared" ca="1" si="366"/>
        <v>0</v>
      </c>
      <c r="BK212" s="12">
        <f t="shared" ca="1" si="366"/>
        <v>0</v>
      </c>
      <c r="BL212" s="12">
        <f t="shared" ca="1" si="366"/>
        <v>0</v>
      </c>
      <c r="BM212" s="12">
        <f t="shared" ca="1" si="366"/>
        <v>0</v>
      </c>
      <c r="BN212" s="12">
        <f t="shared" ca="1" si="366"/>
        <v>0</v>
      </c>
      <c r="BO212" s="12">
        <f t="shared" ca="1" si="366"/>
        <v>0</v>
      </c>
      <c r="BP212" s="12">
        <f t="shared" ca="1" si="366"/>
        <v>0</v>
      </c>
      <c r="BQ212" s="12">
        <f t="shared" ca="1" si="366"/>
        <v>0</v>
      </c>
      <c r="BR212" s="12">
        <f t="shared" ca="1" si="366"/>
        <v>0</v>
      </c>
      <c r="BS212" s="12">
        <f t="shared" ca="1" si="366"/>
        <v>0</v>
      </c>
      <c r="BT212" s="12">
        <f t="shared" ca="1" si="366"/>
        <v>0</v>
      </c>
      <c r="BU212" s="12">
        <f t="shared" ref="BU212:EF212" ca="1" si="367">-SUM(BU207:BU209)*$C$187-BU198</f>
        <v>0</v>
      </c>
      <c r="BV212" s="12">
        <f t="shared" ca="1" si="367"/>
        <v>0</v>
      </c>
      <c r="BW212" s="12">
        <f t="shared" ca="1" si="367"/>
        <v>0</v>
      </c>
      <c r="BX212" s="12">
        <f t="shared" ca="1" si="367"/>
        <v>0</v>
      </c>
      <c r="BY212" s="12">
        <f t="shared" ca="1" si="367"/>
        <v>0</v>
      </c>
      <c r="BZ212" s="12">
        <f t="shared" ca="1" si="367"/>
        <v>0</v>
      </c>
      <c r="CA212" s="12">
        <f t="shared" ca="1" si="367"/>
        <v>0</v>
      </c>
      <c r="CB212" s="12">
        <f t="shared" ca="1" si="367"/>
        <v>0</v>
      </c>
      <c r="CC212" s="12">
        <f t="shared" ca="1" si="367"/>
        <v>0</v>
      </c>
      <c r="CD212" s="12">
        <f t="shared" ca="1" si="367"/>
        <v>0</v>
      </c>
      <c r="CE212" s="12">
        <f t="shared" ca="1" si="367"/>
        <v>0</v>
      </c>
      <c r="CF212" s="12">
        <f t="shared" ca="1" si="367"/>
        <v>0</v>
      </c>
      <c r="CG212" s="12">
        <f t="shared" ca="1" si="367"/>
        <v>0</v>
      </c>
      <c r="CH212" s="12">
        <f t="shared" ca="1" si="367"/>
        <v>0</v>
      </c>
      <c r="CI212" s="12">
        <f t="shared" ca="1" si="367"/>
        <v>0</v>
      </c>
      <c r="CJ212" s="12">
        <f t="shared" ca="1" si="367"/>
        <v>0</v>
      </c>
      <c r="CK212" s="12">
        <f t="shared" ca="1" si="367"/>
        <v>0</v>
      </c>
      <c r="CL212" s="12">
        <f t="shared" ca="1" si="367"/>
        <v>0</v>
      </c>
      <c r="CM212" s="12">
        <f t="shared" ca="1" si="367"/>
        <v>0</v>
      </c>
      <c r="CN212" s="12">
        <f t="shared" ca="1" si="367"/>
        <v>0</v>
      </c>
      <c r="CO212" s="12">
        <f t="shared" ca="1" si="367"/>
        <v>0</v>
      </c>
      <c r="CP212" s="12">
        <f t="shared" ca="1" si="367"/>
        <v>0</v>
      </c>
      <c r="CQ212" s="12">
        <f t="shared" ca="1" si="367"/>
        <v>0</v>
      </c>
      <c r="CR212" s="12">
        <f t="shared" ca="1" si="367"/>
        <v>0</v>
      </c>
      <c r="CS212" s="12">
        <f t="shared" ca="1" si="367"/>
        <v>0</v>
      </c>
      <c r="CT212" s="12">
        <f t="shared" ca="1" si="367"/>
        <v>0</v>
      </c>
      <c r="CU212" s="12">
        <f t="shared" ca="1" si="367"/>
        <v>0</v>
      </c>
      <c r="CV212" s="12">
        <f t="shared" ca="1" si="367"/>
        <v>0</v>
      </c>
      <c r="CW212" s="12">
        <f t="shared" ca="1" si="367"/>
        <v>0</v>
      </c>
      <c r="CX212" s="12">
        <f t="shared" ca="1" si="367"/>
        <v>0</v>
      </c>
      <c r="CY212" s="12">
        <f t="shared" ca="1" si="367"/>
        <v>0</v>
      </c>
      <c r="CZ212" s="12">
        <f t="shared" ca="1" si="367"/>
        <v>0</v>
      </c>
      <c r="DA212" s="12">
        <f t="shared" ca="1" si="367"/>
        <v>0</v>
      </c>
      <c r="DB212" s="12">
        <f t="shared" ca="1" si="367"/>
        <v>0</v>
      </c>
      <c r="DC212" s="12">
        <f t="shared" ca="1" si="367"/>
        <v>0</v>
      </c>
      <c r="DD212" s="12">
        <f t="shared" ca="1" si="367"/>
        <v>0</v>
      </c>
      <c r="DE212" s="12">
        <f t="shared" ca="1" si="367"/>
        <v>0</v>
      </c>
      <c r="DF212" s="12">
        <f t="shared" ca="1" si="367"/>
        <v>0</v>
      </c>
      <c r="DG212" s="12">
        <f t="shared" ca="1" si="367"/>
        <v>0</v>
      </c>
      <c r="DH212" s="12">
        <f t="shared" ca="1" si="367"/>
        <v>0</v>
      </c>
      <c r="DI212" s="12">
        <f t="shared" ca="1" si="367"/>
        <v>0</v>
      </c>
      <c r="DJ212" s="12">
        <f t="shared" ca="1" si="367"/>
        <v>0</v>
      </c>
      <c r="DK212" s="12">
        <f t="shared" ca="1" si="367"/>
        <v>0</v>
      </c>
      <c r="DL212" s="12">
        <f t="shared" ca="1" si="367"/>
        <v>0</v>
      </c>
      <c r="DM212" s="12">
        <f t="shared" ca="1" si="367"/>
        <v>0</v>
      </c>
      <c r="DN212" s="12">
        <f t="shared" ca="1" si="367"/>
        <v>0</v>
      </c>
      <c r="DO212" s="12">
        <f t="shared" ca="1" si="367"/>
        <v>0</v>
      </c>
      <c r="DP212" s="12">
        <f t="shared" ca="1" si="367"/>
        <v>0</v>
      </c>
      <c r="DQ212" s="12">
        <f t="shared" ca="1" si="367"/>
        <v>0</v>
      </c>
      <c r="DR212" s="12">
        <f t="shared" ca="1" si="367"/>
        <v>0</v>
      </c>
      <c r="DS212" s="12">
        <f t="shared" ca="1" si="367"/>
        <v>0</v>
      </c>
      <c r="DT212" s="12">
        <f t="shared" ca="1" si="367"/>
        <v>0</v>
      </c>
      <c r="DU212" s="12">
        <f t="shared" ca="1" si="367"/>
        <v>0</v>
      </c>
      <c r="DV212" s="12">
        <f t="shared" ca="1" si="367"/>
        <v>0</v>
      </c>
      <c r="DW212" s="12">
        <f t="shared" ca="1" si="367"/>
        <v>0</v>
      </c>
      <c r="DX212" s="12">
        <f t="shared" ca="1" si="367"/>
        <v>0</v>
      </c>
      <c r="DY212" s="12">
        <f t="shared" ca="1" si="367"/>
        <v>0</v>
      </c>
      <c r="DZ212" s="12">
        <f t="shared" ca="1" si="367"/>
        <v>0</v>
      </c>
      <c r="EA212" s="12">
        <f t="shared" ca="1" si="367"/>
        <v>0</v>
      </c>
      <c r="EB212" s="12">
        <f t="shared" ca="1" si="367"/>
        <v>0</v>
      </c>
      <c r="EC212" s="12">
        <f t="shared" ca="1" si="367"/>
        <v>0</v>
      </c>
      <c r="ED212" s="12">
        <f t="shared" ca="1" si="367"/>
        <v>0</v>
      </c>
      <c r="EE212" s="12">
        <f t="shared" ca="1" si="367"/>
        <v>0</v>
      </c>
      <c r="EF212" s="12">
        <f t="shared" ca="1" si="367"/>
        <v>0</v>
      </c>
      <c r="EG212" s="12">
        <f ca="1">-SUM(EG207:EG209)*$C$187-EG198</f>
        <v>0</v>
      </c>
      <c r="EH212" s="12">
        <f ca="1">-SUM(EH207:EH209)*$C$187-EH198</f>
        <v>0</v>
      </c>
      <c r="EI212" s="12">
        <f ca="1">-SUM(EI207:EI209)*$C$187-EI198</f>
        <v>0</v>
      </c>
      <c r="EJ212" s="12">
        <f ca="1">-SUM(EJ207:EJ209)*$C$187-EJ198</f>
        <v>0</v>
      </c>
    </row>
    <row r="213" spans="2:140" x14ac:dyDescent="0.4">
      <c r="B213" s="1" t="s">
        <v>122</v>
      </c>
      <c r="H213" s="318">
        <f ca="1">-SUM(H207:H209)*$C$188-H199</f>
        <v>0</v>
      </c>
      <c r="I213" s="12">
        <f t="shared" ref="I213:BT213" ca="1" si="368">-SUM(I207:I209)*$C$188-I199</f>
        <v>0</v>
      </c>
      <c r="J213" s="12">
        <f t="shared" ca="1" si="368"/>
        <v>0</v>
      </c>
      <c r="K213" s="12">
        <f t="shared" ca="1" si="368"/>
        <v>0</v>
      </c>
      <c r="L213" s="12">
        <f t="shared" ca="1" si="368"/>
        <v>0</v>
      </c>
      <c r="M213" s="12">
        <f t="shared" ca="1" si="368"/>
        <v>0</v>
      </c>
      <c r="N213" s="12">
        <f t="shared" ca="1" si="368"/>
        <v>0</v>
      </c>
      <c r="O213" s="12">
        <f t="shared" ca="1" si="368"/>
        <v>0</v>
      </c>
      <c r="P213" s="12">
        <f t="shared" ca="1" si="368"/>
        <v>0</v>
      </c>
      <c r="Q213" s="12">
        <f t="shared" ca="1" si="368"/>
        <v>0</v>
      </c>
      <c r="R213" s="12">
        <f t="shared" ca="1" si="368"/>
        <v>0</v>
      </c>
      <c r="S213" s="12">
        <f t="shared" ca="1" si="368"/>
        <v>0</v>
      </c>
      <c r="T213" s="12">
        <f t="shared" ca="1" si="368"/>
        <v>0</v>
      </c>
      <c r="U213" s="12">
        <f t="shared" ca="1" si="368"/>
        <v>0</v>
      </c>
      <c r="V213" s="12">
        <f t="shared" ca="1" si="368"/>
        <v>0</v>
      </c>
      <c r="W213" s="12">
        <f t="shared" ca="1" si="368"/>
        <v>0</v>
      </c>
      <c r="X213" s="12">
        <f t="shared" ca="1" si="368"/>
        <v>0</v>
      </c>
      <c r="Y213" s="12">
        <f t="shared" ca="1" si="368"/>
        <v>0</v>
      </c>
      <c r="Z213" s="12">
        <f t="shared" ca="1" si="368"/>
        <v>0</v>
      </c>
      <c r="AA213" s="12">
        <f t="shared" ca="1" si="368"/>
        <v>0</v>
      </c>
      <c r="AB213" s="12">
        <f t="shared" ca="1" si="368"/>
        <v>0</v>
      </c>
      <c r="AC213" s="12">
        <f t="shared" ca="1" si="368"/>
        <v>0</v>
      </c>
      <c r="AD213" s="12">
        <f t="shared" ca="1" si="368"/>
        <v>0</v>
      </c>
      <c r="AE213" s="12">
        <f t="shared" ca="1" si="368"/>
        <v>0</v>
      </c>
      <c r="AF213" s="12">
        <f t="shared" ca="1" si="368"/>
        <v>0</v>
      </c>
      <c r="AG213" s="12">
        <f t="shared" ca="1" si="368"/>
        <v>0</v>
      </c>
      <c r="AH213" s="12">
        <f t="shared" ca="1" si="368"/>
        <v>0</v>
      </c>
      <c r="AI213" s="12">
        <f t="shared" ca="1" si="368"/>
        <v>0</v>
      </c>
      <c r="AJ213" s="12">
        <f t="shared" ca="1" si="368"/>
        <v>0</v>
      </c>
      <c r="AK213" s="12">
        <f t="shared" ca="1" si="368"/>
        <v>0</v>
      </c>
      <c r="AL213" s="12">
        <f t="shared" ca="1" si="368"/>
        <v>0</v>
      </c>
      <c r="AM213" s="12">
        <f t="shared" ca="1" si="368"/>
        <v>0</v>
      </c>
      <c r="AN213" s="12">
        <f t="shared" ca="1" si="368"/>
        <v>0</v>
      </c>
      <c r="AO213" s="12">
        <f t="shared" ca="1" si="368"/>
        <v>0</v>
      </c>
      <c r="AP213" s="12">
        <f t="shared" ca="1" si="368"/>
        <v>0</v>
      </c>
      <c r="AQ213" s="12">
        <f t="shared" ca="1" si="368"/>
        <v>0</v>
      </c>
      <c r="AR213" s="12">
        <f t="shared" ca="1" si="368"/>
        <v>283831.79204636812</v>
      </c>
      <c r="AS213" s="12">
        <f t="shared" ca="1" si="368"/>
        <v>0</v>
      </c>
      <c r="AT213" s="12">
        <f t="shared" ca="1" si="368"/>
        <v>0</v>
      </c>
      <c r="AU213" s="12">
        <f t="shared" ca="1" si="368"/>
        <v>0</v>
      </c>
      <c r="AV213" s="12">
        <f t="shared" ca="1" si="368"/>
        <v>0</v>
      </c>
      <c r="AW213" s="12">
        <f t="shared" ca="1" si="368"/>
        <v>0</v>
      </c>
      <c r="AX213" s="12">
        <f t="shared" ca="1" si="368"/>
        <v>0</v>
      </c>
      <c r="AY213" s="12">
        <f t="shared" ca="1" si="368"/>
        <v>0</v>
      </c>
      <c r="AZ213" s="12">
        <f t="shared" ca="1" si="368"/>
        <v>0</v>
      </c>
      <c r="BA213" s="12">
        <f t="shared" ca="1" si="368"/>
        <v>0</v>
      </c>
      <c r="BB213" s="12">
        <f t="shared" ca="1" si="368"/>
        <v>0</v>
      </c>
      <c r="BC213" s="12">
        <f t="shared" ca="1" si="368"/>
        <v>0</v>
      </c>
      <c r="BD213" s="12">
        <f t="shared" ca="1" si="368"/>
        <v>0</v>
      </c>
      <c r="BE213" s="12">
        <f t="shared" ca="1" si="368"/>
        <v>0</v>
      </c>
      <c r="BF213" s="12">
        <f t="shared" ca="1" si="368"/>
        <v>0</v>
      </c>
      <c r="BG213" s="12">
        <f t="shared" ca="1" si="368"/>
        <v>0</v>
      </c>
      <c r="BH213" s="12">
        <f t="shared" ca="1" si="368"/>
        <v>0</v>
      </c>
      <c r="BI213" s="12">
        <f t="shared" ca="1" si="368"/>
        <v>0</v>
      </c>
      <c r="BJ213" s="12">
        <f t="shared" ca="1" si="368"/>
        <v>0</v>
      </c>
      <c r="BK213" s="12">
        <f t="shared" ca="1" si="368"/>
        <v>0</v>
      </c>
      <c r="BL213" s="12">
        <f t="shared" ca="1" si="368"/>
        <v>0</v>
      </c>
      <c r="BM213" s="12">
        <f t="shared" ca="1" si="368"/>
        <v>0</v>
      </c>
      <c r="BN213" s="12">
        <f t="shared" ca="1" si="368"/>
        <v>0</v>
      </c>
      <c r="BO213" s="12">
        <f t="shared" ca="1" si="368"/>
        <v>0</v>
      </c>
      <c r="BP213" s="12">
        <f t="shared" ca="1" si="368"/>
        <v>0</v>
      </c>
      <c r="BQ213" s="12">
        <f t="shared" ca="1" si="368"/>
        <v>0</v>
      </c>
      <c r="BR213" s="12">
        <f t="shared" ca="1" si="368"/>
        <v>0</v>
      </c>
      <c r="BS213" s="12">
        <f t="shared" ca="1" si="368"/>
        <v>0</v>
      </c>
      <c r="BT213" s="12">
        <f t="shared" ca="1" si="368"/>
        <v>0</v>
      </c>
      <c r="BU213" s="12">
        <f t="shared" ref="BU213:EF213" ca="1" si="369">-SUM(BU207:BU209)*$C$188-BU199</f>
        <v>0</v>
      </c>
      <c r="BV213" s="12">
        <f t="shared" ca="1" si="369"/>
        <v>0</v>
      </c>
      <c r="BW213" s="12">
        <f t="shared" ca="1" si="369"/>
        <v>0</v>
      </c>
      <c r="BX213" s="12">
        <f t="shared" ca="1" si="369"/>
        <v>0</v>
      </c>
      <c r="BY213" s="12">
        <f t="shared" ca="1" si="369"/>
        <v>0</v>
      </c>
      <c r="BZ213" s="12">
        <f t="shared" ca="1" si="369"/>
        <v>0</v>
      </c>
      <c r="CA213" s="12">
        <f t="shared" ca="1" si="369"/>
        <v>0</v>
      </c>
      <c r="CB213" s="12">
        <f t="shared" ca="1" si="369"/>
        <v>0</v>
      </c>
      <c r="CC213" s="12">
        <f t="shared" ca="1" si="369"/>
        <v>0</v>
      </c>
      <c r="CD213" s="12">
        <f t="shared" ca="1" si="369"/>
        <v>0</v>
      </c>
      <c r="CE213" s="12">
        <f t="shared" ca="1" si="369"/>
        <v>0</v>
      </c>
      <c r="CF213" s="12">
        <f t="shared" ca="1" si="369"/>
        <v>0</v>
      </c>
      <c r="CG213" s="12">
        <f t="shared" ca="1" si="369"/>
        <v>0</v>
      </c>
      <c r="CH213" s="12">
        <f t="shared" ca="1" si="369"/>
        <v>0</v>
      </c>
      <c r="CI213" s="12">
        <f t="shared" ca="1" si="369"/>
        <v>0</v>
      </c>
      <c r="CJ213" s="12">
        <f t="shared" ca="1" si="369"/>
        <v>0</v>
      </c>
      <c r="CK213" s="12">
        <f t="shared" ca="1" si="369"/>
        <v>0</v>
      </c>
      <c r="CL213" s="12">
        <f t="shared" ca="1" si="369"/>
        <v>0</v>
      </c>
      <c r="CM213" s="12">
        <f t="shared" ca="1" si="369"/>
        <v>0</v>
      </c>
      <c r="CN213" s="12">
        <f t="shared" ca="1" si="369"/>
        <v>0</v>
      </c>
      <c r="CO213" s="12">
        <f t="shared" ca="1" si="369"/>
        <v>0</v>
      </c>
      <c r="CP213" s="12">
        <f t="shared" ca="1" si="369"/>
        <v>0</v>
      </c>
      <c r="CQ213" s="12">
        <f t="shared" ca="1" si="369"/>
        <v>0</v>
      </c>
      <c r="CR213" s="12">
        <f t="shared" ca="1" si="369"/>
        <v>0</v>
      </c>
      <c r="CS213" s="12">
        <f t="shared" ca="1" si="369"/>
        <v>0</v>
      </c>
      <c r="CT213" s="12">
        <f t="shared" ca="1" si="369"/>
        <v>0</v>
      </c>
      <c r="CU213" s="12">
        <f t="shared" ca="1" si="369"/>
        <v>0</v>
      </c>
      <c r="CV213" s="12">
        <f t="shared" ca="1" si="369"/>
        <v>0</v>
      </c>
      <c r="CW213" s="12">
        <f t="shared" ca="1" si="369"/>
        <v>0</v>
      </c>
      <c r="CX213" s="12">
        <f t="shared" ca="1" si="369"/>
        <v>0</v>
      </c>
      <c r="CY213" s="12">
        <f t="shared" ca="1" si="369"/>
        <v>0</v>
      </c>
      <c r="CZ213" s="12">
        <f t="shared" ca="1" si="369"/>
        <v>0</v>
      </c>
      <c r="DA213" s="12">
        <f t="shared" ca="1" si="369"/>
        <v>0</v>
      </c>
      <c r="DB213" s="12">
        <f t="shared" ca="1" si="369"/>
        <v>0</v>
      </c>
      <c r="DC213" s="12">
        <f t="shared" ca="1" si="369"/>
        <v>0</v>
      </c>
      <c r="DD213" s="12">
        <f t="shared" ca="1" si="369"/>
        <v>0</v>
      </c>
      <c r="DE213" s="12">
        <f t="shared" ca="1" si="369"/>
        <v>0</v>
      </c>
      <c r="DF213" s="12">
        <f t="shared" ca="1" si="369"/>
        <v>0</v>
      </c>
      <c r="DG213" s="12">
        <f t="shared" ca="1" si="369"/>
        <v>0</v>
      </c>
      <c r="DH213" s="12">
        <f t="shared" ca="1" si="369"/>
        <v>0</v>
      </c>
      <c r="DI213" s="12">
        <f t="shared" ca="1" si="369"/>
        <v>0</v>
      </c>
      <c r="DJ213" s="12">
        <f t="shared" ca="1" si="369"/>
        <v>0</v>
      </c>
      <c r="DK213" s="12">
        <f t="shared" ca="1" si="369"/>
        <v>0</v>
      </c>
      <c r="DL213" s="12">
        <f t="shared" ca="1" si="369"/>
        <v>0</v>
      </c>
      <c r="DM213" s="12">
        <f t="shared" ca="1" si="369"/>
        <v>0</v>
      </c>
      <c r="DN213" s="12">
        <f t="shared" ca="1" si="369"/>
        <v>0</v>
      </c>
      <c r="DO213" s="12">
        <f t="shared" ca="1" si="369"/>
        <v>0</v>
      </c>
      <c r="DP213" s="12">
        <f t="shared" ca="1" si="369"/>
        <v>0</v>
      </c>
      <c r="DQ213" s="12">
        <f t="shared" ca="1" si="369"/>
        <v>0</v>
      </c>
      <c r="DR213" s="12">
        <f t="shared" ca="1" si="369"/>
        <v>0</v>
      </c>
      <c r="DS213" s="12">
        <f t="shared" ca="1" si="369"/>
        <v>0</v>
      </c>
      <c r="DT213" s="12">
        <f t="shared" ca="1" si="369"/>
        <v>0</v>
      </c>
      <c r="DU213" s="12">
        <f t="shared" ca="1" si="369"/>
        <v>0</v>
      </c>
      <c r="DV213" s="12">
        <f t="shared" ca="1" si="369"/>
        <v>0</v>
      </c>
      <c r="DW213" s="12">
        <f t="shared" ca="1" si="369"/>
        <v>0</v>
      </c>
      <c r="DX213" s="12">
        <f t="shared" ca="1" si="369"/>
        <v>0</v>
      </c>
      <c r="DY213" s="12">
        <f t="shared" ca="1" si="369"/>
        <v>0</v>
      </c>
      <c r="DZ213" s="12">
        <f t="shared" ca="1" si="369"/>
        <v>0</v>
      </c>
      <c r="EA213" s="12">
        <f t="shared" ca="1" si="369"/>
        <v>0</v>
      </c>
      <c r="EB213" s="12">
        <f t="shared" ca="1" si="369"/>
        <v>0</v>
      </c>
      <c r="EC213" s="12">
        <f t="shared" ca="1" si="369"/>
        <v>0</v>
      </c>
      <c r="ED213" s="12">
        <f t="shared" ca="1" si="369"/>
        <v>0</v>
      </c>
      <c r="EE213" s="12">
        <f t="shared" ca="1" si="369"/>
        <v>0</v>
      </c>
      <c r="EF213" s="12">
        <f t="shared" ca="1" si="369"/>
        <v>0</v>
      </c>
      <c r="EG213" s="12">
        <f ca="1">-SUM(EG207:EG209)*$C$188-EG199</f>
        <v>0</v>
      </c>
      <c r="EH213" s="12">
        <f ca="1">-SUM(EH207:EH209)*$C$188-EH199</f>
        <v>0</v>
      </c>
      <c r="EI213" s="12">
        <f ca="1">-SUM(EI207:EI209)*$C$188-EI199</f>
        <v>0</v>
      </c>
      <c r="EJ213" s="12">
        <f ca="1">-SUM(EJ207:EJ209)*$C$188-EJ199</f>
        <v>0</v>
      </c>
    </row>
    <row r="214" spans="2:140" x14ac:dyDescent="0.4">
      <c r="B214" s="1" t="s">
        <v>121</v>
      </c>
      <c r="H214" s="318">
        <f ca="1">MAX(SUM(H212:H213)/(1-$C204)*$C204,0)</f>
        <v>0</v>
      </c>
      <c r="I214" s="12">
        <f t="shared" ref="I214:BT214" ca="1" si="370">MAX(SUM(I212:I213)/(1-$C204)*$C204,0)</f>
        <v>0</v>
      </c>
      <c r="J214" s="12">
        <f t="shared" ca="1" si="370"/>
        <v>0</v>
      </c>
      <c r="K214" s="12">
        <f t="shared" ca="1" si="370"/>
        <v>0</v>
      </c>
      <c r="L214" s="12">
        <f t="shared" ca="1" si="370"/>
        <v>0</v>
      </c>
      <c r="M214" s="12">
        <f t="shared" ca="1" si="370"/>
        <v>0</v>
      </c>
      <c r="N214" s="12">
        <f t="shared" ca="1" si="370"/>
        <v>0</v>
      </c>
      <c r="O214" s="12">
        <f t="shared" ca="1" si="370"/>
        <v>0</v>
      </c>
      <c r="P214" s="12">
        <f t="shared" ca="1" si="370"/>
        <v>0</v>
      </c>
      <c r="Q214" s="12">
        <f t="shared" ca="1" si="370"/>
        <v>0</v>
      </c>
      <c r="R214" s="12">
        <f t="shared" ca="1" si="370"/>
        <v>0</v>
      </c>
      <c r="S214" s="12">
        <f t="shared" ca="1" si="370"/>
        <v>0</v>
      </c>
      <c r="T214" s="12">
        <f t="shared" ca="1" si="370"/>
        <v>0</v>
      </c>
      <c r="U214" s="12">
        <f t="shared" ca="1" si="370"/>
        <v>0</v>
      </c>
      <c r="V214" s="12">
        <f t="shared" ca="1" si="370"/>
        <v>0</v>
      </c>
      <c r="W214" s="12">
        <f t="shared" ca="1" si="370"/>
        <v>0</v>
      </c>
      <c r="X214" s="12">
        <f t="shared" ca="1" si="370"/>
        <v>0</v>
      </c>
      <c r="Y214" s="12">
        <f t="shared" ca="1" si="370"/>
        <v>0</v>
      </c>
      <c r="Z214" s="12">
        <f t="shared" ca="1" si="370"/>
        <v>0</v>
      </c>
      <c r="AA214" s="12">
        <f t="shared" ca="1" si="370"/>
        <v>0</v>
      </c>
      <c r="AB214" s="12">
        <f t="shared" ca="1" si="370"/>
        <v>0</v>
      </c>
      <c r="AC214" s="12">
        <f t="shared" ca="1" si="370"/>
        <v>0</v>
      </c>
      <c r="AD214" s="12">
        <f t="shared" ca="1" si="370"/>
        <v>0</v>
      </c>
      <c r="AE214" s="12">
        <f t="shared" ca="1" si="370"/>
        <v>0</v>
      </c>
      <c r="AF214" s="12">
        <f t="shared" ca="1" si="370"/>
        <v>0</v>
      </c>
      <c r="AG214" s="12">
        <f t="shared" ca="1" si="370"/>
        <v>0</v>
      </c>
      <c r="AH214" s="12">
        <f t="shared" ca="1" si="370"/>
        <v>0</v>
      </c>
      <c r="AI214" s="12">
        <f t="shared" ca="1" si="370"/>
        <v>0</v>
      </c>
      <c r="AJ214" s="12">
        <f t="shared" ca="1" si="370"/>
        <v>0</v>
      </c>
      <c r="AK214" s="12">
        <f t="shared" ca="1" si="370"/>
        <v>0</v>
      </c>
      <c r="AL214" s="12">
        <f t="shared" ca="1" si="370"/>
        <v>0</v>
      </c>
      <c r="AM214" s="12">
        <f t="shared" ca="1" si="370"/>
        <v>0</v>
      </c>
      <c r="AN214" s="12">
        <f t="shared" ca="1" si="370"/>
        <v>0</v>
      </c>
      <c r="AO214" s="12">
        <f t="shared" ca="1" si="370"/>
        <v>0</v>
      </c>
      <c r="AP214" s="12">
        <f t="shared" ca="1" si="370"/>
        <v>0</v>
      </c>
      <c r="AQ214" s="12">
        <f t="shared" ca="1" si="370"/>
        <v>0</v>
      </c>
      <c r="AR214" s="12">
        <f t="shared" ca="1" si="370"/>
        <v>709579.48011591937</v>
      </c>
      <c r="AS214" s="12">
        <f t="shared" ca="1" si="370"/>
        <v>0</v>
      </c>
      <c r="AT214" s="12">
        <f t="shared" ca="1" si="370"/>
        <v>0</v>
      </c>
      <c r="AU214" s="12">
        <f t="shared" ca="1" si="370"/>
        <v>0</v>
      </c>
      <c r="AV214" s="12">
        <f t="shared" ca="1" si="370"/>
        <v>0</v>
      </c>
      <c r="AW214" s="12">
        <f t="shared" ca="1" si="370"/>
        <v>0</v>
      </c>
      <c r="AX214" s="12">
        <f t="shared" ca="1" si="370"/>
        <v>0</v>
      </c>
      <c r="AY214" s="12">
        <f t="shared" ca="1" si="370"/>
        <v>0</v>
      </c>
      <c r="AZ214" s="12">
        <f t="shared" ca="1" si="370"/>
        <v>0</v>
      </c>
      <c r="BA214" s="12">
        <f t="shared" ca="1" si="370"/>
        <v>0</v>
      </c>
      <c r="BB214" s="12">
        <f t="shared" ca="1" si="370"/>
        <v>0</v>
      </c>
      <c r="BC214" s="12">
        <f t="shared" ca="1" si="370"/>
        <v>0</v>
      </c>
      <c r="BD214" s="12">
        <f t="shared" ca="1" si="370"/>
        <v>0</v>
      </c>
      <c r="BE214" s="12">
        <f t="shared" ca="1" si="370"/>
        <v>0</v>
      </c>
      <c r="BF214" s="12">
        <f t="shared" ca="1" si="370"/>
        <v>0</v>
      </c>
      <c r="BG214" s="12">
        <f t="shared" ca="1" si="370"/>
        <v>0</v>
      </c>
      <c r="BH214" s="12">
        <f t="shared" ca="1" si="370"/>
        <v>0</v>
      </c>
      <c r="BI214" s="12">
        <f t="shared" ca="1" si="370"/>
        <v>0</v>
      </c>
      <c r="BJ214" s="12">
        <f t="shared" ca="1" si="370"/>
        <v>0</v>
      </c>
      <c r="BK214" s="12">
        <f t="shared" ca="1" si="370"/>
        <v>0</v>
      </c>
      <c r="BL214" s="12">
        <f t="shared" ca="1" si="370"/>
        <v>0</v>
      </c>
      <c r="BM214" s="12">
        <f t="shared" ca="1" si="370"/>
        <v>0</v>
      </c>
      <c r="BN214" s="12">
        <f t="shared" ca="1" si="370"/>
        <v>0</v>
      </c>
      <c r="BO214" s="12">
        <f t="shared" ca="1" si="370"/>
        <v>0</v>
      </c>
      <c r="BP214" s="12">
        <f t="shared" ca="1" si="370"/>
        <v>0</v>
      </c>
      <c r="BQ214" s="12">
        <f t="shared" ca="1" si="370"/>
        <v>0</v>
      </c>
      <c r="BR214" s="12">
        <f t="shared" ca="1" si="370"/>
        <v>0</v>
      </c>
      <c r="BS214" s="12">
        <f t="shared" ca="1" si="370"/>
        <v>0</v>
      </c>
      <c r="BT214" s="12">
        <f t="shared" ca="1" si="370"/>
        <v>0</v>
      </c>
      <c r="BU214" s="12">
        <f t="shared" ref="BU214:EF214" ca="1" si="371">MAX(SUM(BU212:BU213)/(1-$C204)*$C204,0)</f>
        <v>0</v>
      </c>
      <c r="BV214" s="12">
        <f t="shared" ca="1" si="371"/>
        <v>0</v>
      </c>
      <c r="BW214" s="12">
        <f t="shared" ca="1" si="371"/>
        <v>0</v>
      </c>
      <c r="BX214" s="12">
        <f t="shared" ca="1" si="371"/>
        <v>0</v>
      </c>
      <c r="BY214" s="12">
        <f t="shared" ca="1" si="371"/>
        <v>0</v>
      </c>
      <c r="BZ214" s="12">
        <f t="shared" ca="1" si="371"/>
        <v>0</v>
      </c>
      <c r="CA214" s="12">
        <f t="shared" ca="1" si="371"/>
        <v>0</v>
      </c>
      <c r="CB214" s="12">
        <f t="shared" ca="1" si="371"/>
        <v>0</v>
      </c>
      <c r="CC214" s="12">
        <f t="shared" ca="1" si="371"/>
        <v>0</v>
      </c>
      <c r="CD214" s="12">
        <f t="shared" ca="1" si="371"/>
        <v>0</v>
      </c>
      <c r="CE214" s="12">
        <f t="shared" ca="1" si="371"/>
        <v>0</v>
      </c>
      <c r="CF214" s="12">
        <f t="shared" ca="1" si="371"/>
        <v>0</v>
      </c>
      <c r="CG214" s="12">
        <f t="shared" ca="1" si="371"/>
        <v>0</v>
      </c>
      <c r="CH214" s="12">
        <f t="shared" ca="1" si="371"/>
        <v>0</v>
      </c>
      <c r="CI214" s="12">
        <f t="shared" ca="1" si="371"/>
        <v>0</v>
      </c>
      <c r="CJ214" s="12">
        <f t="shared" ca="1" si="371"/>
        <v>0</v>
      </c>
      <c r="CK214" s="12">
        <f t="shared" ca="1" si="371"/>
        <v>0</v>
      </c>
      <c r="CL214" s="12">
        <f t="shared" ca="1" si="371"/>
        <v>0</v>
      </c>
      <c r="CM214" s="12">
        <f t="shared" ca="1" si="371"/>
        <v>0</v>
      </c>
      <c r="CN214" s="12">
        <f t="shared" ca="1" si="371"/>
        <v>0</v>
      </c>
      <c r="CO214" s="12">
        <f t="shared" ca="1" si="371"/>
        <v>0</v>
      </c>
      <c r="CP214" s="12">
        <f t="shared" ca="1" si="371"/>
        <v>0</v>
      </c>
      <c r="CQ214" s="12">
        <f t="shared" ca="1" si="371"/>
        <v>0</v>
      </c>
      <c r="CR214" s="12">
        <f t="shared" ca="1" si="371"/>
        <v>0</v>
      </c>
      <c r="CS214" s="12">
        <f t="shared" ca="1" si="371"/>
        <v>0</v>
      </c>
      <c r="CT214" s="12">
        <f t="shared" ca="1" si="371"/>
        <v>0</v>
      </c>
      <c r="CU214" s="12">
        <f t="shared" ca="1" si="371"/>
        <v>0</v>
      </c>
      <c r="CV214" s="12">
        <f t="shared" ca="1" si="371"/>
        <v>0</v>
      </c>
      <c r="CW214" s="12">
        <f t="shared" ca="1" si="371"/>
        <v>0</v>
      </c>
      <c r="CX214" s="12">
        <f t="shared" ca="1" si="371"/>
        <v>0</v>
      </c>
      <c r="CY214" s="12">
        <f t="shared" ca="1" si="371"/>
        <v>0</v>
      </c>
      <c r="CZ214" s="12">
        <f t="shared" ca="1" si="371"/>
        <v>0</v>
      </c>
      <c r="DA214" s="12">
        <f t="shared" ca="1" si="371"/>
        <v>0</v>
      </c>
      <c r="DB214" s="12">
        <f t="shared" ca="1" si="371"/>
        <v>0</v>
      </c>
      <c r="DC214" s="12">
        <f t="shared" ca="1" si="371"/>
        <v>0</v>
      </c>
      <c r="DD214" s="12">
        <f t="shared" ca="1" si="371"/>
        <v>0</v>
      </c>
      <c r="DE214" s="12">
        <f t="shared" ca="1" si="371"/>
        <v>0</v>
      </c>
      <c r="DF214" s="12">
        <f t="shared" ca="1" si="371"/>
        <v>0</v>
      </c>
      <c r="DG214" s="12">
        <f t="shared" ca="1" si="371"/>
        <v>0</v>
      </c>
      <c r="DH214" s="12">
        <f t="shared" ca="1" si="371"/>
        <v>0</v>
      </c>
      <c r="DI214" s="12">
        <f t="shared" ca="1" si="371"/>
        <v>0</v>
      </c>
      <c r="DJ214" s="12">
        <f t="shared" ca="1" si="371"/>
        <v>0</v>
      </c>
      <c r="DK214" s="12">
        <f t="shared" ca="1" si="371"/>
        <v>0</v>
      </c>
      <c r="DL214" s="12">
        <f t="shared" ca="1" si="371"/>
        <v>0</v>
      </c>
      <c r="DM214" s="12">
        <f t="shared" ca="1" si="371"/>
        <v>0</v>
      </c>
      <c r="DN214" s="12">
        <f t="shared" ca="1" si="371"/>
        <v>0</v>
      </c>
      <c r="DO214" s="12">
        <f t="shared" ca="1" si="371"/>
        <v>0</v>
      </c>
      <c r="DP214" s="12">
        <f t="shared" ca="1" si="371"/>
        <v>0</v>
      </c>
      <c r="DQ214" s="12">
        <f t="shared" ca="1" si="371"/>
        <v>0</v>
      </c>
      <c r="DR214" s="12">
        <f t="shared" ca="1" si="371"/>
        <v>0</v>
      </c>
      <c r="DS214" s="12">
        <f t="shared" ca="1" si="371"/>
        <v>0</v>
      </c>
      <c r="DT214" s="12">
        <f t="shared" ca="1" si="371"/>
        <v>0</v>
      </c>
      <c r="DU214" s="12">
        <f t="shared" ca="1" si="371"/>
        <v>0</v>
      </c>
      <c r="DV214" s="12">
        <f t="shared" ca="1" si="371"/>
        <v>0</v>
      </c>
      <c r="DW214" s="12">
        <f t="shared" ca="1" si="371"/>
        <v>0</v>
      </c>
      <c r="DX214" s="12">
        <f t="shared" ca="1" si="371"/>
        <v>0</v>
      </c>
      <c r="DY214" s="12">
        <f t="shared" ca="1" si="371"/>
        <v>0</v>
      </c>
      <c r="DZ214" s="12">
        <f t="shared" ca="1" si="371"/>
        <v>0</v>
      </c>
      <c r="EA214" s="12">
        <f t="shared" ca="1" si="371"/>
        <v>0</v>
      </c>
      <c r="EB214" s="12">
        <f t="shared" ca="1" si="371"/>
        <v>0</v>
      </c>
      <c r="EC214" s="12">
        <f t="shared" ca="1" si="371"/>
        <v>0</v>
      </c>
      <c r="ED214" s="12">
        <f t="shared" ca="1" si="371"/>
        <v>0</v>
      </c>
      <c r="EE214" s="12">
        <f t="shared" ca="1" si="371"/>
        <v>0</v>
      </c>
      <c r="EF214" s="12">
        <f t="shared" ca="1" si="371"/>
        <v>0</v>
      </c>
      <c r="EG214" s="12">
        <f ca="1">MAX(SUM(EG212:EG213)/(1-$C204)*$C204,0)</f>
        <v>0</v>
      </c>
      <c r="EH214" s="12">
        <f ca="1">MAX(SUM(EH212:EH213)/(1-$C204)*$C204,0)</f>
        <v>0</v>
      </c>
      <c r="EI214" s="12">
        <f ca="1">MAX(SUM(EI212:EI213)/(1-$C204)*$C204,0)</f>
        <v>0</v>
      </c>
      <c r="EJ214" s="12">
        <f ca="1">MAX(SUM(EJ212:EJ213)/(1-$C204)*$C204,0)</f>
        <v>0</v>
      </c>
    </row>
    <row r="215" spans="2:140" x14ac:dyDescent="0.4">
      <c r="H215" s="316"/>
    </row>
    <row r="216" spans="2:140" x14ac:dyDescent="0.4">
      <c r="B216" s="1" t="s">
        <v>110</v>
      </c>
      <c r="C216" s="320" t="str">
        <f ca="1">IF(ROUND(XIRR(H216:EJ216,$H$6:$EJ$6),3)=C203,"Ok","Check")</f>
        <v>Ok</v>
      </c>
      <c r="H216" s="318">
        <f ca="1">H212+H198</f>
        <v>-5490000</v>
      </c>
      <c r="I216" s="12">
        <f t="shared" ref="I216:BT217" ca="1" si="372">I198+I212</f>
        <v>0</v>
      </c>
      <c r="J216" s="12">
        <f t="shared" ca="1" si="372"/>
        <v>0</v>
      </c>
      <c r="K216" s="12">
        <f t="shared" ca="1" si="372"/>
        <v>-324450</v>
      </c>
      <c r="L216" s="12">
        <f t="shared" ca="1" si="372"/>
        <v>-324450</v>
      </c>
      <c r="M216" s="12">
        <f t="shared" ca="1" si="372"/>
        <v>-324450</v>
      </c>
      <c r="N216" s="12">
        <f t="shared" ca="1" si="372"/>
        <v>-324450</v>
      </c>
      <c r="O216" s="12">
        <f t="shared" ca="1" si="372"/>
        <v>-2827575</v>
      </c>
      <c r="P216" s="12">
        <f t="shared" ca="1" si="372"/>
        <v>-2827575</v>
      </c>
      <c r="Q216" s="12">
        <f t="shared" ca="1" si="372"/>
        <v>-2827575</v>
      </c>
      <c r="R216" s="12">
        <f t="shared" ca="1" si="372"/>
        <v>-1600604.9994850091</v>
      </c>
      <c r="S216" s="12">
        <f t="shared" ca="1" si="372"/>
        <v>0</v>
      </c>
      <c r="T216" s="12">
        <f t="shared" ca="1" si="372"/>
        <v>0</v>
      </c>
      <c r="U216" s="12">
        <f t="shared" ca="1" si="372"/>
        <v>0</v>
      </c>
      <c r="V216" s="12">
        <f t="shared" ca="1" si="372"/>
        <v>0</v>
      </c>
      <c r="W216" s="12">
        <f t="shared" ca="1" si="372"/>
        <v>0</v>
      </c>
      <c r="X216" s="12">
        <f t="shared" ca="1" si="372"/>
        <v>0</v>
      </c>
      <c r="Y216" s="12">
        <f t="shared" ca="1" si="372"/>
        <v>-3375</v>
      </c>
      <c r="Z216" s="12">
        <f t="shared" ca="1" si="372"/>
        <v>1963.9034777278082</v>
      </c>
      <c r="AA216" s="12">
        <f t="shared" ca="1" si="372"/>
        <v>32437.528027416487</v>
      </c>
      <c r="AB216" s="12">
        <f t="shared" ca="1" si="372"/>
        <v>63012.71649531713</v>
      </c>
      <c r="AC216" s="12">
        <f t="shared" ca="1" si="372"/>
        <v>93689.722778865704</v>
      </c>
      <c r="AD216" s="12">
        <f t="shared" ca="1" si="372"/>
        <v>124468.80133969621</v>
      </c>
      <c r="AE216" s="12">
        <f t="shared" ca="1" si="372"/>
        <v>14412.007204846086</v>
      </c>
      <c r="AF216" s="12">
        <f t="shared" ca="1" si="372"/>
        <v>40551.42596786948</v>
      </c>
      <c r="AG216" s="12">
        <f t="shared" ca="1" si="372"/>
        <v>78194.739026057461</v>
      </c>
      <c r="AH216" s="12">
        <f t="shared" ca="1" si="372"/>
        <v>124378.38420954735</v>
      </c>
      <c r="AI216" s="12">
        <f t="shared" ca="1" si="372"/>
        <v>110743.84759994449</v>
      </c>
      <c r="AJ216" s="12">
        <f t="shared" ca="1" si="372"/>
        <v>115972.83865820078</v>
      </c>
      <c r="AK216" s="12">
        <f t="shared" ca="1" si="372"/>
        <v>111808.29151983473</v>
      </c>
      <c r="AL216" s="12">
        <f t="shared" ca="1" si="372"/>
        <v>117085.88033073113</v>
      </c>
      <c r="AM216" s="12">
        <f t="shared" ca="1" si="372"/>
        <v>112914.38924716647</v>
      </c>
      <c r="AN216" s="12">
        <f t="shared" ca="1" si="372"/>
        <v>144358.31152053524</v>
      </c>
      <c r="AO216" s="12">
        <f t="shared" ca="1" si="372"/>
        <v>149754.92405628873</v>
      </c>
      <c r="AP216" s="12">
        <f t="shared" ca="1" si="372"/>
        <v>145670.98200626823</v>
      </c>
      <c r="AQ216" s="12">
        <f t="shared" ca="1" si="372"/>
        <v>151104.53005052253</v>
      </c>
      <c r="AR216" s="12">
        <f t="shared" ca="1" si="372"/>
        <v>22258044.902304593</v>
      </c>
      <c r="AS216" s="12">
        <f t="shared" ca="1" si="372"/>
        <v>0</v>
      </c>
      <c r="AT216" s="12">
        <f t="shared" ca="1" si="372"/>
        <v>0</v>
      </c>
      <c r="AU216" s="12">
        <f t="shared" ca="1" si="372"/>
        <v>0</v>
      </c>
      <c r="AV216" s="12">
        <f t="shared" ca="1" si="372"/>
        <v>0</v>
      </c>
      <c r="AW216" s="12">
        <f t="shared" ca="1" si="372"/>
        <v>0</v>
      </c>
      <c r="AX216" s="12">
        <f t="shared" ca="1" si="372"/>
        <v>0</v>
      </c>
      <c r="AY216" s="12">
        <f t="shared" ca="1" si="372"/>
        <v>0</v>
      </c>
      <c r="AZ216" s="12">
        <f t="shared" ca="1" si="372"/>
        <v>0</v>
      </c>
      <c r="BA216" s="12">
        <f t="shared" ca="1" si="372"/>
        <v>0</v>
      </c>
      <c r="BB216" s="12">
        <f t="shared" ca="1" si="372"/>
        <v>0</v>
      </c>
      <c r="BC216" s="12">
        <f t="shared" ca="1" si="372"/>
        <v>0</v>
      </c>
      <c r="BD216" s="12">
        <f t="shared" ca="1" si="372"/>
        <v>0</v>
      </c>
      <c r="BE216" s="12">
        <f t="shared" ca="1" si="372"/>
        <v>0</v>
      </c>
      <c r="BF216" s="12">
        <f t="shared" ca="1" si="372"/>
        <v>0</v>
      </c>
      <c r="BG216" s="12">
        <f t="shared" ca="1" si="372"/>
        <v>0</v>
      </c>
      <c r="BH216" s="12">
        <f t="shared" ca="1" si="372"/>
        <v>0</v>
      </c>
      <c r="BI216" s="12">
        <f t="shared" ca="1" si="372"/>
        <v>0</v>
      </c>
      <c r="BJ216" s="12">
        <f t="shared" ca="1" si="372"/>
        <v>0</v>
      </c>
      <c r="BK216" s="12">
        <f t="shared" ca="1" si="372"/>
        <v>0</v>
      </c>
      <c r="BL216" s="12">
        <f t="shared" ca="1" si="372"/>
        <v>0</v>
      </c>
      <c r="BM216" s="12">
        <f t="shared" ca="1" si="372"/>
        <v>0</v>
      </c>
      <c r="BN216" s="12">
        <f t="shared" ca="1" si="372"/>
        <v>0</v>
      </c>
      <c r="BO216" s="12">
        <f t="shared" ca="1" si="372"/>
        <v>0</v>
      </c>
      <c r="BP216" s="12">
        <f t="shared" ca="1" si="372"/>
        <v>0</v>
      </c>
      <c r="BQ216" s="12">
        <f t="shared" ca="1" si="372"/>
        <v>0</v>
      </c>
      <c r="BR216" s="12">
        <f t="shared" ca="1" si="372"/>
        <v>0</v>
      </c>
      <c r="BS216" s="12">
        <f t="shared" ca="1" si="372"/>
        <v>0</v>
      </c>
      <c r="BT216" s="12">
        <f t="shared" ca="1" si="372"/>
        <v>0</v>
      </c>
      <c r="BU216" s="12">
        <f t="shared" ref="BU216:EF217" ca="1" si="373">BU198+BU212</f>
        <v>0</v>
      </c>
      <c r="BV216" s="12">
        <f t="shared" ca="1" si="373"/>
        <v>0</v>
      </c>
      <c r="BW216" s="12">
        <f t="shared" ca="1" si="373"/>
        <v>0</v>
      </c>
      <c r="BX216" s="12">
        <f t="shared" ca="1" si="373"/>
        <v>0</v>
      </c>
      <c r="BY216" s="12">
        <f t="shared" ca="1" si="373"/>
        <v>0</v>
      </c>
      <c r="BZ216" s="12">
        <f t="shared" ca="1" si="373"/>
        <v>0</v>
      </c>
      <c r="CA216" s="12">
        <f t="shared" ca="1" si="373"/>
        <v>0</v>
      </c>
      <c r="CB216" s="12">
        <f t="shared" ca="1" si="373"/>
        <v>0</v>
      </c>
      <c r="CC216" s="12">
        <f t="shared" ca="1" si="373"/>
        <v>0</v>
      </c>
      <c r="CD216" s="12">
        <f t="shared" ca="1" si="373"/>
        <v>0</v>
      </c>
      <c r="CE216" s="12">
        <f t="shared" ca="1" si="373"/>
        <v>0</v>
      </c>
      <c r="CF216" s="12">
        <f t="shared" ca="1" si="373"/>
        <v>0</v>
      </c>
      <c r="CG216" s="12">
        <f t="shared" ca="1" si="373"/>
        <v>0</v>
      </c>
      <c r="CH216" s="12">
        <f t="shared" ca="1" si="373"/>
        <v>0</v>
      </c>
      <c r="CI216" s="12">
        <f t="shared" ca="1" si="373"/>
        <v>0</v>
      </c>
      <c r="CJ216" s="12">
        <f t="shared" ca="1" si="373"/>
        <v>0</v>
      </c>
      <c r="CK216" s="12">
        <f t="shared" ca="1" si="373"/>
        <v>0</v>
      </c>
      <c r="CL216" s="12">
        <f t="shared" ca="1" si="373"/>
        <v>0</v>
      </c>
      <c r="CM216" s="12">
        <f t="shared" ca="1" si="373"/>
        <v>0</v>
      </c>
      <c r="CN216" s="12">
        <f t="shared" ca="1" si="373"/>
        <v>0</v>
      </c>
      <c r="CO216" s="12">
        <f t="shared" ca="1" si="373"/>
        <v>0</v>
      </c>
      <c r="CP216" s="12">
        <f t="shared" ca="1" si="373"/>
        <v>0</v>
      </c>
      <c r="CQ216" s="12">
        <f t="shared" ca="1" si="373"/>
        <v>0</v>
      </c>
      <c r="CR216" s="12">
        <f t="shared" ca="1" si="373"/>
        <v>0</v>
      </c>
      <c r="CS216" s="12">
        <f t="shared" ca="1" si="373"/>
        <v>0</v>
      </c>
      <c r="CT216" s="12">
        <f t="shared" ca="1" si="373"/>
        <v>0</v>
      </c>
      <c r="CU216" s="12">
        <f t="shared" ca="1" si="373"/>
        <v>0</v>
      </c>
      <c r="CV216" s="12">
        <f t="shared" ca="1" si="373"/>
        <v>0</v>
      </c>
      <c r="CW216" s="12">
        <f t="shared" ca="1" si="373"/>
        <v>0</v>
      </c>
      <c r="CX216" s="12">
        <f t="shared" ca="1" si="373"/>
        <v>0</v>
      </c>
      <c r="CY216" s="12">
        <f t="shared" ca="1" si="373"/>
        <v>0</v>
      </c>
      <c r="CZ216" s="12">
        <f t="shared" ca="1" si="373"/>
        <v>0</v>
      </c>
      <c r="DA216" s="12">
        <f t="shared" ca="1" si="373"/>
        <v>0</v>
      </c>
      <c r="DB216" s="12">
        <f t="shared" ca="1" si="373"/>
        <v>0</v>
      </c>
      <c r="DC216" s="12">
        <f t="shared" ca="1" si="373"/>
        <v>0</v>
      </c>
      <c r="DD216" s="12">
        <f t="shared" ca="1" si="373"/>
        <v>0</v>
      </c>
      <c r="DE216" s="12">
        <f t="shared" ca="1" si="373"/>
        <v>0</v>
      </c>
      <c r="DF216" s="12">
        <f t="shared" ca="1" si="373"/>
        <v>0</v>
      </c>
      <c r="DG216" s="12">
        <f t="shared" ca="1" si="373"/>
        <v>0</v>
      </c>
      <c r="DH216" s="12">
        <f t="shared" ca="1" si="373"/>
        <v>0</v>
      </c>
      <c r="DI216" s="12">
        <f t="shared" ca="1" si="373"/>
        <v>0</v>
      </c>
      <c r="DJ216" s="12">
        <f t="shared" ca="1" si="373"/>
        <v>0</v>
      </c>
      <c r="DK216" s="12">
        <f t="shared" ca="1" si="373"/>
        <v>0</v>
      </c>
      <c r="DL216" s="12">
        <f t="shared" ca="1" si="373"/>
        <v>0</v>
      </c>
      <c r="DM216" s="12">
        <f t="shared" ca="1" si="373"/>
        <v>0</v>
      </c>
      <c r="DN216" s="12">
        <f t="shared" ca="1" si="373"/>
        <v>0</v>
      </c>
      <c r="DO216" s="12">
        <f t="shared" ca="1" si="373"/>
        <v>0</v>
      </c>
      <c r="DP216" s="12">
        <f t="shared" ca="1" si="373"/>
        <v>0</v>
      </c>
      <c r="DQ216" s="12">
        <f t="shared" ca="1" si="373"/>
        <v>0</v>
      </c>
      <c r="DR216" s="12">
        <f t="shared" ca="1" si="373"/>
        <v>0</v>
      </c>
      <c r="DS216" s="12">
        <f t="shared" ca="1" si="373"/>
        <v>0</v>
      </c>
      <c r="DT216" s="12">
        <f t="shared" ca="1" si="373"/>
        <v>0</v>
      </c>
      <c r="DU216" s="12">
        <f t="shared" ca="1" si="373"/>
        <v>0</v>
      </c>
      <c r="DV216" s="12">
        <f t="shared" ca="1" si="373"/>
        <v>0</v>
      </c>
      <c r="DW216" s="12">
        <f t="shared" ca="1" si="373"/>
        <v>0</v>
      </c>
      <c r="DX216" s="12">
        <f t="shared" ca="1" si="373"/>
        <v>0</v>
      </c>
      <c r="DY216" s="12">
        <f t="shared" ca="1" si="373"/>
        <v>0</v>
      </c>
      <c r="DZ216" s="12">
        <f t="shared" ca="1" si="373"/>
        <v>0</v>
      </c>
      <c r="EA216" s="12">
        <f t="shared" ca="1" si="373"/>
        <v>0</v>
      </c>
      <c r="EB216" s="12">
        <f t="shared" ca="1" si="373"/>
        <v>0</v>
      </c>
      <c r="EC216" s="12">
        <f t="shared" ca="1" si="373"/>
        <v>0</v>
      </c>
      <c r="ED216" s="12">
        <f t="shared" ca="1" si="373"/>
        <v>0</v>
      </c>
      <c r="EE216" s="12">
        <f t="shared" ca="1" si="373"/>
        <v>0</v>
      </c>
      <c r="EF216" s="12">
        <f t="shared" ca="1" si="373"/>
        <v>0</v>
      </c>
      <c r="EG216" s="12">
        <f t="shared" ref="EG216:EJ217" ca="1" si="374">EG198+EG212</f>
        <v>0</v>
      </c>
      <c r="EH216" s="12">
        <f t="shared" ca="1" si="374"/>
        <v>0</v>
      </c>
      <c r="EI216" s="12">
        <f t="shared" ca="1" si="374"/>
        <v>0</v>
      </c>
      <c r="EJ216" s="12">
        <f t="shared" ca="1" si="374"/>
        <v>0</v>
      </c>
    </row>
    <row r="217" spans="2:140" x14ac:dyDescent="0.4">
      <c r="B217" s="1" t="s">
        <v>114</v>
      </c>
      <c r="C217" s="320" t="str">
        <f ca="1">IF(ROUND(XIRR(H217:EJ217,$H$6:$EJ$6),3)=C203,"Ok","Check")</f>
        <v>Ok</v>
      </c>
      <c r="H217" s="318">
        <f ca="1">H213+H199</f>
        <v>-610000</v>
      </c>
      <c r="I217" s="12">
        <f t="shared" ca="1" si="372"/>
        <v>0</v>
      </c>
      <c r="J217" s="12">
        <f t="shared" ca="1" si="372"/>
        <v>0</v>
      </c>
      <c r="K217" s="12">
        <f t="shared" ca="1" si="372"/>
        <v>-36050</v>
      </c>
      <c r="L217" s="12">
        <f t="shared" ca="1" si="372"/>
        <v>-36050</v>
      </c>
      <c r="M217" s="12">
        <f t="shared" ca="1" si="372"/>
        <v>-36050</v>
      </c>
      <c r="N217" s="12">
        <f t="shared" ca="1" si="372"/>
        <v>-36050</v>
      </c>
      <c r="O217" s="12">
        <f t="shared" ca="1" si="372"/>
        <v>-314175</v>
      </c>
      <c r="P217" s="12">
        <f t="shared" ca="1" si="372"/>
        <v>-314175</v>
      </c>
      <c r="Q217" s="12">
        <f t="shared" ca="1" si="372"/>
        <v>-314175</v>
      </c>
      <c r="R217" s="12">
        <f t="shared" ca="1" si="372"/>
        <v>-177844.99994277881</v>
      </c>
      <c r="S217" s="12">
        <f t="shared" ca="1" si="372"/>
        <v>0</v>
      </c>
      <c r="T217" s="12">
        <f t="shared" ca="1" si="372"/>
        <v>0</v>
      </c>
      <c r="U217" s="12">
        <f t="shared" ca="1" si="372"/>
        <v>0</v>
      </c>
      <c r="V217" s="12">
        <f t="shared" ca="1" si="372"/>
        <v>0</v>
      </c>
      <c r="W217" s="12">
        <f t="shared" ca="1" si="372"/>
        <v>0</v>
      </c>
      <c r="X217" s="12">
        <f t="shared" ca="1" si="372"/>
        <v>0</v>
      </c>
      <c r="Y217" s="12">
        <f t="shared" ca="1" si="372"/>
        <v>-375</v>
      </c>
      <c r="Z217" s="12">
        <f t="shared" ca="1" si="372"/>
        <v>218.21149752531201</v>
      </c>
      <c r="AA217" s="12">
        <f t="shared" ca="1" si="372"/>
        <v>3604.1697808240542</v>
      </c>
      <c r="AB217" s="12">
        <f t="shared" ca="1" si="372"/>
        <v>7001.412943924126</v>
      </c>
      <c r="AC217" s="12">
        <f t="shared" ca="1" si="372"/>
        <v>10409.969197651744</v>
      </c>
      <c r="AD217" s="12">
        <f t="shared" ca="1" si="372"/>
        <v>13829.866815521802</v>
      </c>
      <c r="AE217" s="12">
        <f t="shared" ca="1" si="372"/>
        <v>1601.3341338717873</v>
      </c>
      <c r="AF217" s="12">
        <f t="shared" ca="1" si="372"/>
        <v>4505.7139964299422</v>
      </c>
      <c r="AG217" s="12">
        <f t="shared" ca="1" si="372"/>
        <v>8688.3043362286062</v>
      </c>
      <c r="AH217" s="12">
        <f t="shared" ca="1" si="372"/>
        <v>13819.820467727484</v>
      </c>
      <c r="AI217" s="12">
        <f t="shared" ca="1" si="372"/>
        <v>12304.871955549388</v>
      </c>
      <c r="AJ217" s="12">
        <f t="shared" ca="1" si="372"/>
        <v>12885.870962022309</v>
      </c>
      <c r="AK217" s="12">
        <f t="shared" ca="1" si="372"/>
        <v>12423.143502203859</v>
      </c>
      <c r="AL217" s="12">
        <f t="shared" ca="1" si="372"/>
        <v>13009.542258970127</v>
      </c>
      <c r="AM217" s="12">
        <f t="shared" ca="1" si="372"/>
        <v>12546.043249685164</v>
      </c>
      <c r="AN217" s="12">
        <f t="shared" ca="1" si="372"/>
        <v>16039.812391170581</v>
      </c>
      <c r="AO217" s="12">
        <f t="shared" ca="1" si="372"/>
        <v>16639.436006254306</v>
      </c>
      <c r="AP217" s="12">
        <f t="shared" ca="1" si="372"/>
        <v>16185.664667363137</v>
      </c>
      <c r="AQ217" s="12">
        <f t="shared" ca="1" si="372"/>
        <v>16789.392227835837</v>
      </c>
      <c r="AR217" s="12">
        <f t="shared" ca="1" si="372"/>
        <v>2473116.1002560663</v>
      </c>
      <c r="AS217" s="12">
        <f t="shared" ca="1" si="372"/>
        <v>0</v>
      </c>
      <c r="AT217" s="12">
        <f t="shared" ca="1" si="372"/>
        <v>0</v>
      </c>
      <c r="AU217" s="12">
        <f t="shared" ca="1" si="372"/>
        <v>0</v>
      </c>
      <c r="AV217" s="12">
        <f t="shared" ca="1" si="372"/>
        <v>0</v>
      </c>
      <c r="AW217" s="12">
        <f t="shared" ca="1" si="372"/>
        <v>0</v>
      </c>
      <c r="AX217" s="12">
        <f t="shared" ca="1" si="372"/>
        <v>0</v>
      </c>
      <c r="AY217" s="12">
        <f t="shared" ca="1" si="372"/>
        <v>0</v>
      </c>
      <c r="AZ217" s="12">
        <f t="shared" ca="1" si="372"/>
        <v>0</v>
      </c>
      <c r="BA217" s="12">
        <f t="shared" ca="1" si="372"/>
        <v>0</v>
      </c>
      <c r="BB217" s="12">
        <f t="shared" ca="1" si="372"/>
        <v>0</v>
      </c>
      <c r="BC217" s="12">
        <f t="shared" ca="1" si="372"/>
        <v>0</v>
      </c>
      <c r="BD217" s="12">
        <f t="shared" ca="1" si="372"/>
        <v>0</v>
      </c>
      <c r="BE217" s="12">
        <f t="shared" ca="1" si="372"/>
        <v>0</v>
      </c>
      <c r="BF217" s="12">
        <f t="shared" ca="1" si="372"/>
        <v>0</v>
      </c>
      <c r="BG217" s="12">
        <f t="shared" ca="1" si="372"/>
        <v>0</v>
      </c>
      <c r="BH217" s="12">
        <f t="shared" ca="1" si="372"/>
        <v>0</v>
      </c>
      <c r="BI217" s="12">
        <f t="shared" ca="1" si="372"/>
        <v>0</v>
      </c>
      <c r="BJ217" s="12">
        <f t="shared" ca="1" si="372"/>
        <v>0</v>
      </c>
      <c r="BK217" s="12">
        <f t="shared" ca="1" si="372"/>
        <v>0</v>
      </c>
      <c r="BL217" s="12">
        <f t="shared" ca="1" si="372"/>
        <v>0</v>
      </c>
      <c r="BM217" s="12">
        <f t="shared" ca="1" si="372"/>
        <v>0</v>
      </c>
      <c r="BN217" s="12">
        <f t="shared" ca="1" si="372"/>
        <v>0</v>
      </c>
      <c r="BO217" s="12">
        <f t="shared" ca="1" si="372"/>
        <v>0</v>
      </c>
      <c r="BP217" s="12">
        <f t="shared" ca="1" si="372"/>
        <v>0</v>
      </c>
      <c r="BQ217" s="12">
        <f t="shared" ca="1" si="372"/>
        <v>0</v>
      </c>
      <c r="BR217" s="12">
        <f t="shared" ca="1" si="372"/>
        <v>0</v>
      </c>
      <c r="BS217" s="12">
        <f t="shared" ca="1" si="372"/>
        <v>0</v>
      </c>
      <c r="BT217" s="12">
        <f t="shared" ca="1" si="372"/>
        <v>0</v>
      </c>
      <c r="BU217" s="12">
        <f t="shared" ca="1" si="373"/>
        <v>0</v>
      </c>
      <c r="BV217" s="12">
        <f t="shared" ca="1" si="373"/>
        <v>0</v>
      </c>
      <c r="BW217" s="12">
        <f t="shared" ca="1" si="373"/>
        <v>0</v>
      </c>
      <c r="BX217" s="12">
        <f t="shared" ca="1" si="373"/>
        <v>0</v>
      </c>
      <c r="BY217" s="12">
        <f t="shared" ca="1" si="373"/>
        <v>0</v>
      </c>
      <c r="BZ217" s="12">
        <f t="shared" ca="1" si="373"/>
        <v>0</v>
      </c>
      <c r="CA217" s="12">
        <f t="shared" ca="1" si="373"/>
        <v>0</v>
      </c>
      <c r="CB217" s="12">
        <f t="shared" ca="1" si="373"/>
        <v>0</v>
      </c>
      <c r="CC217" s="12">
        <f t="shared" ca="1" si="373"/>
        <v>0</v>
      </c>
      <c r="CD217" s="12">
        <f t="shared" ca="1" si="373"/>
        <v>0</v>
      </c>
      <c r="CE217" s="12">
        <f t="shared" ca="1" si="373"/>
        <v>0</v>
      </c>
      <c r="CF217" s="12">
        <f t="shared" ca="1" si="373"/>
        <v>0</v>
      </c>
      <c r="CG217" s="12">
        <f t="shared" ca="1" si="373"/>
        <v>0</v>
      </c>
      <c r="CH217" s="12">
        <f t="shared" ca="1" si="373"/>
        <v>0</v>
      </c>
      <c r="CI217" s="12">
        <f t="shared" ca="1" si="373"/>
        <v>0</v>
      </c>
      <c r="CJ217" s="12">
        <f t="shared" ca="1" si="373"/>
        <v>0</v>
      </c>
      <c r="CK217" s="12">
        <f t="shared" ca="1" si="373"/>
        <v>0</v>
      </c>
      <c r="CL217" s="12">
        <f t="shared" ca="1" si="373"/>
        <v>0</v>
      </c>
      <c r="CM217" s="12">
        <f t="shared" ca="1" si="373"/>
        <v>0</v>
      </c>
      <c r="CN217" s="12">
        <f t="shared" ca="1" si="373"/>
        <v>0</v>
      </c>
      <c r="CO217" s="12">
        <f t="shared" ca="1" si="373"/>
        <v>0</v>
      </c>
      <c r="CP217" s="12">
        <f t="shared" ca="1" si="373"/>
        <v>0</v>
      </c>
      <c r="CQ217" s="12">
        <f t="shared" ca="1" si="373"/>
        <v>0</v>
      </c>
      <c r="CR217" s="12">
        <f t="shared" ca="1" si="373"/>
        <v>0</v>
      </c>
      <c r="CS217" s="12">
        <f t="shared" ca="1" si="373"/>
        <v>0</v>
      </c>
      <c r="CT217" s="12">
        <f t="shared" ca="1" si="373"/>
        <v>0</v>
      </c>
      <c r="CU217" s="12">
        <f t="shared" ca="1" si="373"/>
        <v>0</v>
      </c>
      <c r="CV217" s="12">
        <f t="shared" ca="1" si="373"/>
        <v>0</v>
      </c>
      <c r="CW217" s="12">
        <f t="shared" ca="1" si="373"/>
        <v>0</v>
      </c>
      <c r="CX217" s="12">
        <f t="shared" ca="1" si="373"/>
        <v>0</v>
      </c>
      <c r="CY217" s="12">
        <f t="shared" ca="1" si="373"/>
        <v>0</v>
      </c>
      <c r="CZ217" s="12">
        <f t="shared" ca="1" si="373"/>
        <v>0</v>
      </c>
      <c r="DA217" s="12">
        <f t="shared" ca="1" si="373"/>
        <v>0</v>
      </c>
      <c r="DB217" s="12">
        <f t="shared" ca="1" si="373"/>
        <v>0</v>
      </c>
      <c r="DC217" s="12">
        <f t="shared" ca="1" si="373"/>
        <v>0</v>
      </c>
      <c r="DD217" s="12">
        <f t="shared" ca="1" si="373"/>
        <v>0</v>
      </c>
      <c r="DE217" s="12">
        <f t="shared" ca="1" si="373"/>
        <v>0</v>
      </c>
      <c r="DF217" s="12">
        <f t="shared" ca="1" si="373"/>
        <v>0</v>
      </c>
      <c r="DG217" s="12">
        <f t="shared" ca="1" si="373"/>
        <v>0</v>
      </c>
      <c r="DH217" s="12">
        <f t="shared" ca="1" si="373"/>
        <v>0</v>
      </c>
      <c r="DI217" s="12">
        <f t="shared" ca="1" si="373"/>
        <v>0</v>
      </c>
      <c r="DJ217" s="12">
        <f t="shared" ca="1" si="373"/>
        <v>0</v>
      </c>
      <c r="DK217" s="12">
        <f t="shared" ca="1" si="373"/>
        <v>0</v>
      </c>
      <c r="DL217" s="12">
        <f t="shared" ca="1" si="373"/>
        <v>0</v>
      </c>
      <c r="DM217" s="12">
        <f t="shared" ca="1" si="373"/>
        <v>0</v>
      </c>
      <c r="DN217" s="12">
        <f t="shared" ca="1" si="373"/>
        <v>0</v>
      </c>
      <c r="DO217" s="12">
        <f t="shared" ca="1" si="373"/>
        <v>0</v>
      </c>
      <c r="DP217" s="12">
        <f t="shared" ca="1" si="373"/>
        <v>0</v>
      </c>
      <c r="DQ217" s="12">
        <f t="shared" ca="1" si="373"/>
        <v>0</v>
      </c>
      <c r="DR217" s="12">
        <f t="shared" ca="1" si="373"/>
        <v>0</v>
      </c>
      <c r="DS217" s="12">
        <f t="shared" ca="1" si="373"/>
        <v>0</v>
      </c>
      <c r="DT217" s="12">
        <f t="shared" ca="1" si="373"/>
        <v>0</v>
      </c>
      <c r="DU217" s="12">
        <f t="shared" ca="1" si="373"/>
        <v>0</v>
      </c>
      <c r="DV217" s="12">
        <f t="shared" ca="1" si="373"/>
        <v>0</v>
      </c>
      <c r="DW217" s="12">
        <f t="shared" ca="1" si="373"/>
        <v>0</v>
      </c>
      <c r="DX217" s="12">
        <f t="shared" ca="1" si="373"/>
        <v>0</v>
      </c>
      <c r="DY217" s="12">
        <f t="shared" ca="1" si="373"/>
        <v>0</v>
      </c>
      <c r="DZ217" s="12">
        <f t="shared" ca="1" si="373"/>
        <v>0</v>
      </c>
      <c r="EA217" s="12">
        <f t="shared" ca="1" si="373"/>
        <v>0</v>
      </c>
      <c r="EB217" s="12">
        <f t="shared" ca="1" si="373"/>
        <v>0</v>
      </c>
      <c r="EC217" s="12">
        <f t="shared" ca="1" si="373"/>
        <v>0</v>
      </c>
      <c r="ED217" s="12">
        <f t="shared" ca="1" si="373"/>
        <v>0</v>
      </c>
      <c r="EE217" s="12">
        <f t="shared" ca="1" si="373"/>
        <v>0</v>
      </c>
      <c r="EF217" s="12">
        <f t="shared" ca="1" si="373"/>
        <v>0</v>
      </c>
      <c r="EG217" s="12">
        <f t="shared" ca="1" si="374"/>
        <v>0</v>
      </c>
      <c r="EH217" s="12">
        <f t="shared" ca="1" si="374"/>
        <v>0</v>
      </c>
      <c r="EI217" s="12">
        <f t="shared" ca="1" si="374"/>
        <v>0</v>
      </c>
      <c r="EJ217" s="12">
        <f t="shared" ca="1" si="374"/>
        <v>0</v>
      </c>
    </row>
    <row r="218" spans="2:140" x14ac:dyDescent="0.4">
      <c r="B218" s="1" t="s">
        <v>113</v>
      </c>
      <c r="H218" s="318">
        <f ca="1">H214</f>
        <v>0</v>
      </c>
      <c r="I218" s="12">
        <f t="shared" ref="I218:BT218" ca="1" si="375">I214</f>
        <v>0</v>
      </c>
      <c r="J218" s="12">
        <f t="shared" ca="1" si="375"/>
        <v>0</v>
      </c>
      <c r="K218" s="12">
        <f t="shared" ca="1" si="375"/>
        <v>0</v>
      </c>
      <c r="L218" s="12">
        <f t="shared" ca="1" si="375"/>
        <v>0</v>
      </c>
      <c r="M218" s="12">
        <f t="shared" ca="1" si="375"/>
        <v>0</v>
      </c>
      <c r="N218" s="12">
        <f t="shared" ca="1" si="375"/>
        <v>0</v>
      </c>
      <c r="O218" s="12">
        <f t="shared" ca="1" si="375"/>
        <v>0</v>
      </c>
      <c r="P218" s="12">
        <f t="shared" ca="1" si="375"/>
        <v>0</v>
      </c>
      <c r="Q218" s="12">
        <f t="shared" ca="1" si="375"/>
        <v>0</v>
      </c>
      <c r="R218" s="12">
        <f t="shared" ca="1" si="375"/>
        <v>0</v>
      </c>
      <c r="S218" s="12">
        <f t="shared" ca="1" si="375"/>
        <v>0</v>
      </c>
      <c r="T218" s="12">
        <f t="shared" ca="1" si="375"/>
        <v>0</v>
      </c>
      <c r="U218" s="12">
        <f t="shared" ca="1" si="375"/>
        <v>0</v>
      </c>
      <c r="V218" s="12">
        <f t="shared" ca="1" si="375"/>
        <v>0</v>
      </c>
      <c r="W218" s="12">
        <f t="shared" ca="1" si="375"/>
        <v>0</v>
      </c>
      <c r="X218" s="12">
        <f t="shared" ca="1" si="375"/>
        <v>0</v>
      </c>
      <c r="Y218" s="12">
        <f t="shared" ca="1" si="375"/>
        <v>0</v>
      </c>
      <c r="Z218" s="12">
        <f t="shared" ca="1" si="375"/>
        <v>0</v>
      </c>
      <c r="AA218" s="12">
        <f t="shared" ca="1" si="375"/>
        <v>0</v>
      </c>
      <c r="AB218" s="12">
        <f t="shared" ca="1" si="375"/>
        <v>0</v>
      </c>
      <c r="AC218" s="12">
        <f t="shared" ca="1" si="375"/>
        <v>0</v>
      </c>
      <c r="AD218" s="12">
        <f t="shared" ca="1" si="375"/>
        <v>0</v>
      </c>
      <c r="AE218" s="12">
        <f t="shared" ca="1" si="375"/>
        <v>0</v>
      </c>
      <c r="AF218" s="12">
        <f t="shared" ca="1" si="375"/>
        <v>0</v>
      </c>
      <c r="AG218" s="12">
        <f t="shared" ca="1" si="375"/>
        <v>0</v>
      </c>
      <c r="AH218" s="12">
        <f t="shared" ca="1" si="375"/>
        <v>0</v>
      </c>
      <c r="AI218" s="12">
        <f t="shared" ca="1" si="375"/>
        <v>0</v>
      </c>
      <c r="AJ218" s="12">
        <f t="shared" ca="1" si="375"/>
        <v>0</v>
      </c>
      <c r="AK218" s="12">
        <f t="shared" ca="1" si="375"/>
        <v>0</v>
      </c>
      <c r="AL218" s="12">
        <f t="shared" ca="1" si="375"/>
        <v>0</v>
      </c>
      <c r="AM218" s="12">
        <f t="shared" ca="1" si="375"/>
        <v>0</v>
      </c>
      <c r="AN218" s="12">
        <f t="shared" ca="1" si="375"/>
        <v>0</v>
      </c>
      <c r="AO218" s="12">
        <f t="shared" ca="1" si="375"/>
        <v>0</v>
      </c>
      <c r="AP218" s="12">
        <f t="shared" ca="1" si="375"/>
        <v>0</v>
      </c>
      <c r="AQ218" s="12">
        <f t="shared" ca="1" si="375"/>
        <v>0</v>
      </c>
      <c r="AR218" s="12">
        <f t="shared" ca="1" si="375"/>
        <v>709579.48011591937</v>
      </c>
      <c r="AS218" s="12">
        <f t="shared" ca="1" si="375"/>
        <v>0</v>
      </c>
      <c r="AT218" s="12">
        <f t="shared" ca="1" si="375"/>
        <v>0</v>
      </c>
      <c r="AU218" s="12">
        <f t="shared" ca="1" si="375"/>
        <v>0</v>
      </c>
      <c r="AV218" s="12">
        <f t="shared" ca="1" si="375"/>
        <v>0</v>
      </c>
      <c r="AW218" s="12">
        <f t="shared" ca="1" si="375"/>
        <v>0</v>
      </c>
      <c r="AX218" s="12">
        <f t="shared" ca="1" si="375"/>
        <v>0</v>
      </c>
      <c r="AY218" s="12">
        <f t="shared" ca="1" si="375"/>
        <v>0</v>
      </c>
      <c r="AZ218" s="12">
        <f t="shared" ca="1" si="375"/>
        <v>0</v>
      </c>
      <c r="BA218" s="12">
        <f t="shared" ca="1" si="375"/>
        <v>0</v>
      </c>
      <c r="BB218" s="12">
        <f t="shared" ca="1" si="375"/>
        <v>0</v>
      </c>
      <c r="BC218" s="12">
        <f t="shared" ca="1" si="375"/>
        <v>0</v>
      </c>
      <c r="BD218" s="12">
        <f t="shared" ca="1" si="375"/>
        <v>0</v>
      </c>
      <c r="BE218" s="12">
        <f t="shared" ca="1" si="375"/>
        <v>0</v>
      </c>
      <c r="BF218" s="12">
        <f t="shared" ca="1" si="375"/>
        <v>0</v>
      </c>
      <c r="BG218" s="12">
        <f t="shared" ca="1" si="375"/>
        <v>0</v>
      </c>
      <c r="BH218" s="12">
        <f t="shared" ca="1" si="375"/>
        <v>0</v>
      </c>
      <c r="BI218" s="12">
        <f t="shared" ca="1" si="375"/>
        <v>0</v>
      </c>
      <c r="BJ218" s="12">
        <f t="shared" ca="1" si="375"/>
        <v>0</v>
      </c>
      <c r="BK218" s="12">
        <f t="shared" ca="1" si="375"/>
        <v>0</v>
      </c>
      <c r="BL218" s="12">
        <f t="shared" ca="1" si="375"/>
        <v>0</v>
      </c>
      <c r="BM218" s="12">
        <f t="shared" ca="1" si="375"/>
        <v>0</v>
      </c>
      <c r="BN218" s="12">
        <f t="shared" ca="1" si="375"/>
        <v>0</v>
      </c>
      <c r="BO218" s="12">
        <f t="shared" ca="1" si="375"/>
        <v>0</v>
      </c>
      <c r="BP218" s="12">
        <f t="shared" ca="1" si="375"/>
        <v>0</v>
      </c>
      <c r="BQ218" s="12">
        <f t="shared" ca="1" si="375"/>
        <v>0</v>
      </c>
      <c r="BR218" s="12">
        <f t="shared" ca="1" si="375"/>
        <v>0</v>
      </c>
      <c r="BS218" s="12">
        <f t="shared" ca="1" si="375"/>
        <v>0</v>
      </c>
      <c r="BT218" s="12">
        <f t="shared" ca="1" si="375"/>
        <v>0</v>
      </c>
      <c r="BU218" s="12">
        <f t="shared" ref="BU218:EF218" ca="1" si="376">BU214</f>
        <v>0</v>
      </c>
      <c r="BV218" s="12">
        <f t="shared" ca="1" si="376"/>
        <v>0</v>
      </c>
      <c r="BW218" s="12">
        <f t="shared" ca="1" si="376"/>
        <v>0</v>
      </c>
      <c r="BX218" s="12">
        <f t="shared" ca="1" si="376"/>
        <v>0</v>
      </c>
      <c r="BY218" s="12">
        <f t="shared" ca="1" si="376"/>
        <v>0</v>
      </c>
      <c r="BZ218" s="12">
        <f t="shared" ca="1" si="376"/>
        <v>0</v>
      </c>
      <c r="CA218" s="12">
        <f t="shared" ca="1" si="376"/>
        <v>0</v>
      </c>
      <c r="CB218" s="12">
        <f t="shared" ca="1" si="376"/>
        <v>0</v>
      </c>
      <c r="CC218" s="12">
        <f t="shared" ca="1" si="376"/>
        <v>0</v>
      </c>
      <c r="CD218" s="12">
        <f t="shared" ca="1" si="376"/>
        <v>0</v>
      </c>
      <c r="CE218" s="12">
        <f t="shared" ca="1" si="376"/>
        <v>0</v>
      </c>
      <c r="CF218" s="12">
        <f t="shared" ca="1" si="376"/>
        <v>0</v>
      </c>
      <c r="CG218" s="12">
        <f t="shared" ca="1" si="376"/>
        <v>0</v>
      </c>
      <c r="CH218" s="12">
        <f t="shared" ca="1" si="376"/>
        <v>0</v>
      </c>
      <c r="CI218" s="12">
        <f t="shared" ca="1" si="376"/>
        <v>0</v>
      </c>
      <c r="CJ218" s="12">
        <f t="shared" ca="1" si="376"/>
        <v>0</v>
      </c>
      <c r="CK218" s="12">
        <f t="shared" ca="1" si="376"/>
        <v>0</v>
      </c>
      <c r="CL218" s="12">
        <f t="shared" ca="1" si="376"/>
        <v>0</v>
      </c>
      <c r="CM218" s="12">
        <f t="shared" ca="1" si="376"/>
        <v>0</v>
      </c>
      <c r="CN218" s="12">
        <f t="shared" ca="1" si="376"/>
        <v>0</v>
      </c>
      <c r="CO218" s="12">
        <f t="shared" ca="1" si="376"/>
        <v>0</v>
      </c>
      <c r="CP218" s="12">
        <f t="shared" ca="1" si="376"/>
        <v>0</v>
      </c>
      <c r="CQ218" s="12">
        <f t="shared" ca="1" si="376"/>
        <v>0</v>
      </c>
      <c r="CR218" s="12">
        <f t="shared" ca="1" si="376"/>
        <v>0</v>
      </c>
      <c r="CS218" s="12">
        <f t="shared" ca="1" si="376"/>
        <v>0</v>
      </c>
      <c r="CT218" s="12">
        <f t="shared" ca="1" si="376"/>
        <v>0</v>
      </c>
      <c r="CU218" s="12">
        <f t="shared" ca="1" si="376"/>
        <v>0</v>
      </c>
      <c r="CV218" s="12">
        <f t="shared" ca="1" si="376"/>
        <v>0</v>
      </c>
      <c r="CW218" s="12">
        <f t="shared" ca="1" si="376"/>
        <v>0</v>
      </c>
      <c r="CX218" s="12">
        <f t="shared" ca="1" si="376"/>
        <v>0</v>
      </c>
      <c r="CY218" s="12">
        <f t="shared" ca="1" si="376"/>
        <v>0</v>
      </c>
      <c r="CZ218" s="12">
        <f t="shared" ca="1" si="376"/>
        <v>0</v>
      </c>
      <c r="DA218" s="12">
        <f t="shared" ca="1" si="376"/>
        <v>0</v>
      </c>
      <c r="DB218" s="12">
        <f t="shared" ca="1" si="376"/>
        <v>0</v>
      </c>
      <c r="DC218" s="12">
        <f t="shared" ca="1" si="376"/>
        <v>0</v>
      </c>
      <c r="DD218" s="12">
        <f t="shared" ca="1" si="376"/>
        <v>0</v>
      </c>
      <c r="DE218" s="12">
        <f t="shared" ca="1" si="376"/>
        <v>0</v>
      </c>
      <c r="DF218" s="12">
        <f t="shared" ca="1" si="376"/>
        <v>0</v>
      </c>
      <c r="DG218" s="12">
        <f t="shared" ca="1" si="376"/>
        <v>0</v>
      </c>
      <c r="DH218" s="12">
        <f t="shared" ca="1" si="376"/>
        <v>0</v>
      </c>
      <c r="DI218" s="12">
        <f t="shared" ca="1" si="376"/>
        <v>0</v>
      </c>
      <c r="DJ218" s="12">
        <f t="shared" ca="1" si="376"/>
        <v>0</v>
      </c>
      <c r="DK218" s="12">
        <f t="shared" ca="1" si="376"/>
        <v>0</v>
      </c>
      <c r="DL218" s="12">
        <f t="shared" ca="1" si="376"/>
        <v>0</v>
      </c>
      <c r="DM218" s="12">
        <f t="shared" ca="1" si="376"/>
        <v>0</v>
      </c>
      <c r="DN218" s="12">
        <f t="shared" ca="1" si="376"/>
        <v>0</v>
      </c>
      <c r="DO218" s="12">
        <f t="shared" ca="1" si="376"/>
        <v>0</v>
      </c>
      <c r="DP218" s="12">
        <f t="shared" ca="1" si="376"/>
        <v>0</v>
      </c>
      <c r="DQ218" s="12">
        <f t="shared" ca="1" si="376"/>
        <v>0</v>
      </c>
      <c r="DR218" s="12">
        <f t="shared" ca="1" si="376"/>
        <v>0</v>
      </c>
      <c r="DS218" s="12">
        <f t="shared" ca="1" si="376"/>
        <v>0</v>
      </c>
      <c r="DT218" s="12">
        <f t="shared" ca="1" si="376"/>
        <v>0</v>
      </c>
      <c r="DU218" s="12">
        <f t="shared" ca="1" si="376"/>
        <v>0</v>
      </c>
      <c r="DV218" s="12">
        <f t="shared" ca="1" si="376"/>
        <v>0</v>
      </c>
      <c r="DW218" s="12">
        <f t="shared" ca="1" si="376"/>
        <v>0</v>
      </c>
      <c r="DX218" s="12">
        <f t="shared" ca="1" si="376"/>
        <v>0</v>
      </c>
      <c r="DY218" s="12">
        <f t="shared" ca="1" si="376"/>
        <v>0</v>
      </c>
      <c r="DZ218" s="12">
        <f t="shared" ca="1" si="376"/>
        <v>0</v>
      </c>
      <c r="EA218" s="12">
        <f t="shared" ca="1" si="376"/>
        <v>0</v>
      </c>
      <c r="EB218" s="12">
        <f t="shared" ca="1" si="376"/>
        <v>0</v>
      </c>
      <c r="EC218" s="12">
        <f t="shared" ca="1" si="376"/>
        <v>0</v>
      </c>
      <c r="ED218" s="12">
        <f t="shared" ca="1" si="376"/>
        <v>0</v>
      </c>
      <c r="EE218" s="12">
        <f t="shared" ca="1" si="376"/>
        <v>0</v>
      </c>
      <c r="EF218" s="12">
        <f t="shared" ca="1" si="376"/>
        <v>0</v>
      </c>
      <c r="EG218" s="12">
        <f ca="1">EG214</f>
        <v>0</v>
      </c>
      <c r="EH218" s="12">
        <f ca="1">EH214</f>
        <v>0</v>
      </c>
      <c r="EI218" s="12">
        <f ca="1">EI214</f>
        <v>0</v>
      </c>
      <c r="EJ218" s="12">
        <f ca="1">EJ214</f>
        <v>0</v>
      </c>
    </row>
    <row r="219" spans="2:140" x14ac:dyDescent="0.4">
      <c r="H219" s="316"/>
    </row>
    <row r="220" spans="2:140" x14ac:dyDescent="0.4">
      <c r="B220" s="1" t="s">
        <v>112</v>
      </c>
      <c r="H220" s="318">
        <f ca="1">H$159-SUM(H216:H218)</f>
        <v>0</v>
      </c>
      <c r="I220" s="12">
        <f t="shared" ref="I220:BT220" ca="1" si="377">I$159-SUM(I216:I218)</f>
        <v>0</v>
      </c>
      <c r="J220" s="12">
        <f t="shared" ca="1" si="377"/>
        <v>0</v>
      </c>
      <c r="K220" s="12">
        <f t="shared" ca="1" si="377"/>
        <v>0</v>
      </c>
      <c r="L220" s="12">
        <f t="shared" ca="1" si="377"/>
        <v>0</v>
      </c>
      <c r="M220" s="12">
        <f t="shared" ca="1" si="377"/>
        <v>0</v>
      </c>
      <c r="N220" s="12">
        <f t="shared" ca="1" si="377"/>
        <v>0</v>
      </c>
      <c r="O220" s="12">
        <f t="shared" ca="1" si="377"/>
        <v>0</v>
      </c>
      <c r="P220" s="12">
        <f t="shared" ca="1" si="377"/>
        <v>0</v>
      </c>
      <c r="Q220" s="12">
        <f t="shared" ca="1" si="377"/>
        <v>0</v>
      </c>
      <c r="R220" s="12">
        <f t="shared" ca="1" si="377"/>
        <v>0</v>
      </c>
      <c r="S220" s="12">
        <f t="shared" ca="1" si="377"/>
        <v>0</v>
      </c>
      <c r="T220" s="12">
        <f t="shared" ca="1" si="377"/>
        <v>0</v>
      </c>
      <c r="U220" s="12">
        <f t="shared" ca="1" si="377"/>
        <v>0</v>
      </c>
      <c r="V220" s="12">
        <f t="shared" ca="1" si="377"/>
        <v>0</v>
      </c>
      <c r="W220" s="12">
        <f t="shared" ca="1" si="377"/>
        <v>0</v>
      </c>
      <c r="X220" s="12">
        <f t="shared" ca="1" si="377"/>
        <v>0</v>
      </c>
      <c r="Y220" s="12">
        <f t="shared" ca="1" si="377"/>
        <v>0</v>
      </c>
      <c r="Z220" s="12">
        <f t="shared" ca="1" si="377"/>
        <v>0</v>
      </c>
      <c r="AA220" s="12">
        <f t="shared" ca="1" si="377"/>
        <v>0</v>
      </c>
      <c r="AB220" s="12">
        <f t="shared" ca="1" si="377"/>
        <v>0</v>
      </c>
      <c r="AC220" s="12">
        <f t="shared" ca="1" si="377"/>
        <v>0</v>
      </c>
      <c r="AD220" s="12">
        <f t="shared" ca="1" si="377"/>
        <v>0</v>
      </c>
      <c r="AE220" s="12">
        <f t="shared" ca="1" si="377"/>
        <v>0</v>
      </c>
      <c r="AF220" s="12">
        <f t="shared" ca="1" si="377"/>
        <v>0</v>
      </c>
      <c r="AG220" s="12">
        <f t="shared" ca="1" si="377"/>
        <v>0</v>
      </c>
      <c r="AH220" s="12">
        <f t="shared" ca="1" si="377"/>
        <v>0</v>
      </c>
      <c r="AI220" s="12">
        <f t="shared" ca="1" si="377"/>
        <v>0</v>
      </c>
      <c r="AJ220" s="12">
        <f t="shared" ca="1" si="377"/>
        <v>0</v>
      </c>
      <c r="AK220" s="12">
        <f t="shared" ca="1" si="377"/>
        <v>0</v>
      </c>
      <c r="AL220" s="12">
        <f t="shared" ca="1" si="377"/>
        <v>0</v>
      </c>
      <c r="AM220" s="12">
        <f t="shared" ca="1" si="377"/>
        <v>0</v>
      </c>
      <c r="AN220" s="12">
        <f t="shared" ca="1" si="377"/>
        <v>0</v>
      </c>
      <c r="AO220" s="12">
        <f t="shared" ca="1" si="377"/>
        <v>0</v>
      </c>
      <c r="AP220" s="12">
        <f t="shared" ca="1" si="377"/>
        <v>0</v>
      </c>
      <c r="AQ220" s="12">
        <f t="shared" ca="1" si="377"/>
        <v>0</v>
      </c>
      <c r="AR220" s="12">
        <f t="shared" ca="1" si="377"/>
        <v>7298953.4980802536</v>
      </c>
      <c r="AS220" s="12">
        <f t="shared" ca="1" si="377"/>
        <v>0</v>
      </c>
      <c r="AT220" s="12">
        <f t="shared" ca="1" si="377"/>
        <v>0</v>
      </c>
      <c r="AU220" s="12">
        <f t="shared" ca="1" si="377"/>
        <v>0</v>
      </c>
      <c r="AV220" s="12">
        <f t="shared" ca="1" si="377"/>
        <v>0</v>
      </c>
      <c r="AW220" s="12">
        <f t="shared" ca="1" si="377"/>
        <v>0</v>
      </c>
      <c r="AX220" s="12">
        <f t="shared" ca="1" si="377"/>
        <v>0</v>
      </c>
      <c r="AY220" s="12">
        <f t="shared" ca="1" si="377"/>
        <v>0</v>
      </c>
      <c r="AZ220" s="12">
        <f t="shared" ca="1" si="377"/>
        <v>0</v>
      </c>
      <c r="BA220" s="12">
        <f t="shared" ca="1" si="377"/>
        <v>0</v>
      </c>
      <c r="BB220" s="12">
        <f t="shared" ca="1" si="377"/>
        <v>0</v>
      </c>
      <c r="BC220" s="12">
        <f t="shared" ca="1" si="377"/>
        <v>0</v>
      </c>
      <c r="BD220" s="12">
        <f t="shared" ca="1" si="377"/>
        <v>0</v>
      </c>
      <c r="BE220" s="12">
        <f t="shared" ca="1" si="377"/>
        <v>0</v>
      </c>
      <c r="BF220" s="12">
        <f t="shared" ca="1" si="377"/>
        <v>0</v>
      </c>
      <c r="BG220" s="12">
        <f t="shared" ca="1" si="377"/>
        <v>0</v>
      </c>
      <c r="BH220" s="12">
        <f t="shared" ca="1" si="377"/>
        <v>0</v>
      </c>
      <c r="BI220" s="12">
        <f t="shared" ca="1" si="377"/>
        <v>0</v>
      </c>
      <c r="BJ220" s="12">
        <f t="shared" ca="1" si="377"/>
        <v>0</v>
      </c>
      <c r="BK220" s="12">
        <f t="shared" ca="1" si="377"/>
        <v>0</v>
      </c>
      <c r="BL220" s="12">
        <f t="shared" ca="1" si="377"/>
        <v>0</v>
      </c>
      <c r="BM220" s="12">
        <f t="shared" ca="1" si="377"/>
        <v>0</v>
      </c>
      <c r="BN220" s="12">
        <f t="shared" ca="1" si="377"/>
        <v>0</v>
      </c>
      <c r="BO220" s="12">
        <f t="shared" ca="1" si="377"/>
        <v>0</v>
      </c>
      <c r="BP220" s="12">
        <f t="shared" ca="1" si="377"/>
        <v>0</v>
      </c>
      <c r="BQ220" s="12">
        <f t="shared" ca="1" si="377"/>
        <v>0</v>
      </c>
      <c r="BR220" s="12">
        <f t="shared" ca="1" si="377"/>
        <v>0</v>
      </c>
      <c r="BS220" s="12">
        <f t="shared" ca="1" si="377"/>
        <v>0</v>
      </c>
      <c r="BT220" s="12">
        <f t="shared" ca="1" si="377"/>
        <v>0</v>
      </c>
      <c r="BU220" s="12">
        <f t="shared" ref="BU220:EF220" ca="1" si="378">BU$159-SUM(BU216:BU218)</f>
        <v>0</v>
      </c>
      <c r="BV220" s="12">
        <f t="shared" ca="1" si="378"/>
        <v>0</v>
      </c>
      <c r="BW220" s="12">
        <f t="shared" ca="1" si="378"/>
        <v>0</v>
      </c>
      <c r="BX220" s="12">
        <f t="shared" ca="1" si="378"/>
        <v>0</v>
      </c>
      <c r="BY220" s="12">
        <f t="shared" ca="1" si="378"/>
        <v>0</v>
      </c>
      <c r="BZ220" s="12">
        <f t="shared" ca="1" si="378"/>
        <v>0</v>
      </c>
      <c r="CA220" s="12">
        <f t="shared" ca="1" si="378"/>
        <v>0</v>
      </c>
      <c r="CB220" s="12">
        <f t="shared" ca="1" si="378"/>
        <v>0</v>
      </c>
      <c r="CC220" s="12">
        <f t="shared" ca="1" si="378"/>
        <v>0</v>
      </c>
      <c r="CD220" s="12">
        <f t="shared" ca="1" si="378"/>
        <v>0</v>
      </c>
      <c r="CE220" s="12">
        <f t="shared" ca="1" si="378"/>
        <v>0</v>
      </c>
      <c r="CF220" s="12">
        <f t="shared" ca="1" si="378"/>
        <v>0</v>
      </c>
      <c r="CG220" s="12">
        <f t="shared" ca="1" si="378"/>
        <v>0</v>
      </c>
      <c r="CH220" s="12">
        <f t="shared" ca="1" si="378"/>
        <v>0</v>
      </c>
      <c r="CI220" s="12">
        <f t="shared" ca="1" si="378"/>
        <v>0</v>
      </c>
      <c r="CJ220" s="12">
        <f t="shared" ca="1" si="378"/>
        <v>0</v>
      </c>
      <c r="CK220" s="12">
        <f t="shared" ca="1" si="378"/>
        <v>0</v>
      </c>
      <c r="CL220" s="12">
        <f t="shared" ca="1" si="378"/>
        <v>0</v>
      </c>
      <c r="CM220" s="12">
        <f t="shared" ca="1" si="378"/>
        <v>0</v>
      </c>
      <c r="CN220" s="12">
        <f t="shared" ca="1" si="378"/>
        <v>0</v>
      </c>
      <c r="CO220" s="12">
        <f t="shared" ca="1" si="378"/>
        <v>0</v>
      </c>
      <c r="CP220" s="12">
        <f t="shared" ca="1" si="378"/>
        <v>0</v>
      </c>
      <c r="CQ220" s="12">
        <f t="shared" ca="1" si="378"/>
        <v>0</v>
      </c>
      <c r="CR220" s="12">
        <f t="shared" ca="1" si="378"/>
        <v>0</v>
      </c>
      <c r="CS220" s="12">
        <f t="shared" ca="1" si="378"/>
        <v>0</v>
      </c>
      <c r="CT220" s="12">
        <f t="shared" ca="1" si="378"/>
        <v>0</v>
      </c>
      <c r="CU220" s="12">
        <f t="shared" ca="1" si="378"/>
        <v>0</v>
      </c>
      <c r="CV220" s="12">
        <f t="shared" ca="1" si="378"/>
        <v>0</v>
      </c>
      <c r="CW220" s="12">
        <f t="shared" ca="1" si="378"/>
        <v>0</v>
      </c>
      <c r="CX220" s="12">
        <f t="shared" ca="1" si="378"/>
        <v>0</v>
      </c>
      <c r="CY220" s="12">
        <f t="shared" ca="1" si="378"/>
        <v>0</v>
      </c>
      <c r="CZ220" s="12">
        <f t="shared" ca="1" si="378"/>
        <v>0</v>
      </c>
      <c r="DA220" s="12">
        <f t="shared" ca="1" si="378"/>
        <v>0</v>
      </c>
      <c r="DB220" s="12">
        <f t="shared" ca="1" si="378"/>
        <v>0</v>
      </c>
      <c r="DC220" s="12">
        <f t="shared" ca="1" si="378"/>
        <v>0</v>
      </c>
      <c r="DD220" s="12">
        <f t="shared" ca="1" si="378"/>
        <v>0</v>
      </c>
      <c r="DE220" s="12">
        <f t="shared" ca="1" si="378"/>
        <v>0</v>
      </c>
      <c r="DF220" s="12">
        <f t="shared" ca="1" si="378"/>
        <v>0</v>
      </c>
      <c r="DG220" s="12">
        <f t="shared" ca="1" si="378"/>
        <v>0</v>
      </c>
      <c r="DH220" s="12">
        <f t="shared" ca="1" si="378"/>
        <v>0</v>
      </c>
      <c r="DI220" s="12">
        <f t="shared" ca="1" si="378"/>
        <v>0</v>
      </c>
      <c r="DJ220" s="12">
        <f t="shared" ca="1" si="378"/>
        <v>0</v>
      </c>
      <c r="DK220" s="12">
        <f t="shared" ca="1" si="378"/>
        <v>0</v>
      </c>
      <c r="DL220" s="12">
        <f t="shared" ca="1" si="378"/>
        <v>0</v>
      </c>
      <c r="DM220" s="12">
        <f t="shared" ca="1" si="378"/>
        <v>0</v>
      </c>
      <c r="DN220" s="12">
        <f t="shared" ca="1" si="378"/>
        <v>0</v>
      </c>
      <c r="DO220" s="12">
        <f t="shared" ca="1" si="378"/>
        <v>0</v>
      </c>
      <c r="DP220" s="12">
        <f t="shared" ca="1" si="378"/>
        <v>0</v>
      </c>
      <c r="DQ220" s="12">
        <f t="shared" ca="1" si="378"/>
        <v>0</v>
      </c>
      <c r="DR220" s="12">
        <f t="shared" ca="1" si="378"/>
        <v>0</v>
      </c>
      <c r="DS220" s="12">
        <f t="shared" ca="1" si="378"/>
        <v>0</v>
      </c>
      <c r="DT220" s="12">
        <f t="shared" ca="1" si="378"/>
        <v>0</v>
      </c>
      <c r="DU220" s="12">
        <f t="shared" ca="1" si="378"/>
        <v>0</v>
      </c>
      <c r="DV220" s="12">
        <f t="shared" ca="1" si="378"/>
        <v>0</v>
      </c>
      <c r="DW220" s="12">
        <f t="shared" ca="1" si="378"/>
        <v>0</v>
      </c>
      <c r="DX220" s="12">
        <f t="shared" ca="1" si="378"/>
        <v>0</v>
      </c>
      <c r="DY220" s="12">
        <f t="shared" ca="1" si="378"/>
        <v>0</v>
      </c>
      <c r="DZ220" s="12">
        <f t="shared" ca="1" si="378"/>
        <v>0</v>
      </c>
      <c r="EA220" s="12">
        <f t="shared" ca="1" si="378"/>
        <v>0</v>
      </c>
      <c r="EB220" s="12">
        <f t="shared" ca="1" si="378"/>
        <v>0</v>
      </c>
      <c r="EC220" s="12">
        <f t="shared" ca="1" si="378"/>
        <v>0</v>
      </c>
      <c r="ED220" s="12">
        <f t="shared" ca="1" si="378"/>
        <v>0</v>
      </c>
      <c r="EE220" s="12">
        <f t="shared" ca="1" si="378"/>
        <v>0</v>
      </c>
      <c r="EF220" s="12">
        <f t="shared" ca="1" si="378"/>
        <v>0</v>
      </c>
      <c r="EG220" s="12">
        <f ca="1">EG$159-SUM(EG216:EG218)</f>
        <v>0</v>
      </c>
      <c r="EH220" s="12">
        <f ca="1">EH$159-SUM(EH216:EH218)</f>
        <v>0</v>
      </c>
      <c r="EI220" s="12">
        <f ca="1">EI$159-SUM(EI216:EI218)</f>
        <v>0</v>
      </c>
      <c r="EJ220" s="12">
        <f ca="1">EJ$159-SUM(EJ216:EJ218)</f>
        <v>0</v>
      </c>
    </row>
    <row r="221" spans="2:140" x14ac:dyDescent="0.4">
      <c r="H221" s="316"/>
    </row>
    <row r="222" spans="2:140" x14ac:dyDescent="0.4">
      <c r="B222" s="95" t="str">
        <f>"Hurdle #3: "&amp;TEXT(C223,"0.0%")&amp;" Promote up to a "&amp;TEXT(C222,"0.0%")&amp;" IRR"</f>
        <v>Hurdle #3: 30.0% Promote up to a 20.0% IRR</v>
      </c>
      <c r="C222" s="317">
        <f>'Inputs &amp; Drivers'!I9</f>
        <v>0.2</v>
      </c>
      <c r="H222" s="316"/>
    </row>
    <row r="223" spans="2:140" x14ac:dyDescent="0.4">
      <c r="C223" s="317">
        <f>'Inputs &amp; Drivers'!H9</f>
        <v>0.3</v>
      </c>
      <c r="H223" s="316"/>
    </row>
    <row r="224" spans="2:140" x14ac:dyDescent="0.4">
      <c r="B224" s="1" t="s">
        <v>95</v>
      </c>
      <c r="H224" s="316"/>
      <c r="I224" s="12">
        <f ca="1">H229</f>
        <v>6100000</v>
      </c>
      <c r="J224" s="12">
        <f ca="1">I229</f>
        <v>6195192.6715091066</v>
      </c>
      <c r="K224" s="12">
        <f t="shared" ref="K224:BV224" ca="1" si="379">J229</f>
        <v>6282449.3412616653</v>
      </c>
      <c r="L224" s="12">
        <f t="shared" ca="1" si="379"/>
        <v>6740989.1996904071</v>
      </c>
      <c r="M224" s="12">
        <f t="shared" ca="1" si="379"/>
        <v>7203265.8444340015</v>
      </c>
      <c r="N224" s="12">
        <f t="shared" ca="1" si="379"/>
        <v>7676175.372191702</v>
      </c>
      <c r="O224" s="12">
        <f t="shared" ca="1" si="379"/>
        <v>8152571.6228311425</v>
      </c>
      <c r="P224" s="12">
        <f t="shared" ca="1" si="379"/>
        <v>11421545.405199442</v>
      </c>
      <c r="Q224" s="12">
        <f t="shared" ca="1" si="379"/>
        <v>14741532.687147556</v>
      </c>
      <c r="R224" s="12">
        <f t="shared" ca="1" si="379"/>
        <v>18105852.949586906</v>
      </c>
      <c r="S224" s="12">
        <f t="shared" ca="1" si="379"/>
        <v>20166851.229706861</v>
      </c>
      <c r="T224" s="12">
        <f t="shared" ca="1" si="379"/>
        <v>20471333.909088258</v>
      </c>
      <c r="U224" s="12">
        <f t="shared" ca="1" si="379"/>
        <v>20790796.362229418</v>
      </c>
      <c r="V224" s="12">
        <f t="shared" ca="1" si="379"/>
        <v>21115244.14067572</v>
      </c>
      <c r="W224" s="12">
        <f t="shared" ca="1" si="379"/>
        <v>21412643.427900597</v>
      </c>
      <c r="X224" s="12">
        <f t="shared" ca="1" si="379"/>
        <v>21746795.351174988</v>
      </c>
      <c r="Y224" s="12">
        <f t="shared" ca="1" si="379"/>
        <v>22075132.305767622</v>
      </c>
      <c r="Z224" s="12">
        <f t="shared" ca="1" si="379"/>
        <v>22423372.603817295</v>
      </c>
      <c r="AA224" s="12">
        <f t="shared" ca="1" si="379"/>
        <v>22759742.526213169</v>
      </c>
      <c r="AB224" s="12">
        <f t="shared" ca="1" si="379"/>
        <v>23078874.712655693</v>
      </c>
      <c r="AC224" s="12">
        <f t="shared" ca="1" si="379"/>
        <v>23369014.638842955</v>
      </c>
      <c r="AD224" s="12">
        <f t="shared" ca="1" si="379"/>
        <v>23617744.4545913</v>
      </c>
      <c r="AE224" s="12">
        <f t="shared" ca="1" si="379"/>
        <v>23848009.096215088</v>
      </c>
      <c r="AF224" s="12">
        <f t="shared" ca="1" si="379"/>
        <v>24192057.205462728</v>
      </c>
      <c r="AG224" s="12">
        <f t="shared" ca="1" si="379"/>
        <v>24524525.730201565</v>
      </c>
      <c r="AH224" s="12">
        <f t="shared" ca="1" si="379"/>
        <v>24820356.641224805</v>
      </c>
      <c r="AI224" s="12">
        <f t="shared" ca="1" si="379"/>
        <v>25031742.667001579</v>
      </c>
      <c r="AJ224" s="12">
        <f t="shared" ca="1" si="379"/>
        <v>25299323.20269205</v>
      </c>
      <c r="AK224" s="12">
        <f t="shared" ca="1" si="379"/>
        <v>25552438.140199468</v>
      </c>
      <c r="AL224" s="12">
        <f t="shared" ca="1" si="379"/>
        <v>25826961.598642476</v>
      </c>
      <c r="AM224" s="12">
        <f t="shared" ca="1" si="379"/>
        <v>26086806.200812377</v>
      </c>
      <c r="AN224" s="12">
        <f t="shared" ca="1" si="379"/>
        <v>26368439.665593501</v>
      </c>
      <c r="AO224" s="12">
        <f t="shared" ca="1" si="379"/>
        <v>26619530.429435</v>
      </c>
      <c r="AP224" s="12">
        <f t="shared" ca="1" si="379"/>
        <v>26855042.438230358</v>
      </c>
      <c r="AQ224" s="12">
        <f t="shared" ca="1" si="379"/>
        <v>27112268.288800266</v>
      </c>
      <c r="AR224" s="12">
        <f t="shared" ca="1" si="379"/>
        <v>27353720.178550351</v>
      </c>
      <c r="AS224" s="12">
        <f t="shared" ca="1" si="379"/>
        <v>0</v>
      </c>
      <c r="AT224" s="12">
        <f t="shared" ca="1" si="379"/>
        <v>0</v>
      </c>
      <c r="AU224" s="12">
        <f t="shared" ca="1" si="379"/>
        <v>0</v>
      </c>
      <c r="AV224" s="12">
        <f t="shared" ca="1" si="379"/>
        <v>0</v>
      </c>
      <c r="AW224" s="12">
        <f t="shared" ca="1" si="379"/>
        <v>0</v>
      </c>
      <c r="AX224" s="12">
        <f t="shared" ca="1" si="379"/>
        <v>0</v>
      </c>
      <c r="AY224" s="12">
        <f t="shared" ca="1" si="379"/>
        <v>0</v>
      </c>
      <c r="AZ224" s="12">
        <f t="shared" ca="1" si="379"/>
        <v>0</v>
      </c>
      <c r="BA224" s="12">
        <f t="shared" ca="1" si="379"/>
        <v>0</v>
      </c>
      <c r="BB224" s="12">
        <f t="shared" ca="1" si="379"/>
        <v>0</v>
      </c>
      <c r="BC224" s="12">
        <f t="shared" ca="1" si="379"/>
        <v>0</v>
      </c>
      <c r="BD224" s="12">
        <f t="shared" ca="1" si="379"/>
        <v>0</v>
      </c>
      <c r="BE224" s="12">
        <f t="shared" ca="1" si="379"/>
        <v>0</v>
      </c>
      <c r="BF224" s="12">
        <f t="shared" ca="1" si="379"/>
        <v>0</v>
      </c>
      <c r="BG224" s="12">
        <f t="shared" ca="1" si="379"/>
        <v>0</v>
      </c>
      <c r="BH224" s="12">
        <f t="shared" ca="1" si="379"/>
        <v>0</v>
      </c>
      <c r="BI224" s="12">
        <f t="shared" ca="1" si="379"/>
        <v>0</v>
      </c>
      <c r="BJ224" s="12">
        <f t="shared" ca="1" si="379"/>
        <v>0</v>
      </c>
      <c r="BK224" s="12">
        <f t="shared" ca="1" si="379"/>
        <v>0</v>
      </c>
      <c r="BL224" s="12">
        <f t="shared" ca="1" si="379"/>
        <v>0</v>
      </c>
      <c r="BM224" s="12">
        <f t="shared" ca="1" si="379"/>
        <v>0</v>
      </c>
      <c r="BN224" s="12">
        <f t="shared" ca="1" si="379"/>
        <v>0</v>
      </c>
      <c r="BO224" s="12">
        <f t="shared" ca="1" si="379"/>
        <v>0</v>
      </c>
      <c r="BP224" s="12">
        <f t="shared" ca="1" si="379"/>
        <v>0</v>
      </c>
      <c r="BQ224" s="12">
        <f t="shared" ca="1" si="379"/>
        <v>0</v>
      </c>
      <c r="BR224" s="12">
        <f t="shared" ca="1" si="379"/>
        <v>0</v>
      </c>
      <c r="BS224" s="12">
        <f t="shared" ca="1" si="379"/>
        <v>0</v>
      </c>
      <c r="BT224" s="12">
        <f t="shared" ca="1" si="379"/>
        <v>0</v>
      </c>
      <c r="BU224" s="12">
        <f t="shared" ca="1" si="379"/>
        <v>0</v>
      </c>
      <c r="BV224" s="12">
        <f t="shared" ca="1" si="379"/>
        <v>0</v>
      </c>
      <c r="BW224" s="12">
        <f t="shared" ref="BW224:EH224" ca="1" si="380">BV229</f>
        <v>0</v>
      </c>
      <c r="BX224" s="12">
        <f t="shared" ca="1" si="380"/>
        <v>0</v>
      </c>
      <c r="BY224" s="12">
        <f t="shared" ca="1" si="380"/>
        <v>0</v>
      </c>
      <c r="BZ224" s="12">
        <f t="shared" ca="1" si="380"/>
        <v>0</v>
      </c>
      <c r="CA224" s="12">
        <f t="shared" ca="1" si="380"/>
        <v>0</v>
      </c>
      <c r="CB224" s="12">
        <f t="shared" ca="1" si="380"/>
        <v>0</v>
      </c>
      <c r="CC224" s="12">
        <f t="shared" ca="1" si="380"/>
        <v>0</v>
      </c>
      <c r="CD224" s="12">
        <f t="shared" ca="1" si="380"/>
        <v>0</v>
      </c>
      <c r="CE224" s="12">
        <f t="shared" ca="1" si="380"/>
        <v>0</v>
      </c>
      <c r="CF224" s="12">
        <f t="shared" ca="1" si="380"/>
        <v>0</v>
      </c>
      <c r="CG224" s="12">
        <f t="shared" ca="1" si="380"/>
        <v>0</v>
      </c>
      <c r="CH224" s="12">
        <f t="shared" ca="1" si="380"/>
        <v>0</v>
      </c>
      <c r="CI224" s="12">
        <f t="shared" ca="1" si="380"/>
        <v>0</v>
      </c>
      <c r="CJ224" s="12">
        <f t="shared" ca="1" si="380"/>
        <v>0</v>
      </c>
      <c r="CK224" s="12">
        <f t="shared" ca="1" si="380"/>
        <v>0</v>
      </c>
      <c r="CL224" s="12">
        <f t="shared" ca="1" si="380"/>
        <v>0</v>
      </c>
      <c r="CM224" s="12">
        <f t="shared" ca="1" si="380"/>
        <v>0</v>
      </c>
      <c r="CN224" s="12">
        <f t="shared" ca="1" si="380"/>
        <v>0</v>
      </c>
      <c r="CO224" s="12">
        <f t="shared" ca="1" si="380"/>
        <v>0</v>
      </c>
      <c r="CP224" s="12">
        <f t="shared" ca="1" si="380"/>
        <v>0</v>
      </c>
      <c r="CQ224" s="12">
        <f t="shared" ca="1" si="380"/>
        <v>0</v>
      </c>
      <c r="CR224" s="12">
        <f t="shared" ca="1" si="380"/>
        <v>0</v>
      </c>
      <c r="CS224" s="12">
        <f t="shared" ca="1" si="380"/>
        <v>0</v>
      </c>
      <c r="CT224" s="12">
        <f t="shared" ca="1" si="380"/>
        <v>0</v>
      </c>
      <c r="CU224" s="12">
        <f t="shared" ca="1" si="380"/>
        <v>0</v>
      </c>
      <c r="CV224" s="12">
        <f t="shared" ca="1" si="380"/>
        <v>0</v>
      </c>
      <c r="CW224" s="12">
        <f t="shared" ca="1" si="380"/>
        <v>0</v>
      </c>
      <c r="CX224" s="12">
        <f t="shared" ca="1" si="380"/>
        <v>0</v>
      </c>
      <c r="CY224" s="12">
        <f t="shared" ca="1" si="380"/>
        <v>0</v>
      </c>
      <c r="CZ224" s="12">
        <f t="shared" ca="1" si="380"/>
        <v>0</v>
      </c>
      <c r="DA224" s="12">
        <f t="shared" ca="1" si="380"/>
        <v>0</v>
      </c>
      <c r="DB224" s="12">
        <f t="shared" ca="1" si="380"/>
        <v>0</v>
      </c>
      <c r="DC224" s="12">
        <f t="shared" ca="1" si="380"/>
        <v>0</v>
      </c>
      <c r="DD224" s="12">
        <f t="shared" ca="1" si="380"/>
        <v>0</v>
      </c>
      <c r="DE224" s="12">
        <f t="shared" ca="1" si="380"/>
        <v>0</v>
      </c>
      <c r="DF224" s="12">
        <f t="shared" ca="1" si="380"/>
        <v>0</v>
      </c>
      <c r="DG224" s="12">
        <f t="shared" ca="1" si="380"/>
        <v>0</v>
      </c>
      <c r="DH224" s="12">
        <f t="shared" ca="1" si="380"/>
        <v>0</v>
      </c>
      <c r="DI224" s="12">
        <f t="shared" ca="1" si="380"/>
        <v>0</v>
      </c>
      <c r="DJ224" s="12">
        <f t="shared" ca="1" si="380"/>
        <v>0</v>
      </c>
      <c r="DK224" s="12">
        <f t="shared" ca="1" si="380"/>
        <v>0</v>
      </c>
      <c r="DL224" s="12">
        <f t="shared" ca="1" si="380"/>
        <v>0</v>
      </c>
      <c r="DM224" s="12">
        <f t="shared" ca="1" si="380"/>
        <v>0</v>
      </c>
      <c r="DN224" s="12">
        <f t="shared" ca="1" si="380"/>
        <v>0</v>
      </c>
      <c r="DO224" s="12">
        <f t="shared" ca="1" si="380"/>
        <v>0</v>
      </c>
      <c r="DP224" s="12">
        <f t="shared" ca="1" si="380"/>
        <v>0</v>
      </c>
      <c r="DQ224" s="12">
        <f t="shared" ca="1" si="380"/>
        <v>0</v>
      </c>
      <c r="DR224" s="12">
        <f t="shared" ca="1" si="380"/>
        <v>0</v>
      </c>
      <c r="DS224" s="12">
        <f t="shared" ca="1" si="380"/>
        <v>0</v>
      </c>
      <c r="DT224" s="12">
        <f t="shared" ca="1" si="380"/>
        <v>0</v>
      </c>
      <c r="DU224" s="12">
        <f t="shared" ca="1" si="380"/>
        <v>0</v>
      </c>
      <c r="DV224" s="12">
        <f t="shared" ca="1" si="380"/>
        <v>0</v>
      </c>
      <c r="DW224" s="12">
        <f t="shared" ca="1" si="380"/>
        <v>0</v>
      </c>
      <c r="DX224" s="12">
        <f t="shared" ca="1" si="380"/>
        <v>0</v>
      </c>
      <c r="DY224" s="12">
        <f t="shared" ca="1" si="380"/>
        <v>0</v>
      </c>
      <c r="DZ224" s="12">
        <f t="shared" ca="1" si="380"/>
        <v>0</v>
      </c>
      <c r="EA224" s="12">
        <f t="shared" ca="1" si="380"/>
        <v>0</v>
      </c>
      <c r="EB224" s="12">
        <f t="shared" ca="1" si="380"/>
        <v>0</v>
      </c>
      <c r="EC224" s="12">
        <f t="shared" ca="1" si="380"/>
        <v>0</v>
      </c>
      <c r="ED224" s="12">
        <f t="shared" ca="1" si="380"/>
        <v>0</v>
      </c>
      <c r="EE224" s="12">
        <f t="shared" ca="1" si="380"/>
        <v>0</v>
      </c>
      <c r="EF224" s="12">
        <f t="shared" ca="1" si="380"/>
        <v>0</v>
      </c>
      <c r="EG224" s="12">
        <f t="shared" ca="1" si="380"/>
        <v>0</v>
      </c>
      <c r="EH224" s="12">
        <f t="shared" ca="1" si="380"/>
        <v>0</v>
      </c>
      <c r="EI224" s="12">
        <f ca="1">EH229</f>
        <v>0</v>
      </c>
      <c r="EJ224" s="12">
        <f ca="1">EI229</f>
        <v>0</v>
      </c>
    </row>
    <row r="225" spans="2:140" x14ac:dyDescent="0.4">
      <c r="B225" s="60" t="s">
        <v>120</v>
      </c>
      <c r="H225" s="316"/>
      <c r="I225" s="12">
        <f ca="1">I224*((1+$C222)^((I$6-H$6)/365))-I224</f>
        <v>95192.671509106643</v>
      </c>
      <c r="J225" s="12">
        <f t="shared" ref="J225:BU225" ca="1" si="381">J224*((1+$C222)^((J$6-I$6)/365))-J224</f>
        <v>87256.669752558693</v>
      </c>
      <c r="K225" s="12">
        <f t="shared" ca="1" si="381"/>
        <v>98039.858428741805</v>
      </c>
      <c r="L225" s="12">
        <f t="shared" ca="1" si="381"/>
        <v>101776.64474359434</v>
      </c>
      <c r="M225" s="12">
        <f t="shared" ca="1" si="381"/>
        <v>112409.52775770053</v>
      </c>
      <c r="N225" s="12">
        <f t="shared" ca="1" si="381"/>
        <v>115896.25063944049</v>
      </c>
      <c r="O225" s="12">
        <f t="shared" ca="1" si="381"/>
        <v>127223.78236830048</v>
      </c>
      <c r="P225" s="12">
        <f t="shared" ca="1" si="381"/>
        <v>178237.28194811381</v>
      </c>
      <c r="Q225" s="12">
        <f t="shared" ca="1" si="381"/>
        <v>222570.2624393478</v>
      </c>
      <c r="R225" s="12">
        <f t="shared" ca="1" si="381"/>
        <v>282548.28069216758</v>
      </c>
      <c r="S225" s="12">
        <f t="shared" ca="1" si="381"/>
        <v>304482.67938139662</v>
      </c>
      <c r="T225" s="12">
        <f t="shared" ca="1" si="381"/>
        <v>319462.45314116031</v>
      </c>
      <c r="U225" s="12">
        <f t="shared" ca="1" si="381"/>
        <v>324447.77844630182</v>
      </c>
      <c r="V225" s="12">
        <f t="shared" ca="1" si="381"/>
        <v>297399.28722487763</v>
      </c>
      <c r="W225" s="12">
        <f t="shared" ca="1" si="381"/>
        <v>334151.9232743904</v>
      </c>
      <c r="X225" s="12">
        <f t="shared" ca="1" si="381"/>
        <v>328336.95459263399</v>
      </c>
      <c r="Y225" s="12">
        <f t="shared" ca="1" si="381"/>
        <v>344490.29804967344</v>
      </c>
      <c r="Z225" s="12">
        <f t="shared" ca="1" si="381"/>
        <v>338552.0373711288</v>
      </c>
      <c r="AA225" s="12">
        <f t="shared" ca="1" si="381"/>
        <v>355173.8842507638</v>
      </c>
      <c r="AB225" s="12">
        <f t="shared" ca="1" si="381"/>
        <v>360154.05562650412</v>
      </c>
      <c r="AC225" s="12">
        <f t="shared" ca="1" si="381"/>
        <v>352829.50772486255</v>
      </c>
      <c r="AD225" s="12">
        <f t="shared" ca="1" si="381"/>
        <v>368563.30977900699</v>
      </c>
      <c r="AE225" s="12">
        <f t="shared" ca="1" si="381"/>
        <v>360061.45058635622</v>
      </c>
      <c r="AF225" s="12">
        <f t="shared" ca="1" si="381"/>
        <v>377525.66470313817</v>
      </c>
      <c r="AG225" s="12">
        <f t="shared" ca="1" si="381"/>
        <v>382713.95438552648</v>
      </c>
      <c r="AH225" s="12">
        <f t="shared" ca="1" si="381"/>
        <v>349584.23045405</v>
      </c>
      <c r="AI225" s="12">
        <f t="shared" ca="1" si="381"/>
        <v>390629.25524596497</v>
      </c>
      <c r="AJ225" s="12">
        <f t="shared" ca="1" si="381"/>
        <v>381973.6471276395</v>
      </c>
      <c r="AK225" s="12">
        <f t="shared" ca="1" si="381"/>
        <v>398754.89346504584</v>
      </c>
      <c r="AL225" s="12">
        <f t="shared" ca="1" si="381"/>
        <v>389940.0247596018</v>
      </c>
      <c r="AM225" s="12">
        <f t="shared" ca="1" si="381"/>
        <v>407093.89727797732</v>
      </c>
      <c r="AN225" s="12">
        <f t="shared" ca="1" si="381"/>
        <v>411488.88775320351</v>
      </c>
      <c r="AO225" s="12">
        <f t="shared" ca="1" si="381"/>
        <v>401906.36885790154</v>
      </c>
      <c r="AP225" s="12">
        <f t="shared" ca="1" si="381"/>
        <v>419082.4972435385</v>
      </c>
      <c r="AQ225" s="12">
        <f t="shared" ca="1" si="381"/>
        <v>409345.8120284453</v>
      </c>
      <c r="AR225" s="12">
        <f t="shared" ca="1" si="381"/>
        <v>426864.54090307653</v>
      </c>
      <c r="AS225" s="12">
        <f t="shared" ca="1" si="381"/>
        <v>0</v>
      </c>
      <c r="AT225" s="12">
        <f t="shared" ca="1" si="381"/>
        <v>0</v>
      </c>
      <c r="AU225" s="12">
        <f t="shared" ca="1" si="381"/>
        <v>0</v>
      </c>
      <c r="AV225" s="12">
        <f t="shared" ca="1" si="381"/>
        <v>0</v>
      </c>
      <c r="AW225" s="12">
        <f t="shared" ca="1" si="381"/>
        <v>0</v>
      </c>
      <c r="AX225" s="12">
        <f t="shared" ca="1" si="381"/>
        <v>0</v>
      </c>
      <c r="AY225" s="12">
        <f t="shared" ca="1" si="381"/>
        <v>0</v>
      </c>
      <c r="AZ225" s="12">
        <f t="shared" ca="1" si="381"/>
        <v>0</v>
      </c>
      <c r="BA225" s="12">
        <f t="shared" ca="1" si="381"/>
        <v>0</v>
      </c>
      <c r="BB225" s="12">
        <f t="shared" ca="1" si="381"/>
        <v>0</v>
      </c>
      <c r="BC225" s="12">
        <f t="shared" ca="1" si="381"/>
        <v>0</v>
      </c>
      <c r="BD225" s="12">
        <f t="shared" ca="1" si="381"/>
        <v>0</v>
      </c>
      <c r="BE225" s="12">
        <f t="shared" ca="1" si="381"/>
        <v>0</v>
      </c>
      <c r="BF225" s="12">
        <f t="shared" ca="1" si="381"/>
        <v>0</v>
      </c>
      <c r="BG225" s="12">
        <f t="shared" ca="1" si="381"/>
        <v>0</v>
      </c>
      <c r="BH225" s="12">
        <f t="shared" ca="1" si="381"/>
        <v>0</v>
      </c>
      <c r="BI225" s="12">
        <f t="shared" ca="1" si="381"/>
        <v>0</v>
      </c>
      <c r="BJ225" s="12">
        <f t="shared" ca="1" si="381"/>
        <v>0</v>
      </c>
      <c r="BK225" s="12">
        <f t="shared" ca="1" si="381"/>
        <v>0</v>
      </c>
      <c r="BL225" s="12">
        <f t="shared" ca="1" si="381"/>
        <v>0</v>
      </c>
      <c r="BM225" s="12">
        <f t="shared" ca="1" si="381"/>
        <v>0</v>
      </c>
      <c r="BN225" s="12">
        <f t="shared" ca="1" si="381"/>
        <v>0</v>
      </c>
      <c r="BO225" s="12">
        <f t="shared" ca="1" si="381"/>
        <v>0</v>
      </c>
      <c r="BP225" s="12">
        <f t="shared" ca="1" si="381"/>
        <v>0</v>
      </c>
      <c r="BQ225" s="12">
        <f t="shared" ca="1" si="381"/>
        <v>0</v>
      </c>
      <c r="BR225" s="12">
        <f t="shared" ca="1" si="381"/>
        <v>0</v>
      </c>
      <c r="BS225" s="12">
        <f t="shared" ca="1" si="381"/>
        <v>0</v>
      </c>
      <c r="BT225" s="12">
        <f t="shared" ca="1" si="381"/>
        <v>0</v>
      </c>
      <c r="BU225" s="12">
        <f t="shared" ca="1" si="381"/>
        <v>0</v>
      </c>
      <c r="BV225" s="12">
        <f t="shared" ref="BV225:EG225" ca="1" si="382">BV224*((1+$C222)^((BV$6-BU$6)/365))-BV224</f>
        <v>0</v>
      </c>
      <c r="BW225" s="12">
        <f t="shared" ca="1" si="382"/>
        <v>0</v>
      </c>
      <c r="BX225" s="12">
        <f t="shared" ca="1" si="382"/>
        <v>0</v>
      </c>
      <c r="BY225" s="12">
        <f t="shared" ca="1" si="382"/>
        <v>0</v>
      </c>
      <c r="BZ225" s="12">
        <f t="shared" ca="1" si="382"/>
        <v>0</v>
      </c>
      <c r="CA225" s="12">
        <f t="shared" ca="1" si="382"/>
        <v>0</v>
      </c>
      <c r="CB225" s="12">
        <f t="shared" ca="1" si="382"/>
        <v>0</v>
      </c>
      <c r="CC225" s="12">
        <f t="shared" ca="1" si="382"/>
        <v>0</v>
      </c>
      <c r="CD225" s="12">
        <f t="shared" ca="1" si="382"/>
        <v>0</v>
      </c>
      <c r="CE225" s="12">
        <f t="shared" ca="1" si="382"/>
        <v>0</v>
      </c>
      <c r="CF225" s="12">
        <f t="shared" ca="1" si="382"/>
        <v>0</v>
      </c>
      <c r="CG225" s="12">
        <f t="shared" ca="1" si="382"/>
        <v>0</v>
      </c>
      <c r="CH225" s="12">
        <f t="shared" ca="1" si="382"/>
        <v>0</v>
      </c>
      <c r="CI225" s="12">
        <f t="shared" ca="1" si="382"/>
        <v>0</v>
      </c>
      <c r="CJ225" s="12">
        <f t="shared" ca="1" si="382"/>
        <v>0</v>
      </c>
      <c r="CK225" s="12">
        <f t="shared" ca="1" si="382"/>
        <v>0</v>
      </c>
      <c r="CL225" s="12">
        <f t="shared" ca="1" si="382"/>
        <v>0</v>
      </c>
      <c r="CM225" s="12">
        <f t="shared" ca="1" si="382"/>
        <v>0</v>
      </c>
      <c r="CN225" s="12">
        <f t="shared" ca="1" si="382"/>
        <v>0</v>
      </c>
      <c r="CO225" s="12">
        <f t="shared" ca="1" si="382"/>
        <v>0</v>
      </c>
      <c r="CP225" s="12">
        <f t="shared" ca="1" si="382"/>
        <v>0</v>
      </c>
      <c r="CQ225" s="12">
        <f t="shared" ca="1" si="382"/>
        <v>0</v>
      </c>
      <c r="CR225" s="12">
        <f t="shared" ca="1" si="382"/>
        <v>0</v>
      </c>
      <c r="CS225" s="12">
        <f t="shared" ca="1" si="382"/>
        <v>0</v>
      </c>
      <c r="CT225" s="12">
        <f t="shared" ca="1" si="382"/>
        <v>0</v>
      </c>
      <c r="CU225" s="12">
        <f t="shared" ca="1" si="382"/>
        <v>0</v>
      </c>
      <c r="CV225" s="12">
        <f t="shared" ca="1" si="382"/>
        <v>0</v>
      </c>
      <c r="CW225" s="12">
        <f t="shared" ca="1" si="382"/>
        <v>0</v>
      </c>
      <c r="CX225" s="12">
        <f t="shared" ca="1" si="382"/>
        <v>0</v>
      </c>
      <c r="CY225" s="12">
        <f t="shared" ca="1" si="382"/>
        <v>0</v>
      </c>
      <c r="CZ225" s="12">
        <f t="shared" ca="1" si="382"/>
        <v>0</v>
      </c>
      <c r="DA225" s="12">
        <f t="shared" ca="1" si="382"/>
        <v>0</v>
      </c>
      <c r="DB225" s="12">
        <f t="shared" ca="1" si="382"/>
        <v>0</v>
      </c>
      <c r="DC225" s="12">
        <f t="shared" ca="1" si="382"/>
        <v>0</v>
      </c>
      <c r="DD225" s="12">
        <f t="shared" ca="1" si="382"/>
        <v>0</v>
      </c>
      <c r="DE225" s="12">
        <f t="shared" ca="1" si="382"/>
        <v>0</v>
      </c>
      <c r="DF225" s="12">
        <f t="shared" ca="1" si="382"/>
        <v>0</v>
      </c>
      <c r="DG225" s="12">
        <f t="shared" ca="1" si="382"/>
        <v>0</v>
      </c>
      <c r="DH225" s="12">
        <f t="shared" ca="1" si="382"/>
        <v>0</v>
      </c>
      <c r="DI225" s="12">
        <f t="shared" ca="1" si="382"/>
        <v>0</v>
      </c>
      <c r="DJ225" s="12">
        <f t="shared" ca="1" si="382"/>
        <v>0</v>
      </c>
      <c r="DK225" s="12">
        <f t="shared" ca="1" si="382"/>
        <v>0</v>
      </c>
      <c r="DL225" s="12">
        <f t="shared" ca="1" si="382"/>
        <v>0</v>
      </c>
      <c r="DM225" s="12">
        <f t="shared" ca="1" si="382"/>
        <v>0</v>
      </c>
      <c r="DN225" s="12">
        <f t="shared" ca="1" si="382"/>
        <v>0</v>
      </c>
      <c r="DO225" s="12">
        <f t="shared" ca="1" si="382"/>
        <v>0</v>
      </c>
      <c r="DP225" s="12">
        <f t="shared" ca="1" si="382"/>
        <v>0</v>
      </c>
      <c r="DQ225" s="12">
        <f t="shared" ca="1" si="382"/>
        <v>0</v>
      </c>
      <c r="DR225" s="12">
        <f t="shared" ca="1" si="382"/>
        <v>0</v>
      </c>
      <c r="DS225" s="12">
        <f t="shared" ca="1" si="382"/>
        <v>0</v>
      </c>
      <c r="DT225" s="12">
        <f t="shared" ca="1" si="382"/>
        <v>0</v>
      </c>
      <c r="DU225" s="12">
        <f t="shared" ca="1" si="382"/>
        <v>0</v>
      </c>
      <c r="DV225" s="12">
        <f t="shared" ca="1" si="382"/>
        <v>0</v>
      </c>
      <c r="DW225" s="12">
        <f t="shared" ca="1" si="382"/>
        <v>0</v>
      </c>
      <c r="DX225" s="12">
        <f t="shared" ca="1" si="382"/>
        <v>0</v>
      </c>
      <c r="DY225" s="12">
        <f t="shared" ca="1" si="382"/>
        <v>0</v>
      </c>
      <c r="DZ225" s="12">
        <f t="shared" ca="1" si="382"/>
        <v>0</v>
      </c>
      <c r="EA225" s="12">
        <f t="shared" ca="1" si="382"/>
        <v>0</v>
      </c>
      <c r="EB225" s="12">
        <f t="shared" ca="1" si="382"/>
        <v>0</v>
      </c>
      <c r="EC225" s="12">
        <f t="shared" ca="1" si="382"/>
        <v>0</v>
      </c>
      <c r="ED225" s="12">
        <f t="shared" ca="1" si="382"/>
        <v>0</v>
      </c>
      <c r="EE225" s="12">
        <f t="shared" ca="1" si="382"/>
        <v>0</v>
      </c>
      <c r="EF225" s="12">
        <f t="shared" ca="1" si="382"/>
        <v>0</v>
      </c>
      <c r="EG225" s="12">
        <f t="shared" ca="1" si="382"/>
        <v>0</v>
      </c>
      <c r="EH225" s="12">
        <f ca="1">EH224*((1+$C222)^((EH$6-EG$6)/365))-EH224</f>
        <v>0</v>
      </c>
      <c r="EI225" s="12">
        <f ca="1">EI224*((1+$C222)^((EI$6-EH$6)/365))-EI224</f>
        <v>0</v>
      </c>
      <c r="EJ225" s="12">
        <f ca="1">EJ224*((1+$C222)^((EJ$6-EI$6)/365))-EJ224</f>
        <v>0</v>
      </c>
    </row>
    <row r="226" spans="2:140" x14ac:dyDescent="0.4">
      <c r="B226" s="60" t="s">
        <v>324</v>
      </c>
      <c r="H226" s="316"/>
      <c r="I226" s="12">
        <f ca="1">SUM(I207:I208)</f>
        <v>0</v>
      </c>
      <c r="J226" s="12">
        <f t="shared" ref="J226:BU226" ca="1" si="383">SUM(J207:J208)</f>
        <v>0</v>
      </c>
      <c r="K226" s="12">
        <f t="shared" ca="1" si="383"/>
        <v>0</v>
      </c>
      <c r="L226" s="12">
        <f t="shared" ca="1" si="383"/>
        <v>0</v>
      </c>
      <c r="M226" s="12">
        <f t="shared" ca="1" si="383"/>
        <v>0</v>
      </c>
      <c r="N226" s="12">
        <f t="shared" ca="1" si="383"/>
        <v>0</v>
      </c>
      <c r="O226" s="12">
        <f t="shared" ca="1" si="383"/>
        <v>0</v>
      </c>
      <c r="P226" s="12">
        <f t="shared" ca="1" si="383"/>
        <v>0</v>
      </c>
      <c r="Q226" s="12">
        <f t="shared" ca="1" si="383"/>
        <v>0</v>
      </c>
      <c r="R226" s="12">
        <f t="shared" ca="1" si="383"/>
        <v>0</v>
      </c>
      <c r="S226" s="12">
        <f t="shared" ca="1" si="383"/>
        <v>0</v>
      </c>
      <c r="T226" s="12">
        <f t="shared" ca="1" si="383"/>
        <v>0</v>
      </c>
      <c r="U226" s="12">
        <f t="shared" ca="1" si="383"/>
        <v>0</v>
      </c>
      <c r="V226" s="12">
        <f t="shared" ca="1" si="383"/>
        <v>0</v>
      </c>
      <c r="W226" s="12">
        <f t="shared" ca="1" si="383"/>
        <v>0</v>
      </c>
      <c r="X226" s="12">
        <f t="shared" ca="1" si="383"/>
        <v>0</v>
      </c>
      <c r="Y226" s="12">
        <f t="shared" ca="1" si="383"/>
        <v>0</v>
      </c>
      <c r="Z226" s="12">
        <f t="shared" ca="1" si="383"/>
        <v>-2182.1149752531201</v>
      </c>
      <c r="AA226" s="12">
        <f t="shared" ca="1" si="383"/>
        <v>-36041.69780824054</v>
      </c>
      <c r="AB226" s="12">
        <f t="shared" ca="1" si="383"/>
        <v>-70014.129439241253</v>
      </c>
      <c r="AC226" s="12">
        <f t="shared" ca="1" si="383"/>
        <v>-104099.69197651744</v>
      </c>
      <c r="AD226" s="12">
        <f t="shared" ca="1" si="383"/>
        <v>-138298.66815521801</v>
      </c>
      <c r="AE226" s="12">
        <f t="shared" ca="1" si="383"/>
        <v>-16013.341338717873</v>
      </c>
      <c r="AF226" s="12">
        <f t="shared" ca="1" si="383"/>
        <v>-45057.139964299422</v>
      </c>
      <c r="AG226" s="12">
        <f t="shared" ca="1" si="383"/>
        <v>-86883.043362286058</v>
      </c>
      <c r="AH226" s="12">
        <f t="shared" ca="1" si="383"/>
        <v>-138198.20467727483</v>
      </c>
      <c r="AI226" s="12">
        <f t="shared" ca="1" si="383"/>
        <v>-123048.71955549388</v>
      </c>
      <c r="AJ226" s="12">
        <f t="shared" ca="1" si="383"/>
        <v>-128858.70962022309</v>
      </c>
      <c r="AK226" s="12">
        <f t="shared" ca="1" si="383"/>
        <v>-124231.43502203858</v>
      </c>
      <c r="AL226" s="12">
        <f t="shared" ca="1" si="383"/>
        <v>-130095.42258970125</v>
      </c>
      <c r="AM226" s="12">
        <f t="shared" ca="1" si="383"/>
        <v>-125460.43249685163</v>
      </c>
      <c r="AN226" s="12">
        <f t="shared" ca="1" si="383"/>
        <v>-160398.1239117058</v>
      </c>
      <c r="AO226" s="12">
        <f t="shared" ca="1" si="383"/>
        <v>-166394.36006254304</v>
      </c>
      <c r="AP226" s="12">
        <f t="shared" ca="1" si="383"/>
        <v>-161856.64667363136</v>
      </c>
      <c r="AQ226" s="12">
        <f t="shared" ca="1" si="383"/>
        <v>-167893.92227835837</v>
      </c>
      <c r="AR226" s="12">
        <f t="shared" ca="1" si="383"/>
        <v>-24731161.00256066</v>
      </c>
      <c r="AS226" s="12">
        <f t="shared" ca="1" si="383"/>
        <v>0</v>
      </c>
      <c r="AT226" s="12">
        <f t="shared" ca="1" si="383"/>
        <v>0</v>
      </c>
      <c r="AU226" s="12">
        <f t="shared" ca="1" si="383"/>
        <v>0</v>
      </c>
      <c r="AV226" s="12">
        <f t="shared" ca="1" si="383"/>
        <v>0</v>
      </c>
      <c r="AW226" s="12">
        <f t="shared" ca="1" si="383"/>
        <v>0</v>
      </c>
      <c r="AX226" s="12">
        <f t="shared" ca="1" si="383"/>
        <v>0</v>
      </c>
      <c r="AY226" s="12">
        <f t="shared" ca="1" si="383"/>
        <v>0</v>
      </c>
      <c r="AZ226" s="12">
        <f t="shared" ca="1" si="383"/>
        <v>0</v>
      </c>
      <c r="BA226" s="12">
        <f t="shared" ca="1" si="383"/>
        <v>0</v>
      </c>
      <c r="BB226" s="12">
        <f t="shared" ca="1" si="383"/>
        <v>0</v>
      </c>
      <c r="BC226" s="12">
        <f t="shared" ca="1" si="383"/>
        <v>0</v>
      </c>
      <c r="BD226" s="12">
        <f t="shared" ca="1" si="383"/>
        <v>0</v>
      </c>
      <c r="BE226" s="12">
        <f t="shared" ca="1" si="383"/>
        <v>0</v>
      </c>
      <c r="BF226" s="12">
        <f t="shared" ca="1" si="383"/>
        <v>0</v>
      </c>
      <c r="BG226" s="12">
        <f t="shared" ca="1" si="383"/>
        <v>0</v>
      </c>
      <c r="BH226" s="12">
        <f t="shared" ca="1" si="383"/>
        <v>0</v>
      </c>
      <c r="BI226" s="12">
        <f t="shared" ca="1" si="383"/>
        <v>0</v>
      </c>
      <c r="BJ226" s="12">
        <f t="shared" ca="1" si="383"/>
        <v>0</v>
      </c>
      <c r="BK226" s="12">
        <f t="shared" ca="1" si="383"/>
        <v>0</v>
      </c>
      <c r="BL226" s="12">
        <f t="shared" ca="1" si="383"/>
        <v>0</v>
      </c>
      <c r="BM226" s="12">
        <f t="shared" ca="1" si="383"/>
        <v>0</v>
      </c>
      <c r="BN226" s="12">
        <f t="shared" ca="1" si="383"/>
        <v>0</v>
      </c>
      <c r="BO226" s="12">
        <f t="shared" ca="1" si="383"/>
        <v>0</v>
      </c>
      <c r="BP226" s="12">
        <f t="shared" ca="1" si="383"/>
        <v>0</v>
      </c>
      <c r="BQ226" s="12">
        <f t="shared" ca="1" si="383"/>
        <v>0</v>
      </c>
      <c r="BR226" s="12">
        <f t="shared" ca="1" si="383"/>
        <v>0</v>
      </c>
      <c r="BS226" s="12">
        <f t="shared" ca="1" si="383"/>
        <v>0</v>
      </c>
      <c r="BT226" s="12">
        <f t="shared" ca="1" si="383"/>
        <v>0</v>
      </c>
      <c r="BU226" s="12">
        <f t="shared" ca="1" si="383"/>
        <v>0</v>
      </c>
      <c r="BV226" s="12">
        <f t="shared" ref="BV226:EG226" ca="1" si="384">SUM(BV207:BV208)</f>
        <v>0</v>
      </c>
      <c r="BW226" s="12">
        <f t="shared" ca="1" si="384"/>
        <v>0</v>
      </c>
      <c r="BX226" s="12">
        <f t="shared" ca="1" si="384"/>
        <v>0</v>
      </c>
      <c r="BY226" s="12">
        <f t="shared" ca="1" si="384"/>
        <v>0</v>
      </c>
      <c r="BZ226" s="12">
        <f t="shared" ca="1" si="384"/>
        <v>0</v>
      </c>
      <c r="CA226" s="12">
        <f t="shared" ca="1" si="384"/>
        <v>0</v>
      </c>
      <c r="CB226" s="12">
        <f t="shared" ca="1" si="384"/>
        <v>0</v>
      </c>
      <c r="CC226" s="12">
        <f t="shared" ca="1" si="384"/>
        <v>0</v>
      </c>
      <c r="CD226" s="12">
        <f t="shared" ca="1" si="384"/>
        <v>0</v>
      </c>
      <c r="CE226" s="12">
        <f t="shared" ca="1" si="384"/>
        <v>0</v>
      </c>
      <c r="CF226" s="12">
        <f t="shared" ca="1" si="384"/>
        <v>0</v>
      </c>
      <c r="CG226" s="12">
        <f t="shared" ca="1" si="384"/>
        <v>0</v>
      </c>
      <c r="CH226" s="12">
        <f t="shared" ca="1" si="384"/>
        <v>0</v>
      </c>
      <c r="CI226" s="12">
        <f t="shared" ca="1" si="384"/>
        <v>0</v>
      </c>
      <c r="CJ226" s="12">
        <f t="shared" ca="1" si="384"/>
        <v>0</v>
      </c>
      <c r="CK226" s="12">
        <f t="shared" ca="1" si="384"/>
        <v>0</v>
      </c>
      <c r="CL226" s="12">
        <f t="shared" ca="1" si="384"/>
        <v>0</v>
      </c>
      <c r="CM226" s="12">
        <f t="shared" ca="1" si="384"/>
        <v>0</v>
      </c>
      <c r="CN226" s="12">
        <f t="shared" ca="1" si="384"/>
        <v>0</v>
      </c>
      <c r="CO226" s="12">
        <f t="shared" ca="1" si="384"/>
        <v>0</v>
      </c>
      <c r="CP226" s="12">
        <f t="shared" ca="1" si="384"/>
        <v>0</v>
      </c>
      <c r="CQ226" s="12">
        <f t="shared" ca="1" si="384"/>
        <v>0</v>
      </c>
      <c r="CR226" s="12">
        <f t="shared" ca="1" si="384"/>
        <v>0</v>
      </c>
      <c r="CS226" s="12">
        <f t="shared" ca="1" si="384"/>
        <v>0</v>
      </c>
      <c r="CT226" s="12">
        <f t="shared" ca="1" si="384"/>
        <v>0</v>
      </c>
      <c r="CU226" s="12">
        <f t="shared" ca="1" si="384"/>
        <v>0</v>
      </c>
      <c r="CV226" s="12">
        <f t="shared" ca="1" si="384"/>
        <v>0</v>
      </c>
      <c r="CW226" s="12">
        <f t="shared" ca="1" si="384"/>
        <v>0</v>
      </c>
      <c r="CX226" s="12">
        <f t="shared" ca="1" si="384"/>
        <v>0</v>
      </c>
      <c r="CY226" s="12">
        <f t="shared" ca="1" si="384"/>
        <v>0</v>
      </c>
      <c r="CZ226" s="12">
        <f t="shared" ca="1" si="384"/>
        <v>0</v>
      </c>
      <c r="DA226" s="12">
        <f t="shared" ca="1" si="384"/>
        <v>0</v>
      </c>
      <c r="DB226" s="12">
        <f t="shared" ca="1" si="384"/>
        <v>0</v>
      </c>
      <c r="DC226" s="12">
        <f t="shared" ca="1" si="384"/>
        <v>0</v>
      </c>
      <c r="DD226" s="12">
        <f t="shared" ca="1" si="384"/>
        <v>0</v>
      </c>
      <c r="DE226" s="12">
        <f t="shared" ca="1" si="384"/>
        <v>0</v>
      </c>
      <c r="DF226" s="12">
        <f t="shared" ca="1" si="384"/>
        <v>0</v>
      </c>
      <c r="DG226" s="12">
        <f t="shared" ca="1" si="384"/>
        <v>0</v>
      </c>
      <c r="DH226" s="12">
        <f t="shared" ca="1" si="384"/>
        <v>0</v>
      </c>
      <c r="DI226" s="12">
        <f t="shared" ca="1" si="384"/>
        <v>0</v>
      </c>
      <c r="DJ226" s="12">
        <f t="shared" ca="1" si="384"/>
        <v>0</v>
      </c>
      <c r="DK226" s="12">
        <f t="shared" ca="1" si="384"/>
        <v>0</v>
      </c>
      <c r="DL226" s="12">
        <f t="shared" ca="1" si="384"/>
        <v>0</v>
      </c>
      <c r="DM226" s="12">
        <f t="shared" ca="1" si="384"/>
        <v>0</v>
      </c>
      <c r="DN226" s="12">
        <f t="shared" ca="1" si="384"/>
        <v>0</v>
      </c>
      <c r="DO226" s="12">
        <f t="shared" ca="1" si="384"/>
        <v>0</v>
      </c>
      <c r="DP226" s="12">
        <f t="shared" ca="1" si="384"/>
        <v>0</v>
      </c>
      <c r="DQ226" s="12">
        <f t="shared" ca="1" si="384"/>
        <v>0</v>
      </c>
      <c r="DR226" s="12">
        <f t="shared" ca="1" si="384"/>
        <v>0</v>
      </c>
      <c r="DS226" s="12">
        <f t="shared" ca="1" si="384"/>
        <v>0</v>
      </c>
      <c r="DT226" s="12">
        <f t="shared" ca="1" si="384"/>
        <v>0</v>
      </c>
      <c r="DU226" s="12">
        <f t="shared" ca="1" si="384"/>
        <v>0</v>
      </c>
      <c r="DV226" s="12">
        <f t="shared" ca="1" si="384"/>
        <v>0</v>
      </c>
      <c r="DW226" s="12">
        <f t="shared" ca="1" si="384"/>
        <v>0</v>
      </c>
      <c r="DX226" s="12">
        <f t="shared" ca="1" si="384"/>
        <v>0</v>
      </c>
      <c r="DY226" s="12">
        <f t="shared" ca="1" si="384"/>
        <v>0</v>
      </c>
      <c r="DZ226" s="12">
        <f t="shared" ca="1" si="384"/>
        <v>0</v>
      </c>
      <c r="EA226" s="12">
        <f t="shared" ca="1" si="384"/>
        <v>0</v>
      </c>
      <c r="EB226" s="12">
        <f t="shared" ca="1" si="384"/>
        <v>0</v>
      </c>
      <c r="EC226" s="12">
        <f t="shared" ca="1" si="384"/>
        <v>0</v>
      </c>
      <c r="ED226" s="12">
        <f t="shared" ca="1" si="384"/>
        <v>0</v>
      </c>
      <c r="EE226" s="12">
        <f t="shared" ca="1" si="384"/>
        <v>0</v>
      </c>
      <c r="EF226" s="12">
        <f t="shared" ca="1" si="384"/>
        <v>0</v>
      </c>
      <c r="EG226" s="12">
        <f t="shared" ca="1" si="384"/>
        <v>0</v>
      </c>
      <c r="EH226" s="12">
        <f ca="1">SUM(EH207:EH208)</f>
        <v>0</v>
      </c>
      <c r="EI226" s="12">
        <f ca="1">SUM(EI207:EI208)</f>
        <v>0</v>
      </c>
      <c r="EJ226" s="12">
        <f ca="1">SUM(EJ207:EJ208)</f>
        <v>0</v>
      </c>
    </row>
    <row r="227" spans="2:140" x14ac:dyDescent="0.4">
      <c r="B227" s="60" t="s">
        <v>325</v>
      </c>
      <c r="H227" s="316"/>
      <c r="I227" s="12">
        <f ca="1">-MAX(MIN(SUM(I224:I226),(1-$C223)*I220),0)</f>
        <v>0</v>
      </c>
      <c r="J227" s="12">
        <f t="shared" ref="J227:BU227" ca="1" si="385">-MAX(MIN(SUM(J224:J226),(1-$C223)*J220),0)</f>
        <v>0</v>
      </c>
      <c r="K227" s="12">
        <f t="shared" ca="1" si="385"/>
        <v>0</v>
      </c>
      <c r="L227" s="12">
        <f t="shared" ca="1" si="385"/>
        <v>0</v>
      </c>
      <c r="M227" s="12">
        <f t="shared" ca="1" si="385"/>
        <v>0</v>
      </c>
      <c r="N227" s="12">
        <f t="shared" ca="1" si="385"/>
        <v>0</v>
      </c>
      <c r="O227" s="12">
        <f t="shared" ca="1" si="385"/>
        <v>0</v>
      </c>
      <c r="P227" s="12">
        <f t="shared" ca="1" si="385"/>
        <v>0</v>
      </c>
      <c r="Q227" s="12">
        <f t="shared" ca="1" si="385"/>
        <v>0</v>
      </c>
      <c r="R227" s="12">
        <f t="shared" ca="1" si="385"/>
        <v>0</v>
      </c>
      <c r="S227" s="12">
        <f t="shared" ca="1" si="385"/>
        <v>0</v>
      </c>
      <c r="T227" s="12">
        <f t="shared" ca="1" si="385"/>
        <v>0</v>
      </c>
      <c r="U227" s="12">
        <f t="shared" ca="1" si="385"/>
        <v>0</v>
      </c>
      <c r="V227" s="12">
        <f t="shared" ca="1" si="385"/>
        <v>0</v>
      </c>
      <c r="W227" s="12">
        <f t="shared" ca="1" si="385"/>
        <v>0</v>
      </c>
      <c r="X227" s="12">
        <f t="shared" ca="1" si="385"/>
        <v>0</v>
      </c>
      <c r="Y227" s="12">
        <f t="shared" ca="1" si="385"/>
        <v>0</v>
      </c>
      <c r="Z227" s="12">
        <f t="shared" ca="1" si="385"/>
        <v>0</v>
      </c>
      <c r="AA227" s="12">
        <f t="shared" ca="1" si="385"/>
        <v>0</v>
      </c>
      <c r="AB227" s="12">
        <f t="shared" ca="1" si="385"/>
        <v>0</v>
      </c>
      <c r="AC227" s="12">
        <f t="shared" ca="1" si="385"/>
        <v>0</v>
      </c>
      <c r="AD227" s="12">
        <f t="shared" ca="1" si="385"/>
        <v>0</v>
      </c>
      <c r="AE227" s="12">
        <f t="shared" ca="1" si="385"/>
        <v>0</v>
      </c>
      <c r="AF227" s="12">
        <f t="shared" ca="1" si="385"/>
        <v>0</v>
      </c>
      <c r="AG227" s="12">
        <f t="shared" ca="1" si="385"/>
        <v>0</v>
      </c>
      <c r="AH227" s="12">
        <f t="shared" ca="1" si="385"/>
        <v>0</v>
      </c>
      <c r="AI227" s="12">
        <f t="shared" ca="1" si="385"/>
        <v>0</v>
      </c>
      <c r="AJ227" s="12">
        <f t="shared" ca="1" si="385"/>
        <v>0</v>
      </c>
      <c r="AK227" s="12">
        <f t="shared" ca="1" si="385"/>
        <v>0</v>
      </c>
      <c r="AL227" s="12">
        <f t="shared" ca="1" si="385"/>
        <v>0</v>
      </c>
      <c r="AM227" s="12">
        <f t="shared" ca="1" si="385"/>
        <v>0</v>
      </c>
      <c r="AN227" s="12">
        <f t="shared" ca="1" si="385"/>
        <v>0</v>
      </c>
      <c r="AO227" s="12">
        <f t="shared" ca="1" si="385"/>
        <v>0</v>
      </c>
      <c r="AP227" s="12">
        <f t="shared" ca="1" si="385"/>
        <v>0</v>
      </c>
      <c r="AQ227" s="12">
        <f t="shared" ca="1" si="385"/>
        <v>0</v>
      </c>
      <c r="AR227" s="12">
        <f t="shared" ca="1" si="385"/>
        <v>-3049423.7168927677</v>
      </c>
      <c r="AS227" s="12">
        <f t="shared" ca="1" si="385"/>
        <v>0</v>
      </c>
      <c r="AT227" s="12">
        <f t="shared" ca="1" si="385"/>
        <v>0</v>
      </c>
      <c r="AU227" s="12">
        <f t="shared" ca="1" si="385"/>
        <v>0</v>
      </c>
      <c r="AV227" s="12">
        <f t="shared" ca="1" si="385"/>
        <v>0</v>
      </c>
      <c r="AW227" s="12">
        <f t="shared" ca="1" si="385"/>
        <v>0</v>
      </c>
      <c r="AX227" s="12">
        <f t="shared" ca="1" si="385"/>
        <v>0</v>
      </c>
      <c r="AY227" s="12">
        <f t="shared" ca="1" si="385"/>
        <v>0</v>
      </c>
      <c r="AZ227" s="12">
        <f t="shared" ca="1" si="385"/>
        <v>0</v>
      </c>
      <c r="BA227" s="12">
        <f t="shared" ca="1" si="385"/>
        <v>0</v>
      </c>
      <c r="BB227" s="12">
        <f t="shared" ca="1" si="385"/>
        <v>0</v>
      </c>
      <c r="BC227" s="12">
        <f t="shared" ca="1" si="385"/>
        <v>0</v>
      </c>
      <c r="BD227" s="12">
        <f t="shared" ca="1" si="385"/>
        <v>0</v>
      </c>
      <c r="BE227" s="12">
        <f t="shared" ca="1" si="385"/>
        <v>0</v>
      </c>
      <c r="BF227" s="12">
        <f t="shared" ca="1" si="385"/>
        <v>0</v>
      </c>
      <c r="BG227" s="12">
        <f t="shared" ca="1" si="385"/>
        <v>0</v>
      </c>
      <c r="BH227" s="12">
        <f t="shared" ca="1" si="385"/>
        <v>0</v>
      </c>
      <c r="BI227" s="12">
        <f t="shared" ca="1" si="385"/>
        <v>0</v>
      </c>
      <c r="BJ227" s="12">
        <f t="shared" ca="1" si="385"/>
        <v>0</v>
      </c>
      <c r="BK227" s="12">
        <f t="shared" ca="1" si="385"/>
        <v>0</v>
      </c>
      <c r="BL227" s="12">
        <f t="shared" ca="1" si="385"/>
        <v>0</v>
      </c>
      <c r="BM227" s="12">
        <f t="shared" ca="1" si="385"/>
        <v>0</v>
      </c>
      <c r="BN227" s="12">
        <f t="shared" ca="1" si="385"/>
        <v>0</v>
      </c>
      <c r="BO227" s="12">
        <f t="shared" ca="1" si="385"/>
        <v>0</v>
      </c>
      <c r="BP227" s="12">
        <f t="shared" ca="1" si="385"/>
        <v>0</v>
      </c>
      <c r="BQ227" s="12">
        <f t="shared" ca="1" si="385"/>
        <v>0</v>
      </c>
      <c r="BR227" s="12">
        <f t="shared" ca="1" si="385"/>
        <v>0</v>
      </c>
      <c r="BS227" s="12">
        <f t="shared" ca="1" si="385"/>
        <v>0</v>
      </c>
      <c r="BT227" s="12">
        <f t="shared" ca="1" si="385"/>
        <v>0</v>
      </c>
      <c r="BU227" s="12">
        <f t="shared" ca="1" si="385"/>
        <v>0</v>
      </c>
      <c r="BV227" s="12">
        <f t="shared" ref="BV227:EG227" ca="1" si="386">-MAX(MIN(SUM(BV224:BV226),(1-$C223)*BV220),0)</f>
        <v>0</v>
      </c>
      <c r="BW227" s="12">
        <f t="shared" ca="1" si="386"/>
        <v>0</v>
      </c>
      <c r="BX227" s="12">
        <f t="shared" ca="1" si="386"/>
        <v>0</v>
      </c>
      <c r="BY227" s="12">
        <f t="shared" ca="1" si="386"/>
        <v>0</v>
      </c>
      <c r="BZ227" s="12">
        <f t="shared" ca="1" si="386"/>
        <v>0</v>
      </c>
      <c r="CA227" s="12">
        <f t="shared" ca="1" si="386"/>
        <v>0</v>
      </c>
      <c r="CB227" s="12">
        <f t="shared" ca="1" si="386"/>
        <v>0</v>
      </c>
      <c r="CC227" s="12">
        <f t="shared" ca="1" si="386"/>
        <v>0</v>
      </c>
      <c r="CD227" s="12">
        <f t="shared" ca="1" si="386"/>
        <v>0</v>
      </c>
      <c r="CE227" s="12">
        <f t="shared" ca="1" si="386"/>
        <v>0</v>
      </c>
      <c r="CF227" s="12">
        <f t="shared" ca="1" si="386"/>
        <v>0</v>
      </c>
      <c r="CG227" s="12">
        <f t="shared" ca="1" si="386"/>
        <v>0</v>
      </c>
      <c r="CH227" s="12">
        <f t="shared" ca="1" si="386"/>
        <v>0</v>
      </c>
      <c r="CI227" s="12">
        <f t="shared" ca="1" si="386"/>
        <v>0</v>
      </c>
      <c r="CJ227" s="12">
        <f t="shared" ca="1" si="386"/>
        <v>0</v>
      </c>
      <c r="CK227" s="12">
        <f t="shared" ca="1" si="386"/>
        <v>0</v>
      </c>
      <c r="CL227" s="12">
        <f t="shared" ca="1" si="386"/>
        <v>0</v>
      </c>
      <c r="CM227" s="12">
        <f t="shared" ca="1" si="386"/>
        <v>0</v>
      </c>
      <c r="CN227" s="12">
        <f t="shared" ca="1" si="386"/>
        <v>0</v>
      </c>
      <c r="CO227" s="12">
        <f t="shared" ca="1" si="386"/>
        <v>0</v>
      </c>
      <c r="CP227" s="12">
        <f t="shared" ca="1" si="386"/>
        <v>0</v>
      </c>
      <c r="CQ227" s="12">
        <f t="shared" ca="1" si="386"/>
        <v>0</v>
      </c>
      <c r="CR227" s="12">
        <f t="shared" ca="1" si="386"/>
        <v>0</v>
      </c>
      <c r="CS227" s="12">
        <f t="shared" ca="1" si="386"/>
        <v>0</v>
      </c>
      <c r="CT227" s="12">
        <f t="shared" ca="1" si="386"/>
        <v>0</v>
      </c>
      <c r="CU227" s="12">
        <f t="shared" ca="1" si="386"/>
        <v>0</v>
      </c>
      <c r="CV227" s="12">
        <f t="shared" ca="1" si="386"/>
        <v>0</v>
      </c>
      <c r="CW227" s="12">
        <f t="shared" ca="1" si="386"/>
        <v>0</v>
      </c>
      <c r="CX227" s="12">
        <f t="shared" ca="1" si="386"/>
        <v>0</v>
      </c>
      <c r="CY227" s="12">
        <f t="shared" ca="1" si="386"/>
        <v>0</v>
      </c>
      <c r="CZ227" s="12">
        <f t="shared" ca="1" si="386"/>
        <v>0</v>
      </c>
      <c r="DA227" s="12">
        <f t="shared" ca="1" si="386"/>
        <v>0</v>
      </c>
      <c r="DB227" s="12">
        <f t="shared" ca="1" si="386"/>
        <v>0</v>
      </c>
      <c r="DC227" s="12">
        <f t="shared" ca="1" si="386"/>
        <v>0</v>
      </c>
      <c r="DD227" s="12">
        <f t="shared" ca="1" si="386"/>
        <v>0</v>
      </c>
      <c r="DE227" s="12">
        <f t="shared" ca="1" si="386"/>
        <v>0</v>
      </c>
      <c r="DF227" s="12">
        <f t="shared" ca="1" si="386"/>
        <v>0</v>
      </c>
      <c r="DG227" s="12">
        <f t="shared" ca="1" si="386"/>
        <v>0</v>
      </c>
      <c r="DH227" s="12">
        <f t="shared" ca="1" si="386"/>
        <v>0</v>
      </c>
      <c r="DI227" s="12">
        <f t="shared" ca="1" si="386"/>
        <v>0</v>
      </c>
      <c r="DJ227" s="12">
        <f t="shared" ca="1" si="386"/>
        <v>0</v>
      </c>
      <c r="DK227" s="12">
        <f t="shared" ca="1" si="386"/>
        <v>0</v>
      </c>
      <c r="DL227" s="12">
        <f t="shared" ca="1" si="386"/>
        <v>0</v>
      </c>
      <c r="DM227" s="12">
        <f t="shared" ca="1" si="386"/>
        <v>0</v>
      </c>
      <c r="DN227" s="12">
        <f t="shared" ca="1" si="386"/>
        <v>0</v>
      </c>
      <c r="DO227" s="12">
        <f t="shared" ca="1" si="386"/>
        <v>0</v>
      </c>
      <c r="DP227" s="12">
        <f t="shared" ca="1" si="386"/>
        <v>0</v>
      </c>
      <c r="DQ227" s="12">
        <f t="shared" ca="1" si="386"/>
        <v>0</v>
      </c>
      <c r="DR227" s="12">
        <f t="shared" ca="1" si="386"/>
        <v>0</v>
      </c>
      <c r="DS227" s="12">
        <f t="shared" ca="1" si="386"/>
        <v>0</v>
      </c>
      <c r="DT227" s="12">
        <f t="shared" ca="1" si="386"/>
        <v>0</v>
      </c>
      <c r="DU227" s="12">
        <f t="shared" ca="1" si="386"/>
        <v>0</v>
      </c>
      <c r="DV227" s="12">
        <f t="shared" ca="1" si="386"/>
        <v>0</v>
      </c>
      <c r="DW227" s="12">
        <f t="shared" ca="1" si="386"/>
        <v>0</v>
      </c>
      <c r="DX227" s="12">
        <f t="shared" ca="1" si="386"/>
        <v>0</v>
      </c>
      <c r="DY227" s="12">
        <f t="shared" ca="1" si="386"/>
        <v>0</v>
      </c>
      <c r="DZ227" s="12">
        <f t="shared" ca="1" si="386"/>
        <v>0</v>
      </c>
      <c r="EA227" s="12">
        <f t="shared" ca="1" si="386"/>
        <v>0</v>
      </c>
      <c r="EB227" s="12">
        <f t="shared" ca="1" si="386"/>
        <v>0</v>
      </c>
      <c r="EC227" s="12">
        <f t="shared" ca="1" si="386"/>
        <v>0</v>
      </c>
      <c r="ED227" s="12">
        <f t="shared" ca="1" si="386"/>
        <v>0</v>
      </c>
      <c r="EE227" s="12">
        <f t="shared" ca="1" si="386"/>
        <v>0</v>
      </c>
      <c r="EF227" s="12">
        <f t="shared" ca="1" si="386"/>
        <v>0</v>
      </c>
      <c r="EG227" s="12">
        <f t="shared" ca="1" si="386"/>
        <v>0</v>
      </c>
      <c r="EH227" s="12">
        <f ca="1">-MAX(MIN(SUM(EH224:EH226),(1-$C223)*EH220),0)</f>
        <v>0</v>
      </c>
      <c r="EI227" s="12">
        <f ca="1">-MAX(MIN(SUM(EI224:EI226),(1-$C223)*EI220),0)</f>
        <v>0</v>
      </c>
      <c r="EJ227" s="12">
        <f ca="1">-MAX(MIN(SUM(EJ224:EJ226),(1-$C223)*EJ220),0)</f>
        <v>0</v>
      </c>
    </row>
    <row r="228" spans="2:140" x14ac:dyDescent="0.4">
      <c r="B228" s="60" t="s">
        <v>118</v>
      </c>
      <c r="H228" s="318">
        <f ca="1">-MIN(H$159,0)</f>
        <v>6100000</v>
      </c>
      <c r="I228" s="12">
        <f t="shared" ref="I228:BT228" ca="1" si="387">-MIN(I$159,0)</f>
        <v>0</v>
      </c>
      <c r="J228" s="12">
        <f t="shared" ca="1" si="387"/>
        <v>0</v>
      </c>
      <c r="K228" s="12">
        <f t="shared" ca="1" si="387"/>
        <v>360500</v>
      </c>
      <c r="L228" s="12">
        <f t="shared" ca="1" si="387"/>
        <v>360500</v>
      </c>
      <c r="M228" s="12">
        <f t="shared" ca="1" si="387"/>
        <v>360500</v>
      </c>
      <c r="N228" s="12">
        <f t="shared" ca="1" si="387"/>
        <v>360500</v>
      </c>
      <c r="O228" s="12">
        <f t="shared" ca="1" si="387"/>
        <v>3141750</v>
      </c>
      <c r="P228" s="12">
        <f t="shared" ca="1" si="387"/>
        <v>3141750</v>
      </c>
      <c r="Q228" s="12">
        <f t="shared" ca="1" si="387"/>
        <v>3141750</v>
      </c>
      <c r="R228" s="12">
        <f t="shared" ca="1" si="387"/>
        <v>1778449.999427788</v>
      </c>
      <c r="S228" s="12">
        <f t="shared" ca="1" si="387"/>
        <v>0</v>
      </c>
      <c r="T228" s="12">
        <f t="shared" ca="1" si="387"/>
        <v>0</v>
      </c>
      <c r="U228" s="12">
        <f t="shared" ca="1" si="387"/>
        <v>0</v>
      </c>
      <c r="V228" s="12">
        <f t="shared" ca="1" si="387"/>
        <v>0</v>
      </c>
      <c r="W228" s="12">
        <f t="shared" ca="1" si="387"/>
        <v>0</v>
      </c>
      <c r="X228" s="12">
        <f t="shared" ca="1" si="387"/>
        <v>0</v>
      </c>
      <c r="Y228" s="12">
        <f t="shared" ca="1" si="387"/>
        <v>3750</v>
      </c>
      <c r="Z228" s="12">
        <f t="shared" ca="1" si="387"/>
        <v>0</v>
      </c>
      <c r="AA228" s="12">
        <f t="shared" ca="1" si="387"/>
        <v>0</v>
      </c>
      <c r="AB228" s="12">
        <f t="shared" ca="1" si="387"/>
        <v>0</v>
      </c>
      <c r="AC228" s="12">
        <f t="shared" ca="1" si="387"/>
        <v>0</v>
      </c>
      <c r="AD228" s="12">
        <f t="shared" ca="1" si="387"/>
        <v>0</v>
      </c>
      <c r="AE228" s="12">
        <f t="shared" ca="1" si="387"/>
        <v>0</v>
      </c>
      <c r="AF228" s="12">
        <f t="shared" ca="1" si="387"/>
        <v>0</v>
      </c>
      <c r="AG228" s="12">
        <f t="shared" ca="1" si="387"/>
        <v>0</v>
      </c>
      <c r="AH228" s="12">
        <f t="shared" ca="1" si="387"/>
        <v>0</v>
      </c>
      <c r="AI228" s="12">
        <f t="shared" ca="1" si="387"/>
        <v>0</v>
      </c>
      <c r="AJ228" s="12">
        <f t="shared" ca="1" si="387"/>
        <v>0</v>
      </c>
      <c r="AK228" s="12">
        <f t="shared" ca="1" si="387"/>
        <v>0</v>
      </c>
      <c r="AL228" s="12">
        <f t="shared" ca="1" si="387"/>
        <v>0</v>
      </c>
      <c r="AM228" s="12">
        <f t="shared" ca="1" si="387"/>
        <v>0</v>
      </c>
      <c r="AN228" s="12">
        <f t="shared" ca="1" si="387"/>
        <v>0</v>
      </c>
      <c r="AO228" s="12">
        <f t="shared" ca="1" si="387"/>
        <v>0</v>
      </c>
      <c r="AP228" s="12">
        <f t="shared" ca="1" si="387"/>
        <v>0</v>
      </c>
      <c r="AQ228" s="12">
        <f t="shared" ca="1" si="387"/>
        <v>0</v>
      </c>
      <c r="AR228" s="12">
        <f t="shared" ca="1" si="387"/>
        <v>0</v>
      </c>
      <c r="AS228" s="12">
        <f t="shared" ca="1" si="387"/>
        <v>0</v>
      </c>
      <c r="AT228" s="12">
        <f t="shared" ca="1" si="387"/>
        <v>0</v>
      </c>
      <c r="AU228" s="12">
        <f t="shared" ca="1" si="387"/>
        <v>0</v>
      </c>
      <c r="AV228" s="12">
        <f t="shared" ca="1" si="387"/>
        <v>0</v>
      </c>
      <c r="AW228" s="12">
        <f t="shared" ca="1" si="387"/>
        <v>0</v>
      </c>
      <c r="AX228" s="12">
        <f t="shared" ca="1" si="387"/>
        <v>0</v>
      </c>
      <c r="AY228" s="12">
        <f t="shared" ca="1" si="387"/>
        <v>0</v>
      </c>
      <c r="AZ228" s="12">
        <f t="shared" ca="1" si="387"/>
        <v>0</v>
      </c>
      <c r="BA228" s="12">
        <f t="shared" ca="1" si="387"/>
        <v>0</v>
      </c>
      <c r="BB228" s="12">
        <f t="shared" ca="1" si="387"/>
        <v>0</v>
      </c>
      <c r="BC228" s="12">
        <f t="shared" ca="1" si="387"/>
        <v>0</v>
      </c>
      <c r="BD228" s="12">
        <f t="shared" ca="1" si="387"/>
        <v>0</v>
      </c>
      <c r="BE228" s="12">
        <f t="shared" ca="1" si="387"/>
        <v>0</v>
      </c>
      <c r="BF228" s="12">
        <f t="shared" ca="1" si="387"/>
        <v>0</v>
      </c>
      <c r="BG228" s="12">
        <f t="shared" ca="1" si="387"/>
        <v>0</v>
      </c>
      <c r="BH228" s="12">
        <f t="shared" ca="1" si="387"/>
        <v>0</v>
      </c>
      <c r="BI228" s="12">
        <f t="shared" ca="1" si="387"/>
        <v>0</v>
      </c>
      <c r="BJ228" s="12">
        <f t="shared" ca="1" si="387"/>
        <v>0</v>
      </c>
      <c r="BK228" s="12">
        <f t="shared" ca="1" si="387"/>
        <v>0</v>
      </c>
      <c r="BL228" s="12">
        <f t="shared" ca="1" si="387"/>
        <v>0</v>
      </c>
      <c r="BM228" s="12">
        <f t="shared" ca="1" si="387"/>
        <v>0</v>
      </c>
      <c r="BN228" s="12">
        <f t="shared" ca="1" si="387"/>
        <v>0</v>
      </c>
      <c r="BO228" s="12">
        <f t="shared" ca="1" si="387"/>
        <v>0</v>
      </c>
      <c r="BP228" s="12">
        <f t="shared" ca="1" si="387"/>
        <v>0</v>
      </c>
      <c r="BQ228" s="12">
        <f t="shared" ca="1" si="387"/>
        <v>0</v>
      </c>
      <c r="BR228" s="12">
        <f t="shared" ca="1" si="387"/>
        <v>0</v>
      </c>
      <c r="BS228" s="12">
        <f t="shared" ca="1" si="387"/>
        <v>0</v>
      </c>
      <c r="BT228" s="12">
        <f t="shared" ca="1" si="387"/>
        <v>0</v>
      </c>
      <c r="BU228" s="12">
        <f t="shared" ref="BU228:EF228" ca="1" si="388">-MIN(BU$159,0)</f>
        <v>0</v>
      </c>
      <c r="BV228" s="12">
        <f t="shared" ca="1" si="388"/>
        <v>0</v>
      </c>
      <c r="BW228" s="12">
        <f t="shared" ca="1" si="388"/>
        <v>0</v>
      </c>
      <c r="BX228" s="12">
        <f t="shared" ca="1" si="388"/>
        <v>0</v>
      </c>
      <c r="BY228" s="12">
        <f t="shared" ca="1" si="388"/>
        <v>0</v>
      </c>
      <c r="BZ228" s="12">
        <f t="shared" ca="1" si="388"/>
        <v>0</v>
      </c>
      <c r="CA228" s="12">
        <f t="shared" ca="1" si="388"/>
        <v>0</v>
      </c>
      <c r="CB228" s="12">
        <f t="shared" ca="1" si="388"/>
        <v>0</v>
      </c>
      <c r="CC228" s="12">
        <f t="shared" ca="1" si="388"/>
        <v>0</v>
      </c>
      <c r="CD228" s="12">
        <f t="shared" ca="1" si="388"/>
        <v>0</v>
      </c>
      <c r="CE228" s="12">
        <f t="shared" ca="1" si="388"/>
        <v>0</v>
      </c>
      <c r="CF228" s="12">
        <f t="shared" ca="1" si="388"/>
        <v>0</v>
      </c>
      <c r="CG228" s="12">
        <f t="shared" ca="1" si="388"/>
        <v>0</v>
      </c>
      <c r="CH228" s="12">
        <f t="shared" ca="1" si="388"/>
        <v>0</v>
      </c>
      <c r="CI228" s="12">
        <f t="shared" ca="1" si="388"/>
        <v>0</v>
      </c>
      <c r="CJ228" s="12">
        <f t="shared" ca="1" si="388"/>
        <v>0</v>
      </c>
      <c r="CK228" s="12">
        <f t="shared" ca="1" si="388"/>
        <v>0</v>
      </c>
      <c r="CL228" s="12">
        <f t="shared" ca="1" si="388"/>
        <v>0</v>
      </c>
      <c r="CM228" s="12">
        <f t="shared" ca="1" si="388"/>
        <v>0</v>
      </c>
      <c r="CN228" s="12">
        <f t="shared" ca="1" si="388"/>
        <v>0</v>
      </c>
      <c r="CO228" s="12">
        <f t="shared" ca="1" si="388"/>
        <v>0</v>
      </c>
      <c r="CP228" s="12">
        <f t="shared" ca="1" si="388"/>
        <v>0</v>
      </c>
      <c r="CQ228" s="12">
        <f t="shared" ca="1" si="388"/>
        <v>0</v>
      </c>
      <c r="CR228" s="12">
        <f t="shared" ca="1" si="388"/>
        <v>0</v>
      </c>
      <c r="CS228" s="12">
        <f t="shared" ca="1" si="388"/>
        <v>0</v>
      </c>
      <c r="CT228" s="12">
        <f t="shared" ca="1" si="388"/>
        <v>0</v>
      </c>
      <c r="CU228" s="12">
        <f t="shared" ca="1" si="388"/>
        <v>0</v>
      </c>
      <c r="CV228" s="12">
        <f t="shared" ca="1" si="388"/>
        <v>0</v>
      </c>
      <c r="CW228" s="12">
        <f t="shared" ca="1" si="388"/>
        <v>0</v>
      </c>
      <c r="CX228" s="12">
        <f t="shared" ca="1" si="388"/>
        <v>0</v>
      </c>
      <c r="CY228" s="12">
        <f t="shared" ca="1" si="388"/>
        <v>0</v>
      </c>
      <c r="CZ228" s="12">
        <f t="shared" ca="1" si="388"/>
        <v>0</v>
      </c>
      <c r="DA228" s="12">
        <f t="shared" ca="1" si="388"/>
        <v>0</v>
      </c>
      <c r="DB228" s="12">
        <f t="shared" ca="1" si="388"/>
        <v>0</v>
      </c>
      <c r="DC228" s="12">
        <f t="shared" ca="1" si="388"/>
        <v>0</v>
      </c>
      <c r="DD228" s="12">
        <f t="shared" ca="1" si="388"/>
        <v>0</v>
      </c>
      <c r="DE228" s="12">
        <f t="shared" ca="1" si="388"/>
        <v>0</v>
      </c>
      <c r="DF228" s="12">
        <f t="shared" ca="1" si="388"/>
        <v>0</v>
      </c>
      <c r="DG228" s="12">
        <f t="shared" ca="1" si="388"/>
        <v>0</v>
      </c>
      <c r="DH228" s="12">
        <f t="shared" ca="1" si="388"/>
        <v>0</v>
      </c>
      <c r="DI228" s="12">
        <f t="shared" ca="1" si="388"/>
        <v>0</v>
      </c>
      <c r="DJ228" s="12">
        <f t="shared" ca="1" si="388"/>
        <v>0</v>
      </c>
      <c r="DK228" s="12">
        <f t="shared" ca="1" si="388"/>
        <v>0</v>
      </c>
      <c r="DL228" s="12">
        <f t="shared" ca="1" si="388"/>
        <v>0</v>
      </c>
      <c r="DM228" s="12">
        <f t="shared" ca="1" si="388"/>
        <v>0</v>
      </c>
      <c r="DN228" s="12">
        <f t="shared" ca="1" si="388"/>
        <v>0</v>
      </c>
      <c r="DO228" s="12">
        <f t="shared" ca="1" si="388"/>
        <v>0</v>
      </c>
      <c r="DP228" s="12">
        <f t="shared" ca="1" si="388"/>
        <v>0</v>
      </c>
      <c r="DQ228" s="12">
        <f t="shared" ca="1" si="388"/>
        <v>0</v>
      </c>
      <c r="DR228" s="12">
        <f t="shared" ca="1" si="388"/>
        <v>0</v>
      </c>
      <c r="DS228" s="12">
        <f t="shared" ca="1" si="388"/>
        <v>0</v>
      </c>
      <c r="DT228" s="12">
        <f t="shared" ca="1" si="388"/>
        <v>0</v>
      </c>
      <c r="DU228" s="12">
        <f t="shared" ca="1" si="388"/>
        <v>0</v>
      </c>
      <c r="DV228" s="12">
        <f t="shared" ca="1" si="388"/>
        <v>0</v>
      </c>
      <c r="DW228" s="12">
        <f t="shared" ca="1" si="388"/>
        <v>0</v>
      </c>
      <c r="DX228" s="12">
        <f t="shared" ca="1" si="388"/>
        <v>0</v>
      </c>
      <c r="DY228" s="12">
        <f t="shared" ca="1" si="388"/>
        <v>0</v>
      </c>
      <c r="DZ228" s="12">
        <f t="shared" ca="1" si="388"/>
        <v>0</v>
      </c>
      <c r="EA228" s="12">
        <f t="shared" ca="1" si="388"/>
        <v>0</v>
      </c>
      <c r="EB228" s="12">
        <f t="shared" ca="1" si="388"/>
        <v>0</v>
      </c>
      <c r="EC228" s="12">
        <f t="shared" ca="1" si="388"/>
        <v>0</v>
      </c>
      <c r="ED228" s="12">
        <f t="shared" ca="1" si="388"/>
        <v>0</v>
      </c>
      <c r="EE228" s="12">
        <f t="shared" ca="1" si="388"/>
        <v>0</v>
      </c>
      <c r="EF228" s="12">
        <f t="shared" ca="1" si="388"/>
        <v>0</v>
      </c>
      <c r="EG228" s="12">
        <f ca="1">-MIN(EG$159,0)</f>
        <v>0</v>
      </c>
      <c r="EH228" s="12">
        <f ca="1">-MIN(EH$159,0)</f>
        <v>0</v>
      </c>
      <c r="EI228" s="12">
        <f ca="1">-MIN(EI$159,0)</f>
        <v>0</v>
      </c>
      <c r="EJ228" s="12">
        <f ca="1">-MIN(EJ$159,0)</f>
        <v>0</v>
      </c>
    </row>
    <row r="229" spans="2:140" x14ac:dyDescent="0.4">
      <c r="B229" s="1" t="s">
        <v>99</v>
      </c>
      <c r="H229" s="319">
        <f ca="1">SUM(H224:H228)</f>
        <v>6100000</v>
      </c>
      <c r="I229" s="97">
        <f ca="1">SUM(I224:I228)</f>
        <v>6195192.6715091066</v>
      </c>
      <c r="J229" s="97">
        <f ca="1">SUM(J224:J228)</f>
        <v>6282449.3412616653</v>
      </c>
      <c r="K229" s="97">
        <f t="shared" ref="K229:BV229" ca="1" si="389">SUM(K224:K228)</f>
        <v>6740989.1996904071</v>
      </c>
      <c r="L229" s="97">
        <f t="shared" ca="1" si="389"/>
        <v>7203265.8444340015</v>
      </c>
      <c r="M229" s="97">
        <f t="shared" ca="1" si="389"/>
        <v>7676175.372191702</v>
      </c>
      <c r="N229" s="97">
        <f t="shared" ca="1" si="389"/>
        <v>8152571.6228311425</v>
      </c>
      <c r="O229" s="97">
        <f t="shared" ca="1" si="389"/>
        <v>11421545.405199442</v>
      </c>
      <c r="P229" s="97">
        <f t="shared" ca="1" si="389"/>
        <v>14741532.687147556</v>
      </c>
      <c r="Q229" s="97">
        <f t="shared" ca="1" si="389"/>
        <v>18105852.949586906</v>
      </c>
      <c r="R229" s="97">
        <f t="shared" ca="1" si="389"/>
        <v>20166851.229706861</v>
      </c>
      <c r="S229" s="97">
        <f t="shared" ca="1" si="389"/>
        <v>20471333.909088258</v>
      </c>
      <c r="T229" s="97">
        <f t="shared" ca="1" si="389"/>
        <v>20790796.362229418</v>
      </c>
      <c r="U229" s="97">
        <f t="shared" ca="1" si="389"/>
        <v>21115244.14067572</v>
      </c>
      <c r="V229" s="97">
        <f t="shared" ca="1" si="389"/>
        <v>21412643.427900597</v>
      </c>
      <c r="W229" s="97">
        <f t="shared" ca="1" si="389"/>
        <v>21746795.351174988</v>
      </c>
      <c r="X229" s="97">
        <f t="shared" ca="1" si="389"/>
        <v>22075132.305767622</v>
      </c>
      <c r="Y229" s="97">
        <f t="shared" ca="1" si="389"/>
        <v>22423372.603817295</v>
      </c>
      <c r="Z229" s="97">
        <f t="shared" ca="1" si="389"/>
        <v>22759742.526213169</v>
      </c>
      <c r="AA229" s="97">
        <f t="shared" ca="1" si="389"/>
        <v>23078874.712655693</v>
      </c>
      <c r="AB229" s="97">
        <f t="shared" ca="1" si="389"/>
        <v>23369014.638842955</v>
      </c>
      <c r="AC229" s="97">
        <f t="shared" ca="1" si="389"/>
        <v>23617744.4545913</v>
      </c>
      <c r="AD229" s="97">
        <f t="shared" ca="1" si="389"/>
        <v>23848009.096215088</v>
      </c>
      <c r="AE229" s="97">
        <f t="shared" ca="1" si="389"/>
        <v>24192057.205462728</v>
      </c>
      <c r="AF229" s="97">
        <f t="shared" ca="1" si="389"/>
        <v>24524525.730201565</v>
      </c>
      <c r="AG229" s="97">
        <f t="shared" ca="1" si="389"/>
        <v>24820356.641224805</v>
      </c>
      <c r="AH229" s="97">
        <f t="shared" ca="1" si="389"/>
        <v>25031742.667001579</v>
      </c>
      <c r="AI229" s="97">
        <f t="shared" ca="1" si="389"/>
        <v>25299323.20269205</v>
      </c>
      <c r="AJ229" s="97">
        <f t="shared" ca="1" si="389"/>
        <v>25552438.140199468</v>
      </c>
      <c r="AK229" s="97">
        <f t="shared" ca="1" si="389"/>
        <v>25826961.598642476</v>
      </c>
      <c r="AL229" s="97">
        <f t="shared" ca="1" si="389"/>
        <v>26086806.200812377</v>
      </c>
      <c r="AM229" s="97">
        <f t="shared" ca="1" si="389"/>
        <v>26368439.665593501</v>
      </c>
      <c r="AN229" s="97">
        <f t="shared" ca="1" si="389"/>
        <v>26619530.429435</v>
      </c>
      <c r="AO229" s="97">
        <f t="shared" ca="1" si="389"/>
        <v>26855042.438230358</v>
      </c>
      <c r="AP229" s="97">
        <f t="shared" ca="1" si="389"/>
        <v>27112268.288800266</v>
      </c>
      <c r="AQ229" s="97">
        <f t="shared" ca="1" si="389"/>
        <v>27353720.178550351</v>
      </c>
      <c r="AR229" s="97">
        <f t="shared" ca="1" si="389"/>
        <v>0</v>
      </c>
      <c r="AS229" s="97">
        <f t="shared" ca="1" si="389"/>
        <v>0</v>
      </c>
      <c r="AT229" s="97">
        <f t="shared" ca="1" si="389"/>
        <v>0</v>
      </c>
      <c r="AU229" s="97">
        <f t="shared" ca="1" si="389"/>
        <v>0</v>
      </c>
      <c r="AV229" s="97">
        <f t="shared" ca="1" si="389"/>
        <v>0</v>
      </c>
      <c r="AW229" s="97">
        <f t="shared" ca="1" si="389"/>
        <v>0</v>
      </c>
      <c r="AX229" s="97">
        <f t="shared" ca="1" si="389"/>
        <v>0</v>
      </c>
      <c r="AY229" s="97">
        <f t="shared" ca="1" si="389"/>
        <v>0</v>
      </c>
      <c r="AZ229" s="97">
        <f t="shared" ca="1" si="389"/>
        <v>0</v>
      </c>
      <c r="BA229" s="97">
        <f t="shared" ca="1" si="389"/>
        <v>0</v>
      </c>
      <c r="BB229" s="97">
        <f t="shared" ca="1" si="389"/>
        <v>0</v>
      </c>
      <c r="BC229" s="97">
        <f t="shared" ca="1" si="389"/>
        <v>0</v>
      </c>
      <c r="BD229" s="97">
        <f t="shared" ca="1" si="389"/>
        <v>0</v>
      </c>
      <c r="BE229" s="97">
        <f t="shared" ca="1" si="389"/>
        <v>0</v>
      </c>
      <c r="BF229" s="97">
        <f t="shared" ca="1" si="389"/>
        <v>0</v>
      </c>
      <c r="BG229" s="97">
        <f t="shared" ca="1" si="389"/>
        <v>0</v>
      </c>
      <c r="BH229" s="97">
        <f t="shared" ca="1" si="389"/>
        <v>0</v>
      </c>
      <c r="BI229" s="97">
        <f t="shared" ca="1" si="389"/>
        <v>0</v>
      </c>
      <c r="BJ229" s="97">
        <f t="shared" ca="1" si="389"/>
        <v>0</v>
      </c>
      <c r="BK229" s="97">
        <f t="shared" ca="1" si="389"/>
        <v>0</v>
      </c>
      <c r="BL229" s="97">
        <f t="shared" ca="1" si="389"/>
        <v>0</v>
      </c>
      <c r="BM229" s="97">
        <f t="shared" ca="1" si="389"/>
        <v>0</v>
      </c>
      <c r="BN229" s="97">
        <f t="shared" ca="1" si="389"/>
        <v>0</v>
      </c>
      <c r="BO229" s="97">
        <f t="shared" ca="1" si="389"/>
        <v>0</v>
      </c>
      <c r="BP229" s="97">
        <f t="shared" ca="1" si="389"/>
        <v>0</v>
      </c>
      <c r="BQ229" s="97">
        <f t="shared" ca="1" si="389"/>
        <v>0</v>
      </c>
      <c r="BR229" s="97">
        <f t="shared" ca="1" si="389"/>
        <v>0</v>
      </c>
      <c r="BS229" s="97">
        <f t="shared" ca="1" si="389"/>
        <v>0</v>
      </c>
      <c r="BT229" s="97">
        <f t="shared" ca="1" si="389"/>
        <v>0</v>
      </c>
      <c r="BU229" s="97">
        <f t="shared" ca="1" si="389"/>
        <v>0</v>
      </c>
      <c r="BV229" s="97">
        <f t="shared" ca="1" si="389"/>
        <v>0</v>
      </c>
      <c r="BW229" s="97">
        <f t="shared" ref="BW229:EH229" ca="1" si="390">SUM(BW224:BW228)</f>
        <v>0</v>
      </c>
      <c r="BX229" s="97">
        <f t="shared" ca="1" si="390"/>
        <v>0</v>
      </c>
      <c r="BY229" s="97">
        <f t="shared" ca="1" si="390"/>
        <v>0</v>
      </c>
      <c r="BZ229" s="97">
        <f t="shared" ca="1" si="390"/>
        <v>0</v>
      </c>
      <c r="CA229" s="97">
        <f t="shared" ca="1" si="390"/>
        <v>0</v>
      </c>
      <c r="CB229" s="97">
        <f t="shared" ca="1" si="390"/>
        <v>0</v>
      </c>
      <c r="CC229" s="97">
        <f t="shared" ca="1" si="390"/>
        <v>0</v>
      </c>
      <c r="CD229" s="97">
        <f t="shared" ca="1" si="390"/>
        <v>0</v>
      </c>
      <c r="CE229" s="97">
        <f t="shared" ca="1" si="390"/>
        <v>0</v>
      </c>
      <c r="CF229" s="97">
        <f t="shared" ca="1" si="390"/>
        <v>0</v>
      </c>
      <c r="CG229" s="97">
        <f t="shared" ca="1" si="390"/>
        <v>0</v>
      </c>
      <c r="CH229" s="97">
        <f t="shared" ca="1" si="390"/>
        <v>0</v>
      </c>
      <c r="CI229" s="97">
        <f t="shared" ca="1" si="390"/>
        <v>0</v>
      </c>
      <c r="CJ229" s="97">
        <f t="shared" ca="1" si="390"/>
        <v>0</v>
      </c>
      <c r="CK229" s="97">
        <f t="shared" ca="1" si="390"/>
        <v>0</v>
      </c>
      <c r="CL229" s="97">
        <f t="shared" ca="1" si="390"/>
        <v>0</v>
      </c>
      <c r="CM229" s="97">
        <f t="shared" ca="1" si="390"/>
        <v>0</v>
      </c>
      <c r="CN229" s="97">
        <f t="shared" ca="1" si="390"/>
        <v>0</v>
      </c>
      <c r="CO229" s="97">
        <f t="shared" ca="1" si="390"/>
        <v>0</v>
      </c>
      <c r="CP229" s="97">
        <f t="shared" ca="1" si="390"/>
        <v>0</v>
      </c>
      <c r="CQ229" s="97">
        <f t="shared" ca="1" si="390"/>
        <v>0</v>
      </c>
      <c r="CR229" s="97">
        <f t="shared" ca="1" si="390"/>
        <v>0</v>
      </c>
      <c r="CS229" s="97">
        <f t="shared" ca="1" si="390"/>
        <v>0</v>
      </c>
      <c r="CT229" s="97">
        <f t="shared" ca="1" si="390"/>
        <v>0</v>
      </c>
      <c r="CU229" s="97">
        <f t="shared" ca="1" si="390"/>
        <v>0</v>
      </c>
      <c r="CV229" s="97">
        <f t="shared" ca="1" si="390"/>
        <v>0</v>
      </c>
      <c r="CW229" s="97">
        <f t="shared" ca="1" si="390"/>
        <v>0</v>
      </c>
      <c r="CX229" s="97">
        <f t="shared" ca="1" si="390"/>
        <v>0</v>
      </c>
      <c r="CY229" s="97">
        <f t="shared" ca="1" si="390"/>
        <v>0</v>
      </c>
      <c r="CZ229" s="97">
        <f t="shared" ca="1" si="390"/>
        <v>0</v>
      </c>
      <c r="DA229" s="97">
        <f t="shared" ca="1" si="390"/>
        <v>0</v>
      </c>
      <c r="DB229" s="97">
        <f t="shared" ca="1" si="390"/>
        <v>0</v>
      </c>
      <c r="DC229" s="97">
        <f t="shared" ca="1" si="390"/>
        <v>0</v>
      </c>
      <c r="DD229" s="97">
        <f t="shared" ca="1" si="390"/>
        <v>0</v>
      </c>
      <c r="DE229" s="97">
        <f t="shared" ca="1" si="390"/>
        <v>0</v>
      </c>
      <c r="DF229" s="97">
        <f t="shared" ca="1" si="390"/>
        <v>0</v>
      </c>
      <c r="DG229" s="97">
        <f t="shared" ca="1" si="390"/>
        <v>0</v>
      </c>
      <c r="DH229" s="97">
        <f t="shared" ca="1" si="390"/>
        <v>0</v>
      </c>
      <c r="DI229" s="97">
        <f t="shared" ca="1" si="390"/>
        <v>0</v>
      </c>
      <c r="DJ229" s="97">
        <f t="shared" ca="1" si="390"/>
        <v>0</v>
      </c>
      <c r="DK229" s="97">
        <f t="shared" ca="1" si="390"/>
        <v>0</v>
      </c>
      <c r="DL229" s="97">
        <f t="shared" ca="1" si="390"/>
        <v>0</v>
      </c>
      <c r="DM229" s="97">
        <f t="shared" ca="1" si="390"/>
        <v>0</v>
      </c>
      <c r="DN229" s="97">
        <f t="shared" ca="1" si="390"/>
        <v>0</v>
      </c>
      <c r="DO229" s="97">
        <f t="shared" ca="1" si="390"/>
        <v>0</v>
      </c>
      <c r="DP229" s="97">
        <f t="shared" ca="1" si="390"/>
        <v>0</v>
      </c>
      <c r="DQ229" s="97">
        <f t="shared" ca="1" si="390"/>
        <v>0</v>
      </c>
      <c r="DR229" s="97">
        <f t="shared" ca="1" si="390"/>
        <v>0</v>
      </c>
      <c r="DS229" s="97">
        <f t="shared" ca="1" si="390"/>
        <v>0</v>
      </c>
      <c r="DT229" s="97">
        <f t="shared" ca="1" si="390"/>
        <v>0</v>
      </c>
      <c r="DU229" s="97">
        <f t="shared" ca="1" si="390"/>
        <v>0</v>
      </c>
      <c r="DV229" s="97">
        <f t="shared" ca="1" si="390"/>
        <v>0</v>
      </c>
      <c r="DW229" s="97">
        <f t="shared" ca="1" si="390"/>
        <v>0</v>
      </c>
      <c r="DX229" s="97">
        <f t="shared" ca="1" si="390"/>
        <v>0</v>
      </c>
      <c r="DY229" s="97">
        <f t="shared" ca="1" si="390"/>
        <v>0</v>
      </c>
      <c r="DZ229" s="97">
        <f t="shared" ca="1" si="390"/>
        <v>0</v>
      </c>
      <c r="EA229" s="97">
        <f t="shared" ca="1" si="390"/>
        <v>0</v>
      </c>
      <c r="EB229" s="97">
        <f t="shared" ca="1" si="390"/>
        <v>0</v>
      </c>
      <c r="EC229" s="97">
        <f t="shared" ca="1" si="390"/>
        <v>0</v>
      </c>
      <c r="ED229" s="97">
        <f t="shared" ca="1" si="390"/>
        <v>0</v>
      </c>
      <c r="EE229" s="97">
        <f t="shared" ca="1" si="390"/>
        <v>0</v>
      </c>
      <c r="EF229" s="97">
        <f t="shared" ca="1" si="390"/>
        <v>0</v>
      </c>
      <c r="EG229" s="97">
        <f t="shared" ca="1" si="390"/>
        <v>0</v>
      </c>
      <c r="EH229" s="97">
        <f t="shared" ca="1" si="390"/>
        <v>0</v>
      </c>
      <c r="EI229" s="97">
        <f ca="1">SUM(EI224:EI228)</f>
        <v>0</v>
      </c>
      <c r="EJ229" s="97">
        <f ca="1">SUM(EJ224:EJ228)</f>
        <v>0</v>
      </c>
    </row>
    <row r="230" spans="2:140" x14ac:dyDescent="0.4">
      <c r="H230" s="316"/>
    </row>
    <row r="231" spans="2:140" x14ac:dyDescent="0.4">
      <c r="B231" s="1" t="s">
        <v>117</v>
      </c>
      <c r="H231" s="318">
        <f ca="1">-SUM(H226:H228)*$C$187-H216</f>
        <v>0</v>
      </c>
      <c r="I231" s="12">
        <f t="shared" ref="I231:BT231" ca="1" si="391">-SUM(I226:I228)*$C$187-I216</f>
        <v>0</v>
      </c>
      <c r="J231" s="12">
        <f t="shared" ca="1" si="391"/>
        <v>0</v>
      </c>
      <c r="K231" s="12">
        <f t="shared" ca="1" si="391"/>
        <v>0</v>
      </c>
      <c r="L231" s="12">
        <f t="shared" ca="1" si="391"/>
        <v>0</v>
      </c>
      <c r="M231" s="12">
        <f t="shared" ca="1" si="391"/>
        <v>0</v>
      </c>
      <c r="N231" s="12">
        <f t="shared" ca="1" si="391"/>
        <v>0</v>
      </c>
      <c r="O231" s="12">
        <f t="shared" ca="1" si="391"/>
        <v>0</v>
      </c>
      <c r="P231" s="12">
        <f t="shared" ca="1" si="391"/>
        <v>0</v>
      </c>
      <c r="Q231" s="12">
        <f t="shared" ca="1" si="391"/>
        <v>0</v>
      </c>
      <c r="R231" s="12">
        <f t="shared" ca="1" si="391"/>
        <v>0</v>
      </c>
      <c r="S231" s="12">
        <f t="shared" ca="1" si="391"/>
        <v>0</v>
      </c>
      <c r="T231" s="12">
        <f t="shared" ca="1" si="391"/>
        <v>0</v>
      </c>
      <c r="U231" s="12">
        <f t="shared" ca="1" si="391"/>
        <v>0</v>
      </c>
      <c r="V231" s="12">
        <f t="shared" ca="1" si="391"/>
        <v>0</v>
      </c>
      <c r="W231" s="12">
        <f t="shared" ca="1" si="391"/>
        <v>0</v>
      </c>
      <c r="X231" s="12">
        <f t="shared" ca="1" si="391"/>
        <v>0</v>
      </c>
      <c r="Y231" s="12">
        <f t="shared" ca="1" si="391"/>
        <v>0</v>
      </c>
      <c r="Z231" s="12">
        <f t="shared" ca="1" si="391"/>
        <v>0</v>
      </c>
      <c r="AA231" s="12">
        <f t="shared" ca="1" si="391"/>
        <v>0</v>
      </c>
      <c r="AB231" s="12">
        <f t="shared" ca="1" si="391"/>
        <v>0</v>
      </c>
      <c r="AC231" s="12">
        <f t="shared" ca="1" si="391"/>
        <v>0</v>
      </c>
      <c r="AD231" s="12">
        <f t="shared" ca="1" si="391"/>
        <v>0</v>
      </c>
      <c r="AE231" s="12">
        <f t="shared" ca="1" si="391"/>
        <v>0</v>
      </c>
      <c r="AF231" s="12">
        <f t="shared" ca="1" si="391"/>
        <v>0</v>
      </c>
      <c r="AG231" s="12">
        <f t="shared" ca="1" si="391"/>
        <v>0</v>
      </c>
      <c r="AH231" s="12">
        <f t="shared" ca="1" si="391"/>
        <v>0</v>
      </c>
      <c r="AI231" s="12">
        <f t="shared" ca="1" si="391"/>
        <v>0</v>
      </c>
      <c r="AJ231" s="12">
        <f t="shared" ca="1" si="391"/>
        <v>0</v>
      </c>
      <c r="AK231" s="12">
        <f t="shared" ca="1" si="391"/>
        <v>0</v>
      </c>
      <c r="AL231" s="12">
        <f t="shared" ca="1" si="391"/>
        <v>0</v>
      </c>
      <c r="AM231" s="12">
        <f t="shared" ca="1" si="391"/>
        <v>0</v>
      </c>
      <c r="AN231" s="12">
        <f t="shared" ca="1" si="391"/>
        <v>0</v>
      </c>
      <c r="AO231" s="12">
        <f t="shared" ca="1" si="391"/>
        <v>0</v>
      </c>
      <c r="AP231" s="12">
        <f t="shared" ca="1" si="391"/>
        <v>0</v>
      </c>
      <c r="AQ231" s="12">
        <f t="shared" ca="1" si="391"/>
        <v>0</v>
      </c>
      <c r="AR231" s="12">
        <f t="shared" ca="1" si="391"/>
        <v>2744481.3452034928</v>
      </c>
      <c r="AS231" s="12">
        <f t="shared" ca="1" si="391"/>
        <v>0</v>
      </c>
      <c r="AT231" s="12">
        <f t="shared" ca="1" si="391"/>
        <v>0</v>
      </c>
      <c r="AU231" s="12">
        <f t="shared" ca="1" si="391"/>
        <v>0</v>
      </c>
      <c r="AV231" s="12">
        <f t="shared" ca="1" si="391"/>
        <v>0</v>
      </c>
      <c r="AW231" s="12">
        <f t="shared" ca="1" si="391"/>
        <v>0</v>
      </c>
      <c r="AX231" s="12">
        <f t="shared" ca="1" si="391"/>
        <v>0</v>
      </c>
      <c r="AY231" s="12">
        <f t="shared" ca="1" si="391"/>
        <v>0</v>
      </c>
      <c r="AZ231" s="12">
        <f t="shared" ca="1" si="391"/>
        <v>0</v>
      </c>
      <c r="BA231" s="12">
        <f t="shared" ca="1" si="391"/>
        <v>0</v>
      </c>
      <c r="BB231" s="12">
        <f t="shared" ca="1" si="391"/>
        <v>0</v>
      </c>
      <c r="BC231" s="12">
        <f t="shared" ca="1" si="391"/>
        <v>0</v>
      </c>
      <c r="BD231" s="12">
        <f t="shared" ca="1" si="391"/>
        <v>0</v>
      </c>
      <c r="BE231" s="12">
        <f t="shared" ca="1" si="391"/>
        <v>0</v>
      </c>
      <c r="BF231" s="12">
        <f t="shared" ca="1" si="391"/>
        <v>0</v>
      </c>
      <c r="BG231" s="12">
        <f t="shared" ca="1" si="391"/>
        <v>0</v>
      </c>
      <c r="BH231" s="12">
        <f t="shared" ca="1" si="391"/>
        <v>0</v>
      </c>
      <c r="BI231" s="12">
        <f t="shared" ca="1" si="391"/>
        <v>0</v>
      </c>
      <c r="BJ231" s="12">
        <f t="shared" ca="1" si="391"/>
        <v>0</v>
      </c>
      <c r="BK231" s="12">
        <f t="shared" ca="1" si="391"/>
        <v>0</v>
      </c>
      <c r="BL231" s="12">
        <f t="shared" ca="1" si="391"/>
        <v>0</v>
      </c>
      <c r="BM231" s="12">
        <f t="shared" ca="1" si="391"/>
        <v>0</v>
      </c>
      <c r="BN231" s="12">
        <f t="shared" ca="1" si="391"/>
        <v>0</v>
      </c>
      <c r="BO231" s="12">
        <f t="shared" ca="1" si="391"/>
        <v>0</v>
      </c>
      <c r="BP231" s="12">
        <f t="shared" ca="1" si="391"/>
        <v>0</v>
      </c>
      <c r="BQ231" s="12">
        <f t="shared" ca="1" si="391"/>
        <v>0</v>
      </c>
      <c r="BR231" s="12">
        <f t="shared" ca="1" si="391"/>
        <v>0</v>
      </c>
      <c r="BS231" s="12">
        <f t="shared" ca="1" si="391"/>
        <v>0</v>
      </c>
      <c r="BT231" s="12">
        <f t="shared" ca="1" si="391"/>
        <v>0</v>
      </c>
      <c r="BU231" s="12">
        <f t="shared" ref="BU231:EF231" ca="1" si="392">-SUM(BU226:BU228)*$C$187-BU216</f>
        <v>0</v>
      </c>
      <c r="BV231" s="12">
        <f t="shared" ca="1" si="392"/>
        <v>0</v>
      </c>
      <c r="BW231" s="12">
        <f t="shared" ca="1" si="392"/>
        <v>0</v>
      </c>
      <c r="BX231" s="12">
        <f t="shared" ca="1" si="392"/>
        <v>0</v>
      </c>
      <c r="BY231" s="12">
        <f t="shared" ca="1" si="392"/>
        <v>0</v>
      </c>
      <c r="BZ231" s="12">
        <f t="shared" ca="1" si="392"/>
        <v>0</v>
      </c>
      <c r="CA231" s="12">
        <f t="shared" ca="1" si="392"/>
        <v>0</v>
      </c>
      <c r="CB231" s="12">
        <f t="shared" ca="1" si="392"/>
        <v>0</v>
      </c>
      <c r="CC231" s="12">
        <f t="shared" ca="1" si="392"/>
        <v>0</v>
      </c>
      <c r="CD231" s="12">
        <f t="shared" ca="1" si="392"/>
        <v>0</v>
      </c>
      <c r="CE231" s="12">
        <f t="shared" ca="1" si="392"/>
        <v>0</v>
      </c>
      <c r="CF231" s="12">
        <f t="shared" ca="1" si="392"/>
        <v>0</v>
      </c>
      <c r="CG231" s="12">
        <f t="shared" ca="1" si="392"/>
        <v>0</v>
      </c>
      <c r="CH231" s="12">
        <f t="shared" ca="1" si="392"/>
        <v>0</v>
      </c>
      <c r="CI231" s="12">
        <f t="shared" ca="1" si="392"/>
        <v>0</v>
      </c>
      <c r="CJ231" s="12">
        <f t="shared" ca="1" si="392"/>
        <v>0</v>
      </c>
      <c r="CK231" s="12">
        <f t="shared" ca="1" si="392"/>
        <v>0</v>
      </c>
      <c r="CL231" s="12">
        <f t="shared" ca="1" si="392"/>
        <v>0</v>
      </c>
      <c r="CM231" s="12">
        <f t="shared" ca="1" si="392"/>
        <v>0</v>
      </c>
      <c r="CN231" s="12">
        <f t="shared" ca="1" si="392"/>
        <v>0</v>
      </c>
      <c r="CO231" s="12">
        <f t="shared" ca="1" si="392"/>
        <v>0</v>
      </c>
      <c r="CP231" s="12">
        <f t="shared" ca="1" si="392"/>
        <v>0</v>
      </c>
      <c r="CQ231" s="12">
        <f t="shared" ca="1" si="392"/>
        <v>0</v>
      </c>
      <c r="CR231" s="12">
        <f t="shared" ca="1" si="392"/>
        <v>0</v>
      </c>
      <c r="CS231" s="12">
        <f t="shared" ca="1" si="392"/>
        <v>0</v>
      </c>
      <c r="CT231" s="12">
        <f t="shared" ca="1" si="392"/>
        <v>0</v>
      </c>
      <c r="CU231" s="12">
        <f t="shared" ca="1" si="392"/>
        <v>0</v>
      </c>
      <c r="CV231" s="12">
        <f t="shared" ca="1" si="392"/>
        <v>0</v>
      </c>
      <c r="CW231" s="12">
        <f t="shared" ca="1" si="392"/>
        <v>0</v>
      </c>
      <c r="CX231" s="12">
        <f t="shared" ca="1" si="392"/>
        <v>0</v>
      </c>
      <c r="CY231" s="12">
        <f t="shared" ca="1" si="392"/>
        <v>0</v>
      </c>
      <c r="CZ231" s="12">
        <f t="shared" ca="1" si="392"/>
        <v>0</v>
      </c>
      <c r="DA231" s="12">
        <f t="shared" ca="1" si="392"/>
        <v>0</v>
      </c>
      <c r="DB231" s="12">
        <f t="shared" ca="1" si="392"/>
        <v>0</v>
      </c>
      <c r="DC231" s="12">
        <f t="shared" ca="1" si="392"/>
        <v>0</v>
      </c>
      <c r="DD231" s="12">
        <f t="shared" ca="1" si="392"/>
        <v>0</v>
      </c>
      <c r="DE231" s="12">
        <f t="shared" ca="1" si="392"/>
        <v>0</v>
      </c>
      <c r="DF231" s="12">
        <f t="shared" ca="1" si="392"/>
        <v>0</v>
      </c>
      <c r="DG231" s="12">
        <f t="shared" ca="1" si="392"/>
        <v>0</v>
      </c>
      <c r="DH231" s="12">
        <f t="shared" ca="1" si="392"/>
        <v>0</v>
      </c>
      <c r="DI231" s="12">
        <f t="shared" ca="1" si="392"/>
        <v>0</v>
      </c>
      <c r="DJ231" s="12">
        <f t="shared" ca="1" si="392"/>
        <v>0</v>
      </c>
      <c r="DK231" s="12">
        <f t="shared" ca="1" si="392"/>
        <v>0</v>
      </c>
      <c r="DL231" s="12">
        <f t="shared" ca="1" si="392"/>
        <v>0</v>
      </c>
      <c r="DM231" s="12">
        <f t="shared" ca="1" si="392"/>
        <v>0</v>
      </c>
      <c r="DN231" s="12">
        <f t="shared" ca="1" si="392"/>
        <v>0</v>
      </c>
      <c r="DO231" s="12">
        <f t="shared" ca="1" si="392"/>
        <v>0</v>
      </c>
      <c r="DP231" s="12">
        <f t="shared" ca="1" si="392"/>
        <v>0</v>
      </c>
      <c r="DQ231" s="12">
        <f t="shared" ca="1" si="392"/>
        <v>0</v>
      </c>
      <c r="DR231" s="12">
        <f t="shared" ca="1" si="392"/>
        <v>0</v>
      </c>
      <c r="DS231" s="12">
        <f t="shared" ca="1" si="392"/>
        <v>0</v>
      </c>
      <c r="DT231" s="12">
        <f t="shared" ca="1" si="392"/>
        <v>0</v>
      </c>
      <c r="DU231" s="12">
        <f t="shared" ca="1" si="392"/>
        <v>0</v>
      </c>
      <c r="DV231" s="12">
        <f t="shared" ca="1" si="392"/>
        <v>0</v>
      </c>
      <c r="DW231" s="12">
        <f t="shared" ca="1" si="392"/>
        <v>0</v>
      </c>
      <c r="DX231" s="12">
        <f t="shared" ca="1" si="392"/>
        <v>0</v>
      </c>
      <c r="DY231" s="12">
        <f t="shared" ca="1" si="392"/>
        <v>0</v>
      </c>
      <c r="DZ231" s="12">
        <f t="shared" ca="1" si="392"/>
        <v>0</v>
      </c>
      <c r="EA231" s="12">
        <f t="shared" ca="1" si="392"/>
        <v>0</v>
      </c>
      <c r="EB231" s="12">
        <f t="shared" ca="1" si="392"/>
        <v>0</v>
      </c>
      <c r="EC231" s="12">
        <f t="shared" ca="1" si="392"/>
        <v>0</v>
      </c>
      <c r="ED231" s="12">
        <f t="shared" ca="1" si="392"/>
        <v>0</v>
      </c>
      <c r="EE231" s="12">
        <f t="shared" ca="1" si="392"/>
        <v>0</v>
      </c>
      <c r="EF231" s="12">
        <f t="shared" ca="1" si="392"/>
        <v>0</v>
      </c>
      <c r="EG231" s="12">
        <f ca="1">-SUM(EG226:EG228)*$C$187-EG216</f>
        <v>0</v>
      </c>
      <c r="EH231" s="12">
        <f ca="1">-SUM(EH226:EH228)*$C$187-EH216</f>
        <v>0</v>
      </c>
      <c r="EI231" s="12">
        <f ca="1">-SUM(EI226:EI228)*$C$187-EI216</f>
        <v>0</v>
      </c>
      <c r="EJ231" s="12">
        <f ca="1">-SUM(EJ226:EJ228)*$C$187-EJ216</f>
        <v>0</v>
      </c>
    </row>
    <row r="232" spans="2:140" x14ac:dyDescent="0.4">
      <c r="B232" s="1" t="s">
        <v>116</v>
      </c>
      <c r="H232" s="318">
        <f ca="1">-SUM(H226:H228)*$C$188-H217</f>
        <v>0</v>
      </c>
      <c r="I232" s="12">
        <f t="shared" ref="I232:BT232" ca="1" si="393">-SUM(I226:I228)*$C$188-I217</f>
        <v>0</v>
      </c>
      <c r="J232" s="12">
        <f t="shared" ca="1" si="393"/>
        <v>0</v>
      </c>
      <c r="K232" s="12">
        <f t="shared" ca="1" si="393"/>
        <v>0</v>
      </c>
      <c r="L232" s="12">
        <f t="shared" ca="1" si="393"/>
        <v>0</v>
      </c>
      <c r="M232" s="12">
        <f t="shared" ca="1" si="393"/>
        <v>0</v>
      </c>
      <c r="N232" s="12">
        <f t="shared" ca="1" si="393"/>
        <v>0</v>
      </c>
      <c r="O232" s="12">
        <f t="shared" ca="1" si="393"/>
        <v>0</v>
      </c>
      <c r="P232" s="12">
        <f t="shared" ca="1" si="393"/>
        <v>0</v>
      </c>
      <c r="Q232" s="12">
        <f t="shared" ca="1" si="393"/>
        <v>0</v>
      </c>
      <c r="R232" s="12">
        <f t="shared" ca="1" si="393"/>
        <v>0</v>
      </c>
      <c r="S232" s="12">
        <f t="shared" ca="1" si="393"/>
        <v>0</v>
      </c>
      <c r="T232" s="12">
        <f t="shared" ca="1" si="393"/>
        <v>0</v>
      </c>
      <c r="U232" s="12">
        <f t="shared" ca="1" si="393"/>
        <v>0</v>
      </c>
      <c r="V232" s="12">
        <f t="shared" ca="1" si="393"/>
        <v>0</v>
      </c>
      <c r="W232" s="12">
        <f t="shared" ca="1" si="393"/>
        <v>0</v>
      </c>
      <c r="X232" s="12">
        <f t="shared" ca="1" si="393"/>
        <v>0</v>
      </c>
      <c r="Y232" s="12">
        <f t="shared" ca="1" si="393"/>
        <v>0</v>
      </c>
      <c r="Z232" s="12">
        <f t="shared" ca="1" si="393"/>
        <v>0</v>
      </c>
      <c r="AA232" s="12">
        <f t="shared" ca="1" si="393"/>
        <v>0</v>
      </c>
      <c r="AB232" s="12">
        <f t="shared" ca="1" si="393"/>
        <v>0</v>
      </c>
      <c r="AC232" s="12">
        <f t="shared" ca="1" si="393"/>
        <v>0</v>
      </c>
      <c r="AD232" s="12">
        <f t="shared" ca="1" si="393"/>
        <v>0</v>
      </c>
      <c r="AE232" s="12">
        <f t="shared" ca="1" si="393"/>
        <v>0</v>
      </c>
      <c r="AF232" s="12">
        <f t="shared" ca="1" si="393"/>
        <v>0</v>
      </c>
      <c r="AG232" s="12">
        <f t="shared" ca="1" si="393"/>
        <v>0</v>
      </c>
      <c r="AH232" s="12">
        <f t="shared" ca="1" si="393"/>
        <v>0</v>
      </c>
      <c r="AI232" s="12">
        <f t="shared" ca="1" si="393"/>
        <v>0</v>
      </c>
      <c r="AJ232" s="12">
        <f t="shared" ca="1" si="393"/>
        <v>0</v>
      </c>
      <c r="AK232" s="12">
        <f t="shared" ca="1" si="393"/>
        <v>0</v>
      </c>
      <c r="AL232" s="12">
        <f t="shared" ca="1" si="393"/>
        <v>0</v>
      </c>
      <c r="AM232" s="12">
        <f t="shared" ca="1" si="393"/>
        <v>0</v>
      </c>
      <c r="AN232" s="12">
        <f t="shared" ca="1" si="393"/>
        <v>0</v>
      </c>
      <c r="AO232" s="12">
        <f t="shared" ca="1" si="393"/>
        <v>0</v>
      </c>
      <c r="AP232" s="12">
        <f t="shared" ca="1" si="393"/>
        <v>0</v>
      </c>
      <c r="AQ232" s="12">
        <f t="shared" ca="1" si="393"/>
        <v>0</v>
      </c>
      <c r="AR232" s="12">
        <f t="shared" ca="1" si="393"/>
        <v>304942.37168927677</v>
      </c>
      <c r="AS232" s="12">
        <f t="shared" ca="1" si="393"/>
        <v>0</v>
      </c>
      <c r="AT232" s="12">
        <f t="shared" ca="1" si="393"/>
        <v>0</v>
      </c>
      <c r="AU232" s="12">
        <f t="shared" ca="1" si="393"/>
        <v>0</v>
      </c>
      <c r="AV232" s="12">
        <f t="shared" ca="1" si="393"/>
        <v>0</v>
      </c>
      <c r="AW232" s="12">
        <f t="shared" ca="1" si="393"/>
        <v>0</v>
      </c>
      <c r="AX232" s="12">
        <f t="shared" ca="1" si="393"/>
        <v>0</v>
      </c>
      <c r="AY232" s="12">
        <f t="shared" ca="1" si="393"/>
        <v>0</v>
      </c>
      <c r="AZ232" s="12">
        <f t="shared" ca="1" si="393"/>
        <v>0</v>
      </c>
      <c r="BA232" s="12">
        <f t="shared" ca="1" si="393"/>
        <v>0</v>
      </c>
      <c r="BB232" s="12">
        <f t="shared" ca="1" si="393"/>
        <v>0</v>
      </c>
      <c r="BC232" s="12">
        <f t="shared" ca="1" si="393"/>
        <v>0</v>
      </c>
      <c r="BD232" s="12">
        <f t="shared" ca="1" si="393"/>
        <v>0</v>
      </c>
      <c r="BE232" s="12">
        <f t="shared" ca="1" si="393"/>
        <v>0</v>
      </c>
      <c r="BF232" s="12">
        <f t="shared" ca="1" si="393"/>
        <v>0</v>
      </c>
      <c r="BG232" s="12">
        <f t="shared" ca="1" si="393"/>
        <v>0</v>
      </c>
      <c r="BH232" s="12">
        <f t="shared" ca="1" si="393"/>
        <v>0</v>
      </c>
      <c r="BI232" s="12">
        <f t="shared" ca="1" si="393"/>
        <v>0</v>
      </c>
      <c r="BJ232" s="12">
        <f t="shared" ca="1" si="393"/>
        <v>0</v>
      </c>
      <c r="BK232" s="12">
        <f t="shared" ca="1" si="393"/>
        <v>0</v>
      </c>
      <c r="BL232" s="12">
        <f t="shared" ca="1" si="393"/>
        <v>0</v>
      </c>
      <c r="BM232" s="12">
        <f t="shared" ca="1" si="393"/>
        <v>0</v>
      </c>
      <c r="BN232" s="12">
        <f t="shared" ca="1" si="393"/>
        <v>0</v>
      </c>
      <c r="BO232" s="12">
        <f t="shared" ca="1" si="393"/>
        <v>0</v>
      </c>
      <c r="BP232" s="12">
        <f t="shared" ca="1" si="393"/>
        <v>0</v>
      </c>
      <c r="BQ232" s="12">
        <f t="shared" ca="1" si="393"/>
        <v>0</v>
      </c>
      <c r="BR232" s="12">
        <f t="shared" ca="1" si="393"/>
        <v>0</v>
      </c>
      <c r="BS232" s="12">
        <f t="shared" ca="1" si="393"/>
        <v>0</v>
      </c>
      <c r="BT232" s="12">
        <f t="shared" ca="1" si="393"/>
        <v>0</v>
      </c>
      <c r="BU232" s="12">
        <f t="shared" ref="BU232:EF232" ca="1" si="394">-SUM(BU226:BU228)*$C$188-BU217</f>
        <v>0</v>
      </c>
      <c r="BV232" s="12">
        <f t="shared" ca="1" si="394"/>
        <v>0</v>
      </c>
      <c r="BW232" s="12">
        <f t="shared" ca="1" si="394"/>
        <v>0</v>
      </c>
      <c r="BX232" s="12">
        <f t="shared" ca="1" si="394"/>
        <v>0</v>
      </c>
      <c r="BY232" s="12">
        <f t="shared" ca="1" si="394"/>
        <v>0</v>
      </c>
      <c r="BZ232" s="12">
        <f t="shared" ca="1" si="394"/>
        <v>0</v>
      </c>
      <c r="CA232" s="12">
        <f t="shared" ca="1" si="394"/>
        <v>0</v>
      </c>
      <c r="CB232" s="12">
        <f t="shared" ca="1" si="394"/>
        <v>0</v>
      </c>
      <c r="CC232" s="12">
        <f t="shared" ca="1" si="394"/>
        <v>0</v>
      </c>
      <c r="CD232" s="12">
        <f t="shared" ca="1" si="394"/>
        <v>0</v>
      </c>
      <c r="CE232" s="12">
        <f t="shared" ca="1" si="394"/>
        <v>0</v>
      </c>
      <c r="CF232" s="12">
        <f t="shared" ca="1" si="394"/>
        <v>0</v>
      </c>
      <c r="CG232" s="12">
        <f t="shared" ca="1" si="394"/>
        <v>0</v>
      </c>
      <c r="CH232" s="12">
        <f t="shared" ca="1" si="394"/>
        <v>0</v>
      </c>
      <c r="CI232" s="12">
        <f t="shared" ca="1" si="394"/>
        <v>0</v>
      </c>
      <c r="CJ232" s="12">
        <f t="shared" ca="1" si="394"/>
        <v>0</v>
      </c>
      <c r="CK232" s="12">
        <f t="shared" ca="1" si="394"/>
        <v>0</v>
      </c>
      <c r="CL232" s="12">
        <f t="shared" ca="1" si="394"/>
        <v>0</v>
      </c>
      <c r="CM232" s="12">
        <f t="shared" ca="1" si="394"/>
        <v>0</v>
      </c>
      <c r="CN232" s="12">
        <f t="shared" ca="1" si="394"/>
        <v>0</v>
      </c>
      <c r="CO232" s="12">
        <f t="shared" ca="1" si="394"/>
        <v>0</v>
      </c>
      <c r="CP232" s="12">
        <f t="shared" ca="1" si="394"/>
        <v>0</v>
      </c>
      <c r="CQ232" s="12">
        <f t="shared" ca="1" si="394"/>
        <v>0</v>
      </c>
      <c r="CR232" s="12">
        <f t="shared" ca="1" si="394"/>
        <v>0</v>
      </c>
      <c r="CS232" s="12">
        <f t="shared" ca="1" si="394"/>
        <v>0</v>
      </c>
      <c r="CT232" s="12">
        <f t="shared" ca="1" si="394"/>
        <v>0</v>
      </c>
      <c r="CU232" s="12">
        <f t="shared" ca="1" si="394"/>
        <v>0</v>
      </c>
      <c r="CV232" s="12">
        <f t="shared" ca="1" si="394"/>
        <v>0</v>
      </c>
      <c r="CW232" s="12">
        <f t="shared" ca="1" si="394"/>
        <v>0</v>
      </c>
      <c r="CX232" s="12">
        <f t="shared" ca="1" si="394"/>
        <v>0</v>
      </c>
      <c r="CY232" s="12">
        <f t="shared" ca="1" si="394"/>
        <v>0</v>
      </c>
      <c r="CZ232" s="12">
        <f t="shared" ca="1" si="394"/>
        <v>0</v>
      </c>
      <c r="DA232" s="12">
        <f t="shared" ca="1" si="394"/>
        <v>0</v>
      </c>
      <c r="DB232" s="12">
        <f t="shared" ca="1" si="394"/>
        <v>0</v>
      </c>
      <c r="DC232" s="12">
        <f t="shared" ca="1" si="394"/>
        <v>0</v>
      </c>
      <c r="DD232" s="12">
        <f t="shared" ca="1" si="394"/>
        <v>0</v>
      </c>
      <c r="DE232" s="12">
        <f t="shared" ca="1" si="394"/>
        <v>0</v>
      </c>
      <c r="DF232" s="12">
        <f t="shared" ca="1" si="394"/>
        <v>0</v>
      </c>
      <c r="DG232" s="12">
        <f t="shared" ca="1" si="394"/>
        <v>0</v>
      </c>
      <c r="DH232" s="12">
        <f t="shared" ca="1" si="394"/>
        <v>0</v>
      </c>
      <c r="DI232" s="12">
        <f t="shared" ca="1" si="394"/>
        <v>0</v>
      </c>
      <c r="DJ232" s="12">
        <f t="shared" ca="1" si="394"/>
        <v>0</v>
      </c>
      <c r="DK232" s="12">
        <f t="shared" ca="1" si="394"/>
        <v>0</v>
      </c>
      <c r="DL232" s="12">
        <f t="shared" ca="1" si="394"/>
        <v>0</v>
      </c>
      <c r="DM232" s="12">
        <f t="shared" ca="1" si="394"/>
        <v>0</v>
      </c>
      <c r="DN232" s="12">
        <f t="shared" ca="1" si="394"/>
        <v>0</v>
      </c>
      <c r="DO232" s="12">
        <f t="shared" ca="1" si="394"/>
        <v>0</v>
      </c>
      <c r="DP232" s="12">
        <f t="shared" ca="1" si="394"/>
        <v>0</v>
      </c>
      <c r="DQ232" s="12">
        <f t="shared" ca="1" si="394"/>
        <v>0</v>
      </c>
      <c r="DR232" s="12">
        <f t="shared" ca="1" si="394"/>
        <v>0</v>
      </c>
      <c r="DS232" s="12">
        <f t="shared" ca="1" si="394"/>
        <v>0</v>
      </c>
      <c r="DT232" s="12">
        <f t="shared" ca="1" si="394"/>
        <v>0</v>
      </c>
      <c r="DU232" s="12">
        <f t="shared" ca="1" si="394"/>
        <v>0</v>
      </c>
      <c r="DV232" s="12">
        <f t="shared" ca="1" si="394"/>
        <v>0</v>
      </c>
      <c r="DW232" s="12">
        <f t="shared" ca="1" si="394"/>
        <v>0</v>
      </c>
      <c r="DX232" s="12">
        <f t="shared" ca="1" si="394"/>
        <v>0</v>
      </c>
      <c r="DY232" s="12">
        <f t="shared" ca="1" si="394"/>
        <v>0</v>
      </c>
      <c r="DZ232" s="12">
        <f t="shared" ca="1" si="394"/>
        <v>0</v>
      </c>
      <c r="EA232" s="12">
        <f t="shared" ca="1" si="394"/>
        <v>0</v>
      </c>
      <c r="EB232" s="12">
        <f t="shared" ca="1" si="394"/>
        <v>0</v>
      </c>
      <c r="EC232" s="12">
        <f t="shared" ca="1" si="394"/>
        <v>0</v>
      </c>
      <c r="ED232" s="12">
        <f t="shared" ca="1" si="394"/>
        <v>0</v>
      </c>
      <c r="EE232" s="12">
        <f t="shared" ca="1" si="394"/>
        <v>0</v>
      </c>
      <c r="EF232" s="12">
        <f t="shared" ca="1" si="394"/>
        <v>0</v>
      </c>
      <c r="EG232" s="12">
        <f ca="1">-SUM(EG226:EG228)*$C$188-EG217</f>
        <v>0</v>
      </c>
      <c r="EH232" s="12">
        <f ca="1">-SUM(EH226:EH228)*$C$188-EH217</f>
        <v>0</v>
      </c>
      <c r="EI232" s="12">
        <f ca="1">-SUM(EI226:EI228)*$C$188-EI217</f>
        <v>0</v>
      </c>
      <c r="EJ232" s="12">
        <f ca="1">-SUM(EJ226:EJ228)*$C$188-EJ217</f>
        <v>0</v>
      </c>
    </row>
    <row r="233" spans="2:140" x14ac:dyDescent="0.4">
      <c r="B233" s="1" t="s">
        <v>115</v>
      </c>
      <c r="H233" s="318">
        <f ca="1">MAX(SUM(H231:H232)/(1-$C223)*$C223,0)</f>
        <v>0</v>
      </c>
      <c r="I233" s="12">
        <f t="shared" ref="I233:BT233" ca="1" si="395">MAX(SUM(I231:I232)/(1-$C223)*$C223,0)</f>
        <v>0</v>
      </c>
      <c r="J233" s="12">
        <f t="shared" ca="1" si="395"/>
        <v>0</v>
      </c>
      <c r="K233" s="12">
        <f t="shared" ca="1" si="395"/>
        <v>0</v>
      </c>
      <c r="L233" s="12">
        <f t="shared" ca="1" si="395"/>
        <v>0</v>
      </c>
      <c r="M233" s="12">
        <f t="shared" ca="1" si="395"/>
        <v>0</v>
      </c>
      <c r="N233" s="12">
        <f t="shared" ca="1" si="395"/>
        <v>0</v>
      </c>
      <c r="O233" s="12">
        <f t="shared" ca="1" si="395"/>
        <v>0</v>
      </c>
      <c r="P233" s="12">
        <f t="shared" ca="1" si="395"/>
        <v>0</v>
      </c>
      <c r="Q233" s="12">
        <f t="shared" ca="1" si="395"/>
        <v>0</v>
      </c>
      <c r="R233" s="12">
        <f t="shared" ca="1" si="395"/>
        <v>0</v>
      </c>
      <c r="S233" s="12">
        <f t="shared" ca="1" si="395"/>
        <v>0</v>
      </c>
      <c r="T233" s="12">
        <f t="shared" ca="1" si="395"/>
        <v>0</v>
      </c>
      <c r="U233" s="12">
        <f t="shared" ca="1" si="395"/>
        <v>0</v>
      </c>
      <c r="V233" s="12">
        <f t="shared" ca="1" si="395"/>
        <v>0</v>
      </c>
      <c r="W233" s="12">
        <f t="shared" ca="1" si="395"/>
        <v>0</v>
      </c>
      <c r="X233" s="12">
        <f t="shared" ca="1" si="395"/>
        <v>0</v>
      </c>
      <c r="Y233" s="12">
        <f t="shared" ca="1" si="395"/>
        <v>0</v>
      </c>
      <c r="Z233" s="12">
        <f t="shared" ca="1" si="395"/>
        <v>0</v>
      </c>
      <c r="AA233" s="12">
        <f t="shared" ca="1" si="395"/>
        <v>0</v>
      </c>
      <c r="AB233" s="12">
        <f t="shared" ca="1" si="395"/>
        <v>0</v>
      </c>
      <c r="AC233" s="12">
        <f t="shared" ca="1" si="395"/>
        <v>0</v>
      </c>
      <c r="AD233" s="12">
        <f t="shared" ca="1" si="395"/>
        <v>0</v>
      </c>
      <c r="AE233" s="12">
        <f t="shared" ca="1" si="395"/>
        <v>0</v>
      </c>
      <c r="AF233" s="12">
        <f t="shared" ca="1" si="395"/>
        <v>0</v>
      </c>
      <c r="AG233" s="12">
        <f t="shared" ca="1" si="395"/>
        <v>0</v>
      </c>
      <c r="AH233" s="12">
        <f t="shared" ca="1" si="395"/>
        <v>0</v>
      </c>
      <c r="AI233" s="12">
        <f t="shared" ca="1" si="395"/>
        <v>0</v>
      </c>
      <c r="AJ233" s="12">
        <f t="shared" ca="1" si="395"/>
        <v>0</v>
      </c>
      <c r="AK233" s="12">
        <f t="shared" ca="1" si="395"/>
        <v>0</v>
      </c>
      <c r="AL233" s="12">
        <f t="shared" ca="1" si="395"/>
        <v>0</v>
      </c>
      <c r="AM233" s="12">
        <f t="shared" ca="1" si="395"/>
        <v>0</v>
      </c>
      <c r="AN233" s="12">
        <f t="shared" ca="1" si="395"/>
        <v>0</v>
      </c>
      <c r="AO233" s="12">
        <f t="shared" ca="1" si="395"/>
        <v>0</v>
      </c>
      <c r="AP233" s="12">
        <f t="shared" ca="1" si="395"/>
        <v>0</v>
      </c>
      <c r="AQ233" s="12">
        <f t="shared" ca="1" si="395"/>
        <v>0</v>
      </c>
      <c r="AR233" s="12">
        <f t="shared" ca="1" si="395"/>
        <v>1306895.8786683297</v>
      </c>
      <c r="AS233" s="12">
        <f t="shared" ca="1" si="395"/>
        <v>0</v>
      </c>
      <c r="AT233" s="12">
        <f t="shared" ca="1" si="395"/>
        <v>0</v>
      </c>
      <c r="AU233" s="12">
        <f t="shared" ca="1" si="395"/>
        <v>0</v>
      </c>
      <c r="AV233" s="12">
        <f t="shared" ca="1" si="395"/>
        <v>0</v>
      </c>
      <c r="AW233" s="12">
        <f t="shared" ca="1" si="395"/>
        <v>0</v>
      </c>
      <c r="AX233" s="12">
        <f t="shared" ca="1" si="395"/>
        <v>0</v>
      </c>
      <c r="AY233" s="12">
        <f t="shared" ca="1" si="395"/>
        <v>0</v>
      </c>
      <c r="AZ233" s="12">
        <f t="shared" ca="1" si="395"/>
        <v>0</v>
      </c>
      <c r="BA233" s="12">
        <f t="shared" ca="1" si="395"/>
        <v>0</v>
      </c>
      <c r="BB233" s="12">
        <f t="shared" ca="1" si="395"/>
        <v>0</v>
      </c>
      <c r="BC233" s="12">
        <f t="shared" ca="1" si="395"/>
        <v>0</v>
      </c>
      <c r="BD233" s="12">
        <f t="shared" ca="1" si="395"/>
        <v>0</v>
      </c>
      <c r="BE233" s="12">
        <f t="shared" ca="1" si="395"/>
        <v>0</v>
      </c>
      <c r="BF233" s="12">
        <f t="shared" ca="1" si="395"/>
        <v>0</v>
      </c>
      <c r="BG233" s="12">
        <f t="shared" ca="1" si="395"/>
        <v>0</v>
      </c>
      <c r="BH233" s="12">
        <f t="shared" ca="1" si="395"/>
        <v>0</v>
      </c>
      <c r="BI233" s="12">
        <f t="shared" ca="1" si="395"/>
        <v>0</v>
      </c>
      <c r="BJ233" s="12">
        <f t="shared" ca="1" si="395"/>
        <v>0</v>
      </c>
      <c r="BK233" s="12">
        <f t="shared" ca="1" si="395"/>
        <v>0</v>
      </c>
      <c r="BL233" s="12">
        <f t="shared" ca="1" si="395"/>
        <v>0</v>
      </c>
      <c r="BM233" s="12">
        <f t="shared" ca="1" si="395"/>
        <v>0</v>
      </c>
      <c r="BN233" s="12">
        <f t="shared" ca="1" si="395"/>
        <v>0</v>
      </c>
      <c r="BO233" s="12">
        <f t="shared" ca="1" si="395"/>
        <v>0</v>
      </c>
      <c r="BP233" s="12">
        <f t="shared" ca="1" si="395"/>
        <v>0</v>
      </c>
      <c r="BQ233" s="12">
        <f t="shared" ca="1" si="395"/>
        <v>0</v>
      </c>
      <c r="BR233" s="12">
        <f t="shared" ca="1" si="395"/>
        <v>0</v>
      </c>
      <c r="BS233" s="12">
        <f t="shared" ca="1" si="395"/>
        <v>0</v>
      </c>
      <c r="BT233" s="12">
        <f t="shared" ca="1" si="395"/>
        <v>0</v>
      </c>
      <c r="BU233" s="12">
        <f t="shared" ref="BU233:EF233" ca="1" si="396">MAX(SUM(BU231:BU232)/(1-$C223)*$C223,0)</f>
        <v>0</v>
      </c>
      <c r="BV233" s="12">
        <f t="shared" ca="1" si="396"/>
        <v>0</v>
      </c>
      <c r="BW233" s="12">
        <f t="shared" ca="1" si="396"/>
        <v>0</v>
      </c>
      <c r="BX233" s="12">
        <f t="shared" ca="1" si="396"/>
        <v>0</v>
      </c>
      <c r="BY233" s="12">
        <f t="shared" ca="1" si="396"/>
        <v>0</v>
      </c>
      <c r="BZ233" s="12">
        <f t="shared" ca="1" si="396"/>
        <v>0</v>
      </c>
      <c r="CA233" s="12">
        <f t="shared" ca="1" si="396"/>
        <v>0</v>
      </c>
      <c r="CB233" s="12">
        <f t="shared" ca="1" si="396"/>
        <v>0</v>
      </c>
      <c r="CC233" s="12">
        <f t="shared" ca="1" si="396"/>
        <v>0</v>
      </c>
      <c r="CD233" s="12">
        <f t="shared" ca="1" si="396"/>
        <v>0</v>
      </c>
      <c r="CE233" s="12">
        <f t="shared" ca="1" si="396"/>
        <v>0</v>
      </c>
      <c r="CF233" s="12">
        <f t="shared" ca="1" si="396"/>
        <v>0</v>
      </c>
      <c r="CG233" s="12">
        <f t="shared" ca="1" si="396"/>
        <v>0</v>
      </c>
      <c r="CH233" s="12">
        <f t="shared" ca="1" si="396"/>
        <v>0</v>
      </c>
      <c r="CI233" s="12">
        <f t="shared" ca="1" si="396"/>
        <v>0</v>
      </c>
      <c r="CJ233" s="12">
        <f t="shared" ca="1" si="396"/>
        <v>0</v>
      </c>
      <c r="CK233" s="12">
        <f t="shared" ca="1" si="396"/>
        <v>0</v>
      </c>
      <c r="CL233" s="12">
        <f t="shared" ca="1" si="396"/>
        <v>0</v>
      </c>
      <c r="CM233" s="12">
        <f t="shared" ca="1" si="396"/>
        <v>0</v>
      </c>
      <c r="CN233" s="12">
        <f t="shared" ca="1" si="396"/>
        <v>0</v>
      </c>
      <c r="CO233" s="12">
        <f t="shared" ca="1" si="396"/>
        <v>0</v>
      </c>
      <c r="CP233" s="12">
        <f t="shared" ca="1" si="396"/>
        <v>0</v>
      </c>
      <c r="CQ233" s="12">
        <f t="shared" ca="1" si="396"/>
        <v>0</v>
      </c>
      <c r="CR233" s="12">
        <f t="shared" ca="1" si="396"/>
        <v>0</v>
      </c>
      <c r="CS233" s="12">
        <f t="shared" ca="1" si="396"/>
        <v>0</v>
      </c>
      <c r="CT233" s="12">
        <f t="shared" ca="1" si="396"/>
        <v>0</v>
      </c>
      <c r="CU233" s="12">
        <f t="shared" ca="1" si="396"/>
        <v>0</v>
      </c>
      <c r="CV233" s="12">
        <f t="shared" ca="1" si="396"/>
        <v>0</v>
      </c>
      <c r="CW233" s="12">
        <f t="shared" ca="1" si="396"/>
        <v>0</v>
      </c>
      <c r="CX233" s="12">
        <f t="shared" ca="1" si="396"/>
        <v>0</v>
      </c>
      <c r="CY233" s="12">
        <f t="shared" ca="1" si="396"/>
        <v>0</v>
      </c>
      <c r="CZ233" s="12">
        <f t="shared" ca="1" si="396"/>
        <v>0</v>
      </c>
      <c r="DA233" s="12">
        <f t="shared" ca="1" si="396"/>
        <v>0</v>
      </c>
      <c r="DB233" s="12">
        <f t="shared" ca="1" si="396"/>
        <v>0</v>
      </c>
      <c r="DC233" s="12">
        <f t="shared" ca="1" si="396"/>
        <v>0</v>
      </c>
      <c r="DD233" s="12">
        <f t="shared" ca="1" si="396"/>
        <v>0</v>
      </c>
      <c r="DE233" s="12">
        <f t="shared" ca="1" si="396"/>
        <v>0</v>
      </c>
      <c r="DF233" s="12">
        <f t="shared" ca="1" si="396"/>
        <v>0</v>
      </c>
      <c r="DG233" s="12">
        <f t="shared" ca="1" si="396"/>
        <v>0</v>
      </c>
      <c r="DH233" s="12">
        <f t="shared" ca="1" si="396"/>
        <v>0</v>
      </c>
      <c r="DI233" s="12">
        <f t="shared" ca="1" si="396"/>
        <v>0</v>
      </c>
      <c r="DJ233" s="12">
        <f t="shared" ca="1" si="396"/>
        <v>0</v>
      </c>
      <c r="DK233" s="12">
        <f t="shared" ca="1" si="396"/>
        <v>0</v>
      </c>
      <c r="DL233" s="12">
        <f t="shared" ca="1" si="396"/>
        <v>0</v>
      </c>
      <c r="DM233" s="12">
        <f t="shared" ca="1" si="396"/>
        <v>0</v>
      </c>
      <c r="DN233" s="12">
        <f t="shared" ca="1" si="396"/>
        <v>0</v>
      </c>
      <c r="DO233" s="12">
        <f t="shared" ca="1" si="396"/>
        <v>0</v>
      </c>
      <c r="DP233" s="12">
        <f t="shared" ca="1" si="396"/>
        <v>0</v>
      </c>
      <c r="DQ233" s="12">
        <f t="shared" ca="1" si="396"/>
        <v>0</v>
      </c>
      <c r="DR233" s="12">
        <f t="shared" ca="1" si="396"/>
        <v>0</v>
      </c>
      <c r="DS233" s="12">
        <f t="shared" ca="1" si="396"/>
        <v>0</v>
      </c>
      <c r="DT233" s="12">
        <f t="shared" ca="1" si="396"/>
        <v>0</v>
      </c>
      <c r="DU233" s="12">
        <f t="shared" ca="1" si="396"/>
        <v>0</v>
      </c>
      <c r="DV233" s="12">
        <f t="shared" ca="1" si="396"/>
        <v>0</v>
      </c>
      <c r="DW233" s="12">
        <f t="shared" ca="1" si="396"/>
        <v>0</v>
      </c>
      <c r="DX233" s="12">
        <f t="shared" ca="1" si="396"/>
        <v>0</v>
      </c>
      <c r="DY233" s="12">
        <f t="shared" ca="1" si="396"/>
        <v>0</v>
      </c>
      <c r="DZ233" s="12">
        <f t="shared" ca="1" si="396"/>
        <v>0</v>
      </c>
      <c r="EA233" s="12">
        <f t="shared" ca="1" si="396"/>
        <v>0</v>
      </c>
      <c r="EB233" s="12">
        <f t="shared" ca="1" si="396"/>
        <v>0</v>
      </c>
      <c r="EC233" s="12">
        <f t="shared" ca="1" si="396"/>
        <v>0</v>
      </c>
      <c r="ED233" s="12">
        <f t="shared" ca="1" si="396"/>
        <v>0</v>
      </c>
      <c r="EE233" s="12">
        <f t="shared" ca="1" si="396"/>
        <v>0</v>
      </c>
      <c r="EF233" s="12">
        <f t="shared" ca="1" si="396"/>
        <v>0</v>
      </c>
      <c r="EG233" s="12">
        <f ca="1">MAX(SUM(EG231:EG232)/(1-$C223)*$C223,0)</f>
        <v>0</v>
      </c>
      <c r="EH233" s="12">
        <f ca="1">MAX(SUM(EH231:EH232)/(1-$C223)*$C223,0)</f>
        <v>0</v>
      </c>
      <c r="EI233" s="12">
        <f ca="1">MAX(SUM(EI231:EI232)/(1-$C223)*$C223,0)</f>
        <v>0</v>
      </c>
      <c r="EJ233" s="12">
        <f ca="1">MAX(SUM(EJ231:EJ232)/(1-$C223)*$C223,0)</f>
        <v>0</v>
      </c>
    </row>
    <row r="234" spans="2:140" x14ac:dyDescent="0.4">
      <c r="H234" s="316"/>
    </row>
    <row r="235" spans="2:140" x14ac:dyDescent="0.4">
      <c r="B235" s="1" t="s">
        <v>110</v>
      </c>
      <c r="C235" s="320" t="str">
        <f ca="1">IF(ROUND(XIRR(H235:EJ235,$H$6:$EJ$6),3)=C222,"Ok","Check")</f>
        <v>Ok</v>
      </c>
      <c r="H235" s="318">
        <f ca="1">H231+H216</f>
        <v>-5490000</v>
      </c>
      <c r="I235" s="12">
        <f t="shared" ref="I235:BT237" ca="1" si="397">I216+I231</f>
        <v>0</v>
      </c>
      <c r="J235" s="12">
        <f t="shared" ca="1" si="397"/>
        <v>0</v>
      </c>
      <c r="K235" s="12">
        <f t="shared" ca="1" si="397"/>
        <v>-324450</v>
      </c>
      <c r="L235" s="12">
        <f t="shared" ca="1" si="397"/>
        <v>-324450</v>
      </c>
      <c r="M235" s="12">
        <f t="shared" ca="1" si="397"/>
        <v>-324450</v>
      </c>
      <c r="N235" s="12">
        <f t="shared" ca="1" si="397"/>
        <v>-324450</v>
      </c>
      <c r="O235" s="12">
        <f t="shared" ca="1" si="397"/>
        <v>-2827575</v>
      </c>
      <c r="P235" s="12">
        <f t="shared" ca="1" si="397"/>
        <v>-2827575</v>
      </c>
      <c r="Q235" s="12">
        <f t="shared" ca="1" si="397"/>
        <v>-2827575</v>
      </c>
      <c r="R235" s="12">
        <f t="shared" ca="1" si="397"/>
        <v>-1600604.9994850091</v>
      </c>
      <c r="S235" s="12">
        <f t="shared" ca="1" si="397"/>
        <v>0</v>
      </c>
      <c r="T235" s="12">
        <f t="shared" ca="1" si="397"/>
        <v>0</v>
      </c>
      <c r="U235" s="12">
        <f t="shared" ca="1" si="397"/>
        <v>0</v>
      </c>
      <c r="V235" s="12">
        <f t="shared" ca="1" si="397"/>
        <v>0</v>
      </c>
      <c r="W235" s="12">
        <f t="shared" ca="1" si="397"/>
        <v>0</v>
      </c>
      <c r="X235" s="12">
        <f t="shared" ca="1" si="397"/>
        <v>0</v>
      </c>
      <c r="Y235" s="12">
        <f t="shared" ca="1" si="397"/>
        <v>-3375</v>
      </c>
      <c r="Z235" s="12">
        <f t="shared" ca="1" si="397"/>
        <v>1963.9034777278082</v>
      </c>
      <c r="AA235" s="12">
        <f t="shared" ca="1" si="397"/>
        <v>32437.528027416487</v>
      </c>
      <c r="AB235" s="12">
        <f t="shared" ca="1" si="397"/>
        <v>63012.71649531713</v>
      </c>
      <c r="AC235" s="12">
        <f t="shared" ca="1" si="397"/>
        <v>93689.722778865704</v>
      </c>
      <c r="AD235" s="12">
        <f t="shared" ca="1" si="397"/>
        <v>124468.80133969621</v>
      </c>
      <c r="AE235" s="12">
        <f t="shared" ca="1" si="397"/>
        <v>14412.007204846086</v>
      </c>
      <c r="AF235" s="12">
        <f t="shared" ca="1" si="397"/>
        <v>40551.42596786948</v>
      </c>
      <c r="AG235" s="12">
        <f t="shared" ca="1" si="397"/>
        <v>78194.739026057461</v>
      </c>
      <c r="AH235" s="12">
        <f t="shared" ca="1" si="397"/>
        <v>124378.38420954735</v>
      </c>
      <c r="AI235" s="12">
        <f t="shared" ca="1" si="397"/>
        <v>110743.84759994449</v>
      </c>
      <c r="AJ235" s="12">
        <f t="shared" ca="1" si="397"/>
        <v>115972.83865820078</v>
      </c>
      <c r="AK235" s="12">
        <f t="shared" ca="1" si="397"/>
        <v>111808.29151983473</v>
      </c>
      <c r="AL235" s="12">
        <f t="shared" ca="1" si="397"/>
        <v>117085.88033073113</v>
      </c>
      <c r="AM235" s="12">
        <f t="shared" ca="1" si="397"/>
        <v>112914.38924716647</v>
      </c>
      <c r="AN235" s="12">
        <f t="shared" ca="1" si="397"/>
        <v>144358.31152053524</v>
      </c>
      <c r="AO235" s="12">
        <f t="shared" ca="1" si="397"/>
        <v>149754.92405628873</v>
      </c>
      <c r="AP235" s="12">
        <f t="shared" ca="1" si="397"/>
        <v>145670.98200626823</v>
      </c>
      <c r="AQ235" s="12">
        <f t="shared" ca="1" si="397"/>
        <v>151104.53005052253</v>
      </c>
      <c r="AR235" s="12">
        <f t="shared" ca="1" si="397"/>
        <v>25002526.247508086</v>
      </c>
      <c r="AS235" s="12">
        <f t="shared" ca="1" si="397"/>
        <v>0</v>
      </c>
      <c r="AT235" s="12">
        <f t="shared" ca="1" si="397"/>
        <v>0</v>
      </c>
      <c r="AU235" s="12">
        <f t="shared" ca="1" si="397"/>
        <v>0</v>
      </c>
      <c r="AV235" s="12">
        <f t="shared" ca="1" si="397"/>
        <v>0</v>
      </c>
      <c r="AW235" s="12">
        <f t="shared" ca="1" si="397"/>
        <v>0</v>
      </c>
      <c r="AX235" s="12">
        <f t="shared" ca="1" si="397"/>
        <v>0</v>
      </c>
      <c r="AY235" s="12">
        <f t="shared" ca="1" si="397"/>
        <v>0</v>
      </c>
      <c r="AZ235" s="12">
        <f t="shared" ca="1" si="397"/>
        <v>0</v>
      </c>
      <c r="BA235" s="12">
        <f t="shared" ca="1" si="397"/>
        <v>0</v>
      </c>
      <c r="BB235" s="12">
        <f t="shared" ca="1" si="397"/>
        <v>0</v>
      </c>
      <c r="BC235" s="12">
        <f t="shared" ca="1" si="397"/>
        <v>0</v>
      </c>
      <c r="BD235" s="12">
        <f t="shared" ca="1" si="397"/>
        <v>0</v>
      </c>
      <c r="BE235" s="12">
        <f t="shared" ca="1" si="397"/>
        <v>0</v>
      </c>
      <c r="BF235" s="12">
        <f t="shared" ca="1" si="397"/>
        <v>0</v>
      </c>
      <c r="BG235" s="12">
        <f t="shared" ca="1" si="397"/>
        <v>0</v>
      </c>
      <c r="BH235" s="12">
        <f t="shared" ca="1" si="397"/>
        <v>0</v>
      </c>
      <c r="BI235" s="12">
        <f t="shared" ca="1" si="397"/>
        <v>0</v>
      </c>
      <c r="BJ235" s="12">
        <f t="shared" ca="1" si="397"/>
        <v>0</v>
      </c>
      <c r="BK235" s="12">
        <f t="shared" ca="1" si="397"/>
        <v>0</v>
      </c>
      <c r="BL235" s="12">
        <f t="shared" ca="1" si="397"/>
        <v>0</v>
      </c>
      <c r="BM235" s="12">
        <f t="shared" ca="1" si="397"/>
        <v>0</v>
      </c>
      <c r="BN235" s="12">
        <f t="shared" ca="1" si="397"/>
        <v>0</v>
      </c>
      <c r="BO235" s="12">
        <f t="shared" ca="1" si="397"/>
        <v>0</v>
      </c>
      <c r="BP235" s="12">
        <f t="shared" ca="1" si="397"/>
        <v>0</v>
      </c>
      <c r="BQ235" s="12">
        <f t="shared" ca="1" si="397"/>
        <v>0</v>
      </c>
      <c r="BR235" s="12">
        <f t="shared" ca="1" si="397"/>
        <v>0</v>
      </c>
      <c r="BS235" s="12">
        <f t="shared" ca="1" si="397"/>
        <v>0</v>
      </c>
      <c r="BT235" s="12">
        <f t="shared" ca="1" si="397"/>
        <v>0</v>
      </c>
      <c r="BU235" s="12">
        <f t="shared" ref="BU235:EF237" ca="1" si="398">BU216+BU231</f>
        <v>0</v>
      </c>
      <c r="BV235" s="12">
        <f t="shared" ca="1" si="398"/>
        <v>0</v>
      </c>
      <c r="BW235" s="12">
        <f t="shared" ca="1" si="398"/>
        <v>0</v>
      </c>
      <c r="BX235" s="12">
        <f t="shared" ca="1" si="398"/>
        <v>0</v>
      </c>
      <c r="BY235" s="12">
        <f t="shared" ca="1" si="398"/>
        <v>0</v>
      </c>
      <c r="BZ235" s="12">
        <f t="shared" ca="1" si="398"/>
        <v>0</v>
      </c>
      <c r="CA235" s="12">
        <f t="shared" ca="1" si="398"/>
        <v>0</v>
      </c>
      <c r="CB235" s="12">
        <f t="shared" ca="1" si="398"/>
        <v>0</v>
      </c>
      <c r="CC235" s="12">
        <f t="shared" ca="1" si="398"/>
        <v>0</v>
      </c>
      <c r="CD235" s="12">
        <f t="shared" ca="1" si="398"/>
        <v>0</v>
      </c>
      <c r="CE235" s="12">
        <f t="shared" ca="1" si="398"/>
        <v>0</v>
      </c>
      <c r="CF235" s="12">
        <f t="shared" ca="1" si="398"/>
        <v>0</v>
      </c>
      <c r="CG235" s="12">
        <f t="shared" ca="1" si="398"/>
        <v>0</v>
      </c>
      <c r="CH235" s="12">
        <f t="shared" ca="1" si="398"/>
        <v>0</v>
      </c>
      <c r="CI235" s="12">
        <f t="shared" ca="1" si="398"/>
        <v>0</v>
      </c>
      <c r="CJ235" s="12">
        <f t="shared" ca="1" si="398"/>
        <v>0</v>
      </c>
      <c r="CK235" s="12">
        <f t="shared" ca="1" si="398"/>
        <v>0</v>
      </c>
      <c r="CL235" s="12">
        <f t="shared" ca="1" si="398"/>
        <v>0</v>
      </c>
      <c r="CM235" s="12">
        <f t="shared" ca="1" si="398"/>
        <v>0</v>
      </c>
      <c r="CN235" s="12">
        <f t="shared" ca="1" si="398"/>
        <v>0</v>
      </c>
      <c r="CO235" s="12">
        <f t="shared" ca="1" si="398"/>
        <v>0</v>
      </c>
      <c r="CP235" s="12">
        <f t="shared" ca="1" si="398"/>
        <v>0</v>
      </c>
      <c r="CQ235" s="12">
        <f t="shared" ca="1" si="398"/>
        <v>0</v>
      </c>
      <c r="CR235" s="12">
        <f t="shared" ca="1" si="398"/>
        <v>0</v>
      </c>
      <c r="CS235" s="12">
        <f t="shared" ca="1" si="398"/>
        <v>0</v>
      </c>
      <c r="CT235" s="12">
        <f t="shared" ca="1" si="398"/>
        <v>0</v>
      </c>
      <c r="CU235" s="12">
        <f t="shared" ca="1" si="398"/>
        <v>0</v>
      </c>
      <c r="CV235" s="12">
        <f t="shared" ca="1" si="398"/>
        <v>0</v>
      </c>
      <c r="CW235" s="12">
        <f t="shared" ca="1" si="398"/>
        <v>0</v>
      </c>
      <c r="CX235" s="12">
        <f t="shared" ca="1" si="398"/>
        <v>0</v>
      </c>
      <c r="CY235" s="12">
        <f t="shared" ca="1" si="398"/>
        <v>0</v>
      </c>
      <c r="CZ235" s="12">
        <f t="shared" ca="1" si="398"/>
        <v>0</v>
      </c>
      <c r="DA235" s="12">
        <f t="shared" ca="1" si="398"/>
        <v>0</v>
      </c>
      <c r="DB235" s="12">
        <f t="shared" ca="1" si="398"/>
        <v>0</v>
      </c>
      <c r="DC235" s="12">
        <f t="shared" ca="1" si="398"/>
        <v>0</v>
      </c>
      <c r="DD235" s="12">
        <f t="shared" ca="1" si="398"/>
        <v>0</v>
      </c>
      <c r="DE235" s="12">
        <f t="shared" ca="1" si="398"/>
        <v>0</v>
      </c>
      <c r="DF235" s="12">
        <f t="shared" ca="1" si="398"/>
        <v>0</v>
      </c>
      <c r="DG235" s="12">
        <f t="shared" ca="1" si="398"/>
        <v>0</v>
      </c>
      <c r="DH235" s="12">
        <f t="shared" ca="1" si="398"/>
        <v>0</v>
      </c>
      <c r="DI235" s="12">
        <f t="shared" ca="1" si="398"/>
        <v>0</v>
      </c>
      <c r="DJ235" s="12">
        <f t="shared" ca="1" si="398"/>
        <v>0</v>
      </c>
      <c r="DK235" s="12">
        <f t="shared" ca="1" si="398"/>
        <v>0</v>
      </c>
      <c r="DL235" s="12">
        <f t="shared" ca="1" si="398"/>
        <v>0</v>
      </c>
      <c r="DM235" s="12">
        <f t="shared" ca="1" si="398"/>
        <v>0</v>
      </c>
      <c r="DN235" s="12">
        <f t="shared" ca="1" si="398"/>
        <v>0</v>
      </c>
      <c r="DO235" s="12">
        <f t="shared" ca="1" si="398"/>
        <v>0</v>
      </c>
      <c r="DP235" s="12">
        <f t="shared" ca="1" si="398"/>
        <v>0</v>
      </c>
      <c r="DQ235" s="12">
        <f t="shared" ca="1" si="398"/>
        <v>0</v>
      </c>
      <c r="DR235" s="12">
        <f t="shared" ca="1" si="398"/>
        <v>0</v>
      </c>
      <c r="DS235" s="12">
        <f t="shared" ca="1" si="398"/>
        <v>0</v>
      </c>
      <c r="DT235" s="12">
        <f t="shared" ca="1" si="398"/>
        <v>0</v>
      </c>
      <c r="DU235" s="12">
        <f t="shared" ca="1" si="398"/>
        <v>0</v>
      </c>
      <c r="DV235" s="12">
        <f t="shared" ca="1" si="398"/>
        <v>0</v>
      </c>
      <c r="DW235" s="12">
        <f t="shared" ca="1" si="398"/>
        <v>0</v>
      </c>
      <c r="DX235" s="12">
        <f t="shared" ca="1" si="398"/>
        <v>0</v>
      </c>
      <c r="DY235" s="12">
        <f t="shared" ca="1" si="398"/>
        <v>0</v>
      </c>
      <c r="DZ235" s="12">
        <f t="shared" ca="1" si="398"/>
        <v>0</v>
      </c>
      <c r="EA235" s="12">
        <f t="shared" ca="1" si="398"/>
        <v>0</v>
      </c>
      <c r="EB235" s="12">
        <f t="shared" ca="1" si="398"/>
        <v>0</v>
      </c>
      <c r="EC235" s="12">
        <f t="shared" ca="1" si="398"/>
        <v>0</v>
      </c>
      <c r="ED235" s="12">
        <f t="shared" ca="1" si="398"/>
        <v>0</v>
      </c>
      <c r="EE235" s="12">
        <f t="shared" ca="1" si="398"/>
        <v>0</v>
      </c>
      <c r="EF235" s="12">
        <f t="shared" ca="1" si="398"/>
        <v>0</v>
      </c>
      <c r="EG235" s="12">
        <f t="shared" ref="EG235:EJ237" ca="1" si="399">EG216+EG231</f>
        <v>0</v>
      </c>
      <c r="EH235" s="12">
        <f t="shared" ca="1" si="399"/>
        <v>0</v>
      </c>
      <c r="EI235" s="12">
        <f t="shared" ca="1" si="399"/>
        <v>0</v>
      </c>
      <c r="EJ235" s="12">
        <f t="shared" ca="1" si="399"/>
        <v>0</v>
      </c>
    </row>
    <row r="236" spans="2:140" x14ac:dyDescent="0.4">
      <c r="B236" s="1" t="s">
        <v>114</v>
      </c>
      <c r="C236" s="320" t="str">
        <f ca="1">IF(ROUND(XIRR(H236:EJ236,$H$6:$EJ$6),3)=C222,"Ok","Check")</f>
        <v>Ok</v>
      </c>
      <c r="H236" s="318">
        <f ca="1">H232+H217</f>
        <v>-610000</v>
      </c>
      <c r="I236" s="12">
        <f t="shared" ca="1" si="397"/>
        <v>0</v>
      </c>
      <c r="J236" s="12">
        <f t="shared" ca="1" si="397"/>
        <v>0</v>
      </c>
      <c r="K236" s="12">
        <f t="shared" ca="1" si="397"/>
        <v>-36050</v>
      </c>
      <c r="L236" s="12">
        <f t="shared" ca="1" si="397"/>
        <v>-36050</v>
      </c>
      <c r="M236" s="12">
        <f t="shared" ca="1" si="397"/>
        <v>-36050</v>
      </c>
      <c r="N236" s="12">
        <f t="shared" ca="1" si="397"/>
        <v>-36050</v>
      </c>
      <c r="O236" s="12">
        <f t="shared" ca="1" si="397"/>
        <v>-314175</v>
      </c>
      <c r="P236" s="12">
        <f t="shared" ca="1" si="397"/>
        <v>-314175</v>
      </c>
      <c r="Q236" s="12">
        <f t="shared" ca="1" si="397"/>
        <v>-314175</v>
      </c>
      <c r="R236" s="12">
        <f t="shared" ca="1" si="397"/>
        <v>-177844.99994277881</v>
      </c>
      <c r="S236" s="12">
        <f t="shared" ca="1" si="397"/>
        <v>0</v>
      </c>
      <c r="T236" s="12">
        <f t="shared" ca="1" si="397"/>
        <v>0</v>
      </c>
      <c r="U236" s="12">
        <f t="shared" ca="1" si="397"/>
        <v>0</v>
      </c>
      <c r="V236" s="12">
        <f t="shared" ca="1" si="397"/>
        <v>0</v>
      </c>
      <c r="W236" s="12">
        <f t="shared" ca="1" si="397"/>
        <v>0</v>
      </c>
      <c r="X236" s="12">
        <f t="shared" ca="1" si="397"/>
        <v>0</v>
      </c>
      <c r="Y236" s="12">
        <f t="shared" ca="1" si="397"/>
        <v>-375</v>
      </c>
      <c r="Z236" s="12">
        <f t="shared" ca="1" si="397"/>
        <v>218.21149752531201</v>
      </c>
      <c r="AA236" s="12">
        <f t="shared" ca="1" si="397"/>
        <v>3604.1697808240542</v>
      </c>
      <c r="AB236" s="12">
        <f t="shared" ca="1" si="397"/>
        <v>7001.412943924126</v>
      </c>
      <c r="AC236" s="12">
        <f t="shared" ca="1" si="397"/>
        <v>10409.969197651744</v>
      </c>
      <c r="AD236" s="12">
        <f t="shared" ca="1" si="397"/>
        <v>13829.866815521802</v>
      </c>
      <c r="AE236" s="12">
        <f t="shared" ca="1" si="397"/>
        <v>1601.3341338717873</v>
      </c>
      <c r="AF236" s="12">
        <f t="shared" ca="1" si="397"/>
        <v>4505.7139964299422</v>
      </c>
      <c r="AG236" s="12">
        <f t="shared" ca="1" si="397"/>
        <v>8688.3043362286062</v>
      </c>
      <c r="AH236" s="12">
        <f t="shared" ca="1" si="397"/>
        <v>13819.820467727484</v>
      </c>
      <c r="AI236" s="12">
        <f t="shared" ca="1" si="397"/>
        <v>12304.871955549388</v>
      </c>
      <c r="AJ236" s="12">
        <f t="shared" ca="1" si="397"/>
        <v>12885.870962022309</v>
      </c>
      <c r="AK236" s="12">
        <f t="shared" ca="1" si="397"/>
        <v>12423.143502203859</v>
      </c>
      <c r="AL236" s="12">
        <f t="shared" ca="1" si="397"/>
        <v>13009.542258970127</v>
      </c>
      <c r="AM236" s="12">
        <f t="shared" ca="1" si="397"/>
        <v>12546.043249685164</v>
      </c>
      <c r="AN236" s="12">
        <f t="shared" ca="1" si="397"/>
        <v>16039.812391170581</v>
      </c>
      <c r="AO236" s="12">
        <f t="shared" ca="1" si="397"/>
        <v>16639.436006254306</v>
      </c>
      <c r="AP236" s="12">
        <f t="shared" ca="1" si="397"/>
        <v>16185.664667363137</v>
      </c>
      <c r="AQ236" s="12">
        <f t="shared" ca="1" si="397"/>
        <v>16789.392227835837</v>
      </c>
      <c r="AR236" s="12">
        <f t="shared" ca="1" si="397"/>
        <v>2778058.4719453431</v>
      </c>
      <c r="AS236" s="12">
        <f t="shared" ca="1" si="397"/>
        <v>0</v>
      </c>
      <c r="AT236" s="12">
        <f t="shared" ca="1" si="397"/>
        <v>0</v>
      </c>
      <c r="AU236" s="12">
        <f t="shared" ca="1" si="397"/>
        <v>0</v>
      </c>
      <c r="AV236" s="12">
        <f t="shared" ca="1" si="397"/>
        <v>0</v>
      </c>
      <c r="AW236" s="12">
        <f t="shared" ca="1" si="397"/>
        <v>0</v>
      </c>
      <c r="AX236" s="12">
        <f t="shared" ca="1" si="397"/>
        <v>0</v>
      </c>
      <c r="AY236" s="12">
        <f t="shared" ca="1" si="397"/>
        <v>0</v>
      </c>
      <c r="AZ236" s="12">
        <f t="shared" ca="1" si="397"/>
        <v>0</v>
      </c>
      <c r="BA236" s="12">
        <f t="shared" ca="1" si="397"/>
        <v>0</v>
      </c>
      <c r="BB236" s="12">
        <f t="shared" ca="1" si="397"/>
        <v>0</v>
      </c>
      <c r="BC236" s="12">
        <f t="shared" ca="1" si="397"/>
        <v>0</v>
      </c>
      <c r="BD236" s="12">
        <f t="shared" ca="1" si="397"/>
        <v>0</v>
      </c>
      <c r="BE236" s="12">
        <f t="shared" ca="1" si="397"/>
        <v>0</v>
      </c>
      <c r="BF236" s="12">
        <f t="shared" ca="1" si="397"/>
        <v>0</v>
      </c>
      <c r="BG236" s="12">
        <f t="shared" ca="1" si="397"/>
        <v>0</v>
      </c>
      <c r="BH236" s="12">
        <f t="shared" ca="1" si="397"/>
        <v>0</v>
      </c>
      <c r="BI236" s="12">
        <f t="shared" ca="1" si="397"/>
        <v>0</v>
      </c>
      <c r="BJ236" s="12">
        <f t="shared" ca="1" si="397"/>
        <v>0</v>
      </c>
      <c r="BK236" s="12">
        <f t="shared" ca="1" si="397"/>
        <v>0</v>
      </c>
      <c r="BL236" s="12">
        <f t="shared" ca="1" si="397"/>
        <v>0</v>
      </c>
      <c r="BM236" s="12">
        <f t="shared" ca="1" si="397"/>
        <v>0</v>
      </c>
      <c r="BN236" s="12">
        <f t="shared" ca="1" si="397"/>
        <v>0</v>
      </c>
      <c r="BO236" s="12">
        <f t="shared" ca="1" si="397"/>
        <v>0</v>
      </c>
      <c r="BP236" s="12">
        <f t="shared" ca="1" si="397"/>
        <v>0</v>
      </c>
      <c r="BQ236" s="12">
        <f t="shared" ca="1" si="397"/>
        <v>0</v>
      </c>
      <c r="BR236" s="12">
        <f t="shared" ca="1" si="397"/>
        <v>0</v>
      </c>
      <c r="BS236" s="12">
        <f t="shared" ca="1" si="397"/>
        <v>0</v>
      </c>
      <c r="BT236" s="12">
        <f t="shared" ca="1" si="397"/>
        <v>0</v>
      </c>
      <c r="BU236" s="12">
        <f t="shared" ca="1" si="398"/>
        <v>0</v>
      </c>
      <c r="BV236" s="12">
        <f t="shared" ca="1" si="398"/>
        <v>0</v>
      </c>
      <c r="BW236" s="12">
        <f t="shared" ca="1" si="398"/>
        <v>0</v>
      </c>
      <c r="BX236" s="12">
        <f t="shared" ca="1" si="398"/>
        <v>0</v>
      </c>
      <c r="BY236" s="12">
        <f t="shared" ca="1" si="398"/>
        <v>0</v>
      </c>
      <c r="BZ236" s="12">
        <f t="shared" ca="1" si="398"/>
        <v>0</v>
      </c>
      <c r="CA236" s="12">
        <f t="shared" ca="1" si="398"/>
        <v>0</v>
      </c>
      <c r="CB236" s="12">
        <f t="shared" ca="1" si="398"/>
        <v>0</v>
      </c>
      <c r="CC236" s="12">
        <f t="shared" ca="1" si="398"/>
        <v>0</v>
      </c>
      <c r="CD236" s="12">
        <f t="shared" ca="1" si="398"/>
        <v>0</v>
      </c>
      <c r="CE236" s="12">
        <f t="shared" ca="1" si="398"/>
        <v>0</v>
      </c>
      <c r="CF236" s="12">
        <f t="shared" ca="1" si="398"/>
        <v>0</v>
      </c>
      <c r="CG236" s="12">
        <f t="shared" ca="1" si="398"/>
        <v>0</v>
      </c>
      <c r="CH236" s="12">
        <f t="shared" ca="1" si="398"/>
        <v>0</v>
      </c>
      <c r="CI236" s="12">
        <f t="shared" ca="1" si="398"/>
        <v>0</v>
      </c>
      <c r="CJ236" s="12">
        <f t="shared" ca="1" si="398"/>
        <v>0</v>
      </c>
      <c r="CK236" s="12">
        <f t="shared" ca="1" si="398"/>
        <v>0</v>
      </c>
      <c r="CL236" s="12">
        <f t="shared" ca="1" si="398"/>
        <v>0</v>
      </c>
      <c r="CM236" s="12">
        <f t="shared" ca="1" si="398"/>
        <v>0</v>
      </c>
      <c r="CN236" s="12">
        <f t="shared" ca="1" si="398"/>
        <v>0</v>
      </c>
      <c r="CO236" s="12">
        <f t="shared" ca="1" si="398"/>
        <v>0</v>
      </c>
      <c r="CP236" s="12">
        <f t="shared" ca="1" si="398"/>
        <v>0</v>
      </c>
      <c r="CQ236" s="12">
        <f t="shared" ca="1" si="398"/>
        <v>0</v>
      </c>
      <c r="CR236" s="12">
        <f t="shared" ca="1" si="398"/>
        <v>0</v>
      </c>
      <c r="CS236" s="12">
        <f t="shared" ca="1" si="398"/>
        <v>0</v>
      </c>
      <c r="CT236" s="12">
        <f t="shared" ca="1" si="398"/>
        <v>0</v>
      </c>
      <c r="CU236" s="12">
        <f t="shared" ca="1" si="398"/>
        <v>0</v>
      </c>
      <c r="CV236" s="12">
        <f t="shared" ca="1" si="398"/>
        <v>0</v>
      </c>
      <c r="CW236" s="12">
        <f t="shared" ca="1" si="398"/>
        <v>0</v>
      </c>
      <c r="CX236" s="12">
        <f t="shared" ca="1" si="398"/>
        <v>0</v>
      </c>
      <c r="CY236" s="12">
        <f t="shared" ca="1" si="398"/>
        <v>0</v>
      </c>
      <c r="CZ236" s="12">
        <f t="shared" ca="1" si="398"/>
        <v>0</v>
      </c>
      <c r="DA236" s="12">
        <f t="shared" ca="1" si="398"/>
        <v>0</v>
      </c>
      <c r="DB236" s="12">
        <f t="shared" ca="1" si="398"/>
        <v>0</v>
      </c>
      <c r="DC236" s="12">
        <f t="shared" ca="1" si="398"/>
        <v>0</v>
      </c>
      <c r="DD236" s="12">
        <f t="shared" ca="1" si="398"/>
        <v>0</v>
      </c>
      <c r="DE236" s="12">
        <f t="shared" ca="1" si="398"/>
        <v>0</v>
      </c>
      <c r="DF236" s="12">
        <f t="shared" ca="1" si="398"/>
        <v>0</v>
      </c>
      <c r="DG236" s="12">
        <f t="shared" ca="1" si="398"/>
        <v>0</v>
      </c>
      <c r="DH236" s="12">
        <f t="shared" ca="1" si="398"/>
        <v>0</v>
      </c>
      <c r="DI236" s="12">
        <f t="shared" ca="1" si="398"/>
        <v>0</v>
      </c>
      <c r="DJ236" s="12">
        <f t="shared" ca="1" si="398"/>
        <v>0</v>
      </c>
      <c r="DK236" s="12">
        <f t="shared" ca="1" si="398"/>
        <v>0</v>
      </c>
      <c r="DL236" s="12">
        <f t="shared" ca="1" si="398"/>
        <v>0</v>
      </c>
      <c r="DM236" s="12">
        <f t="shared" ca="1" si="398"/>
        <v>0</v>
      </c>
      <c r="DN236" s="12">
        <f t="shared" ca="1" si="398"/>
        <v>0</v>
      </c>
      <c r="DO236" s="12">
        <f t="shared" ca="1" si="398"/>
        <v>0</v>
      </c>
      <c r="DP236" s="12">
        <f t="shared" ca="1" si="398"/>
        <v>0</v>
      </c>
      <c r="DQ236" s="12">
        <f t="shared" ca="1" si="398"/>
        <v>0</v>
      </c>
      <c r="DR236" s="12">
        <f t="shared" ca="1" si="398"/>
        <v>0</v>
      </c>
      <c r="DS236" s="12">
        <f t="shared" ca="1" si="398"/>
        <v>0</v>
      </c>
      <c r="DT236" s="12">
        <f t="shared" ca="1" si="398"/>
        <v>0</v>
      </c>
      <c r="DU236" s="12">
        <f t="shared" ca="1" si="398"/>
        <v>0</v>
      </c>
      <c r="DV236" s="12">
        <f t="shared" ca="1" si="398"/>
        <v>0</v>
      </c>
      <c r="DW236" s="12">
        <f t="shared" ca="1" si="398"/>
        <v>0</v>
      </c>
      <c r="DX236" s="12">
        <f t="shared" ca="1" si="398"/>
        <v>0</v>
      </c>
      <c r="DY236" s="12">
        <f t="shared" ca="1" si="398"/>
        <v>0</v>
      </c>
      <c r="DZ236" s="12">
        <f t="shared" ca="1" si="398"/>
        <v>0</v>
      </c>
      <c r="EA236" s="12">
        <f t="shared" ca="1" si="398"/>
        <v>0</v>
      </c>
      <c r="EB236" s="12">
        <f t="shared" ca="1" si="398"/>
        <v>0</v>
      </c>
      <c r="EC236" s="12">
        <f t="shared" ca="1" si="398"/>
        <v>0</v>
      </c>
      <c r="ED236" s="12">
        <f t="shared" ca="1" si="398"/>
        <v>0</v>
      </c>
      <c r="EE236" s="12">
        <f t="shared" ca="1" si="398"/>
        <v>0</v>
      </c>
      <c r="EF236" s="12">
        <f t="shared" ca="1" si="398"/>
        <v>0</v>
      </c>
      <c r="EG236" s="12">
        <f t="shared" ca="1" si="399"/>
        <v>0</v>
      </c>
      <c r="EH236" s="12">
        <f t="shared" ca="1" si="399"/>
        <v>0</v>
      </c>
      <c r="EI236" s="12">
        <f t="shared" ca="1" si="399"/>
        <v>0</v>
      </c>
      <c r="EJ236" s="12">
        <f t="shared" ca="1" si="399"/>
        <v>0</v>
      </c>
    </row>
    <row r="237" spans="2:140" x14ac:dyDescent="0.4">
      <c r="B237" s="1" t="s">
        <v>113</v>
      </c>
      <c r="H237" s="318">
        <f ca="1">H233+H218</f>
        <v>0</v>
      </c>
      <c r="I237" s="12">
        <f t="shared" ca="1" si="397"/>
        <v>0</v>
      </c>
      <c r="J237" s="12">
        <f t="shared" ca="1" si="397"/>
        <v>0</v>
      </c>
      <c r="K237" s="12">
        <f t="shared" ca="1" si="397"/>
        <v>0</v>
      </c>
      <c r="L237" s="12">
        <f t="shared" ca="1" si="397"/>
        <v>0</v>
      </c>
      <c r="M237" s="12">
        <f t="shared" ca="1" si="397"/>
        <v>0</v>
      </c>
      <c r="N237" s="12">
        <f t="shared" ca="1" si="397"/>
        <v>0</v>
      </c>
      <c r="O237" s="12">
        <f t="shared" ca="1" si="397"/>
        <v>0</v>
      </c>
      <c r="P237" s="12">
        <f t="shared" ca="1" si="397"/>
        <v>0</v>
      </c>
      <c r="Q237" s="12">
        <f t="shared" ca="1" si="397"/>
        <v>0</v>
      </c>
      <c r="R237" s="12">
        <f t="shared" ca="1" si="397"/>
        <v>0</v>
      </c>
      <c r="S237" s="12">
        <f t="shared" ca="1" si="397"/>
        <v>0</v>
      </c>
      <c r="T237" s="12">
        <f t="shared" ca="1" si="397"/>
        <v>0</v>
      </c>
      <c r="U237" s="12">
        <f t="shared" ca="1" si="397"/>
        <v>0</v>
      </c>
      <c r="V237" s="12">
        <f t="shared" ca="1" si="397"/>
        <v>0</v>
      </c>
      <c r="W237" s="12">
        <f t="shared" ca="1" si="397"/>
        <v>0</v>
      </c>
      <c r="X237" s="12">
        <f t="shared" ca="1" si="397"/>
        <v>0</v>
      </c>
      <c r="Y237" s="12">
        <f t="shared" ca="1" si="397"/>
        <v>0</v>
      </c>
      <c r="Z237" s="12">
        <f t="shared" ca="1" si="397"/>
        <v>0</v>
      </c>
      <c r="AA237" s="12">
        <f t="shared" ca="1" si="397"/>
        <v>0</v>
      </c>
      <c r="AB237" s="12">
        <f t="shared" ca="1" si="397"/>
        <v>0</v>
      </c>
      <c r="AC237" s="12">
        <f t="shared" ca="1" si="397"/>
        <v>0</v>
      </c>
      <c r="AD237" s="12">
        <f t="shared" ca="1" si="397"/>
        <v>0</v>
      </c>
      <c r="AE237" s="12">
        <f t="shared" ca="1" si="397"/>
        <v>0</v>
      </c>
      <c r="AF237" s="12">
        <f t="shared" ca="1" si="397"/>
        <v>0</v>
      </c>
      <c r="AG237" s="12">
        <f t="shared" ca="1" si="397"/>
        <v>0</v>
      </c>
      <c r="AH237" s="12">
        <f t="shared" ca="1" si="397"/>
        <v>0</v>
      </c>
      <c r="AI237" s="12">
        <f t="shared" ca="1" si="397"/>
        <v>0</v>
      </c>
      <c r="AJ237" s="12">
        <f t="shared" ca="1" si="397"/>
        <v>0</v>
      </c>
      <c r="AK237" s="12">
        <f t="shared" ca="1" si="397"/>
        <v>0</v>
      </c>
      <c r="AL237" s="12">
        <f t="shared" ca="1" si="397"/>
        <v>0</v>
      </c>
      <c r="AM237" s="12">
        <f t="shared" ca="1" si="397"/>
        <v>0</v>
      </c>
      <c r="AN237" s="12">
        <f t="shared" ca="1" si="397"/>
        <v>0</v>
      </c>
      <c r="AO237" s="12">
        <f t="shared" ca="1" si="397"/>
        <v>0</v>
      </c>
      <c r="AP237" s="12">
        <f t="shared" ca="1" si="397"/>
        <v>0</v>
      </c>
      <c r="AQ237" s="12">
        <f t="shared" ca="1" si="397"/>
        <v>0</v>
      </c>
      <c r="AR237" s="12">
        <f t="shared" ca="1" si="397"/>
        <v>2016475.3587842491</v>
      </c>
      <c r="AS237" s="12">
        <f t="shared" ca="1" si="397"/>
        <v>0</v>
      </c>
      <c r="AT237" s="12">
        <f t="shared" ca="1" si="397"/>
        <v>0</v>
      </c>
      <c r="AU237" s="12">
        <f t="shared" ca="1" si="397"/>
        <v>0</v>
      </c>
      <c r="AV237" s="12">
        <f t="shared" ca="1" si="397"/>
        <v>0</v>
      </c>
      <c r="AW237" s="12">
        <f t="shared" ca="1" si="397"/>
        <v>0</v>
      </c>
      <c r="AX237" s="12">
        <f t="shared" ca="1" si="397"/>
        <v>0</v>
      </c>
      <c r="AY237" s="12">
        <f t="shared" ca="1" si="397"/>
        <v>0</v>
      </c>
      <c r="AZ237" s="12">
        <f t="shared" ca="1" si="397"/>
        <v>0</v>
      </c>
      <c r="BA237" s="12">
        <f t="shared" ca="1" si="397"/>
        <v>0</v>
      </c>
      <c r="BB237" s="12">
        <f t="shared" ca="1" si="397"/>
        <v>0</v>
      </c>
      <c r="BC237" s="12">
        <f t="shared" ca="1" si="397"/>
        <v>0</v>
      </c>
      <c r="BD237" s="12">
        <f t="shared" ca="1" si="397"/>
        <v>0</v>
      </c>
      <c r="BE237" s="12">
        <f t="shared" ca="1" si="397"/>
        <v>0</v>
      </c>
      <c r="BF237" s="12">
        <f t="shared" ca="1" si="397"/>
        <v>0</v>
      </c>
      <c r="BG237" s="12">
        <f t="shared" ca="1" si="397"/>
        <v>0</v>
      </c>
      <c r="BH237" s="12">
        <f t="shared" ca="1" si="397"/>
        <v>0</v>
      </c>
      <c r="BI237" s="12">
        <f t="shared" ca="1" si="397"/>
        <v>0</v>
      </c>
      <c r="BJ237" s="12">
        <f t="shared" ca="1" si="397"/>
        <v>0</v>
      </c>
      <c r="BK237" s="12">
        <f t="shared" ca="1" si="397"/>
        <v>0</v>
      </c>
      <c r="BL237" s="12">
        <f t="shared" ca="1" si="397"/>
        <v>0</v>
      </c>
      <c r="BM237" s="12">
        <f t="shared" ca="1" si="397"/>
        <v>0</v>
      </c>
      <c r="BN237" s="12">
        <f t="shared" ca="1" si="397"/>
        <v>0</v>
      </c>
      <c r="BO237" s="12">
        <f t="shared" ca="1" si="397"/>
        <v>0</v>
      </c>
      <c r="BP237" s="12">
        <f t="shared" ca="1" si="397"/>
        <v>0</v>
      </c>
      <c r="BQ237" s="12">
        <f t="shared" ca="1" si="397"/>
        <v>0</v>
      </c>
      <c r="BR237" s="12">
        <f t="shared" ca="1" si="397"/>
        <v>0</v>
      </c>
      <c r="BS237" s="12">
        <f t="shared" ca="1" si="397"/>
        <v>0</v>
      </c>
      <c r="BT237" s="12">
        <f t="shared" ca="1" si="397"/>
        <v>0</v>
      </c>
      <c r="BU237" s="12">
        <f t="shared" ca="1" si="398"/>
        <v>0</v>
      </c>
      <c r="BV237" s="12">
        <f t="shared" ca="1" si="398"/>
        <v>0</v>
      </c>
      <c r="BW237" s="12">
        <f t="shared" ca="1" si="398"/>
        <v>0</v>
      </c>
      <c r="BX237" s="12">
        <f t="shared" ca="1" si="398"/>
        <v>0</v>
      </c>
      <c r="BY237" s="12">
        <f t="shared" ca="1" si="398"/>
        <v>0</v>
      </c>
      <c r="BZ237" s="12">
        <f t="shared" ca="1" si="398"/>
        <v>0</v>
      </c>
      <c r="CA237" s="12">
        <f t="shared" ca="1" si="398"/>
        <v>0</v>
      </c>
      <c r="CB237" s="12">
        <f t="shared" ca="1" si="398"/>
        <v>0</v>
      </c>
      <c r="CC237" s="12">
        <f t="shared" ca="1" si="398"/>
        <v>0</v>
      </c>
      <c r="CD237" s="12">
        <f t="shared" ca="1" si="398"/>
        <v>0</v>
      </c>
      <c r="CE237" s="12">
        <f t="shared" ca="1" si="398"/>
        <v>0</v>
      </c>
      <c r="CF237" s="12">
        <f t="shared" ca="1" si="398"/>
        <v>0</v>
      </c>
      <c r="CG237" s="12">
        <f t="shared" ca="1" si="398"/>
        <v>0</v>
      </c>
      <c r="CH237" s="12">
        <f t="shared" ca="1" si="398"/>
        <v>0</v>
      </c>
      <c r="CI237" s="12">
        <f t="shared" ca="1" si="398"/>
        <v>0</v>
      </c>
      <c r="CJ237" s="12">
        <f t="shared" ca="1" si="398"/>
        <v>0</v>
      </c>
      <c r="CK237" s="12">
        <f t="shared" ca="1" si="398"/>
        <v>0</v>
      </c>
      <c r="CL237" s="12">
        <f t="shared" ca="1" si="398"/>
        <v>0</v>
      </c>
      <c r="CM237" s="12">
        <f t="shared" ca="1" si="398"/>
        <v>0</v>
      </c>
      <c r="CN237" s="12">
        <f t="shared" ca="1" si="398"/>
        <v>0</v>
      </c>
      <c r="CO237" s="12">
        <f t="shared" ca="1" si="398"/>
        <v>0</v>
      </c>
      <c r="CP237" s="12">
        <f t="shared" ca="1" si="398"/>
        <v>0</v>
      </c>
      <c r="CQ237" s="12">
        <f t="shared" ca="1" si="398"/>
        <v>0</v>
      </c>
      <c r="CR237" s="12">
        <f t="shared" ca="1" si="398"/>
        <v>0</v>
      </c>
      <c r="CS237" s="12">
        <f t="shared" ca="1" si="398"/>
        <v>0</v>
      </c>
      <c r="CT237" s="12">
        <f t="shared" ca="1" si="398"/>
        <v>0</v>
      </c>
      <c r="CU237" s="12">
        <f t="shared" ca="1" si="398"/>
        <v>0</v>
      </c>
      <c r="CV237" s="12">
        <f t="shared" ca="1" si="398"/>
        <v>0</v>
      </c>
      <c r="CW237" s="12">
        <f t="shared" ca="1" si="398"/>
        <v>0</v>
      </c>
      <c r="CX237" s="12">
        <f t="shared" ca="1" si="398"/>
        <v>0</v>
      </c>
      <c r="CY237" s="12">
        <f t="shared" ca="1" si="398"/>
        <v>0</v>
      </c>
      <c r="CZ237" s="12">
        <f t="shared" ca="1" si="398"/>
        <v>0</v>
      </c>
      <c r="DA237" s="12">
        <f t="shared" ca="1" si="398"/>
        <v>0</v>
      </c>
      <c r="DB237" s="12">
        <f t="shared" ca="1" si="398"/>
        <v>0</v>
      </c>
      <c r="DC237" s="12">
        <f t="shared" ca="1" si="398"/>
        <v>0</v>
      </c>
      <c r="DD237" s="12">
        <f t="shared" ca="1" si="398"/>
        <v>0</v>
      </c>
      <c r="DE237" s="12">
        <f t="shared" ca="1" si="398"/>
        <v>0</v>
      </c>
      <c r="DF237" s="12">
        <f t="shared" ca="1" si="398"/>
        <v>0</v>
      </c>
      <c r="DG237" s="12">
        <f t="shared" ca="1" si="398"/>
        <v>0</v>
      </c>
      <c r="DH237" s="12">
        <f t="shared" ca="1" si="398"/>
        <v>0</v>
      </c>
      <c r="DI237" s="12">
        <f t="shared" ca="1" si="398"/>
        <v>0</v>
      </c>
      <c r="DJ237" s="12">
        <f t="shared" ca="1" si="398"/>
        <v>0</v>
      </c>
      <c r="DK237" s="12">
        <f t="shared" ca="1" si="398"/>
        <v>0</v>
      </c>
      <c r="DL237" s="12">
        <f t="shared" ca="1" si="398"/>
        <v>0</v>
      </c>
      <c r="DM237" s="12">
        <f t="shared" ca="1" si="398"/>
        <v>0</v>
      </c>
      <c r="DN237" s="12">
        <f t="shared" ca="1" si="398"/>
        <v>0</v>
      </c>
      <c r="DO237" s="12">
        <f t="shared" ca="1" si="398"/>
        <v>0</v>
      </c>
      <c r="DP237" s="12">
        <f t="shared" ca="1" si="398"/>
        <v>0</v>
      </c>
      <c r="DQ237" s="12">
        <f t="shared" ca="1" si="398"/>
        <v>0</v>
      </c>
      <c r="DR237" s="12">
        <f t="shared" ca="1" si="398"/>
        <v>0</v>
      </c>
      <c r="DS237" s="12">
        <f t="shared" ca="1" si="398"/>
        <v>0</v>
      </c>
      <c r="DT237" s="12">
        <f t="shared" ca="1" si="398"/>
        <v>0</v>
      </c>
      <c r="DU237" s="12">
        <f t="shared" ca="1" si="398"/>
        <v>0</v>
      </c>
      <c r="DV237" s="12">
        <f t="shared" ca="1" si="398"/>
        <v>0</v>
      </c>
      <c r="DW237" s="12">
        <f t="shared" ca="1" si="398"/>
        <v>0</v>
      </c>
      <c r="DX237" s="12">
        <f t="shared" ca="1" si="398"/>
        <v>0</v>
      </c>
      <c r="DY237" s="12">
        <f t="shared" ca="1" si="398"/>
        <v>0</v>
      </c>
      <c r="DZ237" s="12">
        <f t="shared" ca="1" si="398"/>
        <v>0</v>
      </c>
      <c r="EA237" s="12">
        <f t="shared" ca="1" si="398"/>
        <v>0</v>
      </c>
      <c r="EB237" s="12">
        <f t="shared" ca="1" si="398"/>
        <v>0</v>
      </c>
      <c r="EC237" s="12">
        <f t="shared" ca="1" si="398"/>
        <v>0</v>
      </c>
      <c r="ED237" s="12">
        <f t="shared" ca="1" si="398"/>
        <v>0</v>
      </c>
      <c r="EE237" s="12">
        <f t="shared" ca="1" si="398"/>
        <v>0</v>
      </c>
      <c r="EF237" s="12">
        <f t="shared" ca="1" si="398"/>
        <v>0</v>
      </c>
      <c r="EG237" s="12">
        <f t="shared" ca="1" si="399"/>
        <v>0</v>
      </c>
      <c r="EH237" s="12">
        <f t="shared" ca="1" si="399"/>
        <v>0</v>
      </c>
      <c r="EI237" s="12">
        <f t="shared" ca="1" si="399"/>
        <v>0</v>
      </c>
      <c r="EJ237" s="12">
        <f t="shared" ca="1" si="399"/>
        <v>0</v>
      </c>
    </row>
    <row r="238" spans="2:140" x14ac:dyDescent="0.4">
      <c r="H238" s="316"/>
    </row>
    <row r="239" spans="2:140" x14ac:dyDescent="0.4">
      <c r="B239" s="1" t="s">
        <v>112</v>
      </c>
      <c r="H239" s="318">
        <f ca="1">H$159-SUM(H235:H237)</f>
        <v>0</v>
      </c>
      <c r="I239" s="12">
        <f t="shared" ref="I239:BT239" ca="1" si="400">I$159-SUM(I235:I237)</f>
        <v>0</v>
      </c>
      <c r="J239" s="12">
        <f t="shared" ca="1" si="400"/>
        <v>0</v>
      </c>
      <c r="K239" s="12">
        <f t="shared" ca="1" si="400"/>
        <v>0</v>
      </c>
      <c r="L239" s="12">
        <f t="shared" ca="1" si="400"/>
        <v>0</v>
      </c>
      <c r="M239" s="12">
        <f t="shared" ca="1" si="400"/>
        <v>0</v>
      </c>
      <c r="N239" s="12">
        <f t="shared" ca="1" si="400"/>
        <v>0</v>
      </c>
      <c r="O239" s="12">
        <f t="shared" ca="1" si="400"/>
        <v>0</v>
      </c>
      <c r="P239" s="12">
        <f t="shared" ca="1" si="400"/>
        <v>0</v>
      </c>
      <c r="Q239" s="12">
        <f t="shared" ca="1" si="400"/>
        <v>0</v>
      </c>
      <c r="R239" s="12">
        <f t="shared" ca="1" si="400"/>
        <v>0</v>
      </c>
      <c r="S239" s="12">
        <f t="shared" ca="1" si="400"/>
        <v>0</v>
      </c>
      <c r="T239" s="12">
        <f t="shared" ca="1" si="400"/>
        <v>0</v>
      </c>
      <c r="U239" s="12">
        <f t="shared" ca="1" si="400"/>
        <v>0</v>
      </c>
      <c r="V239" s="12">
        <f t="shared" ca="1" si="400"/>
        <v>0</v>
      </c>
      <c r="W239" s="12">
        <f t="shared" ca="1" si="400"/>
        <v>0</v>
      </c>
      <c r="X239" s="12">
        <f t="shared" ca="1" si="400"/>
        <v>0</v>
      </c>
      <c r="Y239" s="12">
        <f t="shared" ca="1" si="400"/>
        <v>0</v>
      </c>
      <c r="Z239" s="12">
        <f t="shared" ca="1" si="400"/>
        <v>0</v>
      </c>
      <c r="AA239" s="12">
        <f t="shared" ca="1" si="400"/>
        <v>0</v>
      </c>
      <c r="AB239" s="12">
        <f t="shared" ca="1" si="400"/>
        <v>0</v>
      </c>
      <c r="AC239" s="12">
        <f t="shared" ca="1" si="400"/>
        <v>0</v>
      </c>
      <c r="AD239" s="12">
        <f t="shared" ca="1" si="400"/>
        <v>0</v>
      </c>
      <c r="AE239" s="12">
        <f t="shared" ca="1" si="400"/>
        <v>0</v>
      </c>
      <c r="AF239" s="12">
        <f t="shared" ca="1" si="400"/>
        <v>0</v>
      </c>
      <c r="AG239" s="12">
        <f t="shared" ca="1" si="400"/>
        <v>0</v>
      </c>
      <c r="AH239" s="12">
        <f t="shared" ca="1" si="400"/>
        <v>0</v>
      </c>
      <c r="AI239" s="12">
        <f t="shared" ca="1" si="400"/>
        <v>0</v>
      </c>
      <c r="AJ239" s="12">
        <f t="shared" ca="1" si="400"/>
        <v>0</v>
      </c>
      <c r="AK239" s="12">
        <f t="shared" ca="1" si="400"/>
        <v>0</v>
      </c>
      <c r="AL239" s="12">
        <f t="shared" ca="1" si="400"/>
        <v>0</v>
      </c>
      <c r="AM239" s="12">
        <f t="shared" ca="1" si="400"/>
        <v>0</v>
      </c>
      <c r="AN239" s="12">
        <f t="shared" ca="1" si="400"/>
        <v>0</v>
      </c>
      <c r="AO239" s="12">
        <f t="shared" ca="1" si="400"/>
        <v>0</v>
      </c>
      <c r="AP239" s="12">
        <f t="shared" ca="1" si="400"/>
        <v>0</v>
      </c>
      <c r="AQ239" s="12">
        <f t="shared" ca="1" si="400"/>
        <v>0</v>
      </c>
      <c r="AR239" s="12">
        <f t="shared" ca="1" si="400"/>
        <v>2942633.902519159</v>
      </c>
      <c r="AS239" s="12">
        <f t="shared" ca="1" si="400"/>
        <v>0</v>
      </c>
      <c r="AT239" s="12">
        <f t="shared" ca="1" si="400"/>
        <v>0</v>
      </c>
      <c r="AU239" s="12">
        <f t="shared" ca="1" si="400"/>
        <v>0</v>
      </c>
      <c r="AV239" s="12">
        <f t="shared" ca="1" si="400"/>
        <v>0</v>
      </c>
      <c r="AW239" s="12">
        <f t="shared" ca="1" si="400"/>
        <v>0</v>
      </c>
      <c r="AX239" s="12">
        <f t="shared" ca="1" si="400"/>
        <v>0</v>
      </c>
      <c r="AY239" s="12">
        <f t="shared" ca="1" si="400"/>
        <v>0</v>
      </c>
      <c r="AZ239" s="12">
        <f t="shared" ca="1" si="400"/>
        <v>0</v>
      </c>
      <c r="BA239" s="12">
        <f t="shared" ca="1" si="400"/>
        <v>0</v>
      </c>
      <c r="BB239" s="12">
        <f t="shared" ca="1" si="400"/>
        <v>0</v>
      </c>
      <c r="BC239" s="12">
        <f t="shared" ca="1" si="400"/>
        <v>0</v>
      </c>
      <c r="BD239" s="12">
        <f t="shared" ca="1" si="400"/>
        <v>0</v>
      </c>
      <c r="BE239" s="12">
        <f t="shared" ca="1" si="400"/>
        <v>0</v>
      </c>
      <c r="BF239" s="12">
        <f t="shared" ca="1" si="400"/>
        <v>0</v>
      </c>
      <c r="BG239" s="12">
        <f t="shared" ca="1" si="400"/>
        <v>0</v>
      </c>
      <c r="BH239" s="12">
        <f t="shared" ca="1" si="400"/>
        <v>0</v>
      </c>
      <c r="BI239" s="12">
        <f t="shared" ca="1" si="400"/>
        <v>0</v>
      </c>
      <c r="BJ239" s="12">
        <f t="shared" ca="1" si="400"/>
        <v>0</v>
      </c>
      <c r="BK239" s="12">
        <f t="shared" ca="1" si="400"/>
        <v>0</v>
      </c>
      <c r="BL239" s="12">
        <f t="shared" ca="1" si="400"/>
        <v>0</v>
      </c>
      <c r="BM239" s="12">
        <f t="shared" ca="1" si="400"/>
        <v>0</v>
      </c>
      <c r="BN239" s="12">
        <f t="shared" ca="1" si="400"/>
        <v>0</v>
      </c>
      <c r="BO239" s="12">
        <f t="shared" ca="1" si="400"/>
        <v>0</v>
      </c>
      <c r="BP239" s="12">
        <f t="shared" ca="1" si="400"/>
        <v>0</v>
      </c>
      <c r="BQ239" s="12">
        <f t="shared" ca="1" si="400"/>
        <v>0</v>
      </c>
      <c r="BR239" s="12">
        <f t="shared" ca="1" si="400"/>
        <v>0</v>
      </c>
      <c r="BS239" s="12">
        <f t="shared" ca="1" si="400"/>
        <v>0</v>
      </c>
      <c r="BT239" s="12">
        <f t="shared" ca="1" si="400"/>
        <v>0</v>
      </c>
      <c r="BU239" s="12">
        <f t="shared" ref="BU239:EF239" ca="1" si="401">BU$159-SUM(BU235:BU237)</f>
        <v>0</v>
      </c>
      <c r="BV239" s="12">
        <f t="shared" ca="1" si="401"/>
        <v>0</v>
      </c>
      <c r="BW239" s="12">
        <f t="shared" ca="1" si="401"/>
        <v>0</v>
      </c>
      <c r="BX239" s="12">
        <f t="shared" ca="1" si="401"/>
        <v>0</v>
      </c>
      <c r="BY239" s="12">
        <f t="shared" ca="1" si="401"/>
        <v>0</v>
      </c>
      <c r="BZ239" s="12">
        <f t="shared" ca="1" si="401"/>
        <v>0</v>
      </c>
      <c r="CA239" s="12">
        <f t="shared" ca="1" si="401"/>
        <v>0</v>
      </c>
      <c r="CB239" s="12">
        <f t="shared" ca="1" si="401"/>
        <v>0</v>
      </c>
      <c r="CC239" s="12">
        <f t="shared" ca="1" si="401"/>
        <v>0</v>
      </c>
      <c r="CD239" s="12">
        <f t="shared" ca="1" si="401"/>
        <v>0</v>
      </c>
      <c r="CE239" s="12">
        <f t="shared" ca="1" si="401"/>
        <v>0</v>
      </c>
      <c r="CF239" s="12">
        <f t="shared" ca="1" si="401"/>
        <v>0</v>
      </c>
      <c r="CG239" s="12">
        <f t="shared" ca="1" si="401"/>
        <v>0</v>
      </c>
      <c r="CH239" s="12">
        <f t="shared" ca="1" si="401"/>
        <v>0</v>
      </c>
      <c r="CI239" s="12">
        <f t="shared" ca="1" si="401"/>
        <v>0</v>
      </c>
      <c r="CJ239" s="12">
        <f t="shared" ca="1" si="401"/>
        <v>0</v>
      </c>
      <c r="CK239" s="12">
        <f t="shared" ca="1" si="401"/>
        <v>0</v>
      </c>
      <c r="CL239" s="12">
        <f t="shared" ca="1" si="401"/>
        <v>0</v>
      </c>
      <c r="CM239" s="12">
        <f t="shared" ca="1" si="401"/>
        <v>0</v>
      </c>
      <c r="CN239" s="12">
        <f t="shared" ca="1" si="401"/>
        <v>0</v>
      </c>
      <c r="CO239" s="12">
        <f t="shared" ca="1" si="401"/>
        <v>0</v>
      </c>
      <c r="CP239" s="12">
        <f t="shared" ca="1" si="401"/>
        <v>0</v>
      </c>
      <c r="CQ239" s="12">
        <f t="shared" ca="1" si="401"/>
        <v>0</v>
      </c>
      <c r="CR239" s="12">
        <f t="shared" ca="1" si="401"/>
        <v>0</v>
      </c>
      <c r="CS239" s="12">
        <f t="shared" ca="1" si="401"/>
        <v>0</v>
      </c>
      <c r="CT239" s="12">
        <f t="shared" ca="1" si="401"/>
        <v>0</v>
      </c>
      <c r="CU239" s="12">
        <f t="shared" ca="1" si="401"/>
        <v>0</v>
      </c>
      <c r="CV239" s="12">
        <f t="shared" ca="1" si="401"/>
        <v>0</v>
      </c>
      <c r="CW239" s="12">
        <f t="shared" ca="1" si="401"/>
        <v>0</v>
      </c>
      <c r="CX239" s="12">
        <f t="shared" ca="1" si="401"/>
        <v>0</v>
      </c>
      <c r="CY239" s="12">
        <f t="shared" ca="1" si="401"/>
        <v>0</v>
      </c>
      <c r="CZ239" s="12">
        <f t="shared" ca="1" si="401"/>
        <v>0</v>
      </c>
      <c r="DA239" s="12">
        <f t="shared" ca="1" si="401"/>
        <v>0</v>
      </c>
      <c r="DB239" s="12">
        <f t="shared" ca="1" si="401"/>
        <v>0</v>
      </c>
      <c r="DC239" s="12">
        <f t="shared" ca="1" si="401"/>
        <v>0</v>
      </c>
      <c r="DD239" s="12">
        <f t="shared" ca="1" si="401"/>
        <v>0</v>
      </c>
      <c r="DE239" s="12">
        <f t="shared" ca="1" si="401"/>
        <v>0</v>
      </c>
      <c r="DF239" s="12">
        <f t="shared" ca="1" si="401"/>
        <v>0</v>
      </c>
      <c r="DG239" s="12">
        <f t="shared" ca="1" si="401"/>
        <v>0</v>
      </c>
      <c r="DH239" s="12">
        <f t="shared" ca="1" si="401"/>
        <v>0</v>
      </c>
      <c r="DI239" s="12">
        <f t="shared" ca="1" si="401"/>
        <v>0</v>
      </c>
      <c r="DJ239" s="12">
        <f t="shared" ca="1" si="401"/>
        <v>0</v>
      </c>
      <c r="DK239" s="12">
        <f t="shared" ca="1" si="401"/>
        <v>0</v>
      </c>
      <c r="DL239" s="12">
        <f t="shared" ca="1" si="401"/>
        <v>0</v>
      </c>
      <c r="DM239" s="12">
        <f t="shared" ca="1" si="401"/>
        <v>0</v>
      </c>
      <c r="DN239" s="12">
        <f t="shared" ca="1" si="401"/>
        <v>0</v>
      </c>
      <c r="DO239" s="12">
        <f t="shared" ca="1" si="401"/>
        <v>0</v>
      </c>
      <c r="DP239" s="12">
        <f t="shared" ca="1" si="401"/>
        <v>0</v>
      </c>
      <c r="DQ239" s="12">
        <f t="shared" ca="1" si="401"/>
        <v>0</v>
      </c>
      <c r="DR239" s="12">
        <f t="shared" ca="1" si="401"/>
        <v>0</v>
      </c>
      <c r="DS239" s="12">
        <f t="shared" ca="1" si="401"/>
        <v>0</v>
      </c>
      <c r="DT239" s="12">
        <f t="shared" ca="1" si="401"/>
        <v>0</v>
      </c>
      <c r="DU239" s="12">
        <f t="shared" ca="1" si="401"/>
        <v>0</v>
      </c>
      <c r="DV239" s="12">
        <f t="shared" ca="1" si="401"/>
        <v>0</v>
      </c>
      <c r="DW239" s="12">
        <f t="shared" ca="1" si="401"/>
        <v>0</v>
      </c>
      <c r="DX239" s="12">
        <f t="shared" ca="1" si="401"/>
        <v>0</v>
      </c>
      <c r="DY239" s="12">
        <f t="shared" ca="1" si="401"/>
        <v>0</v>
      </c>
      <c r="DZ239" s="12">
        <f t="shared" ca="1" si="401"/>
        <v>0</v>
      </c>
      <c r="EA239" s="12">
        <f t="shared" ca="1" si="401"/>
        <v>0</v>
      </c>
      <c r="EB239" s="12">
        <f t="shared" ca="1" si="401"/>
        <v>0</v>
      </c>
      <c r="EC239" s="12">
        <f t="shared" ca="1" si="401"/>
        <v>0</v>
      </c>
      <c r="ED239" s="12">
        <f t="shared" ca="1" si="401"/>
        <v>0</v>
      </c>
      <c r="EE239" s="12">
        <f t="shared" ca="1" si="401"/>
        <v>0</v>
      </c>
      <c r="EF239" s="12">
        <f t="shared" ca="1" si="401"/>
        <v>0</v>
      </c>
      <c r="EG239" s="12">
        <f ca="1">EG$159-SUM(EG235:EG237)</f>
        <v>0</v>
      </c>
      <c r="EH239" s="12">
        <f ca="1">EH$159-SUM(EH235:EH237)</f>
        <v>0</v>
      </c>
      <c r="EI239" s="12">
        <f ca="1">EI$159-SUM(EI235:EI237)</f>
        <v>0</v>
      </c>
      <c r="EJ239" s="12">
        <f ca="1">EJ$159-SUM(EJ235:EJ237)</f>
        <v>0</v>
      </c>
    </row>
    <row r="240" spans="2:140" x14ac:dyDescent="0.4">
      <c r="H240" s="316"/>
    </row>
    <row r="241" spans="2:140" x14ac:dyDescent="0.4">
      <c r="B241" s="95" t="str">
        <f>"Hurdle #4: "&amp;TEXT(C242,"0.0%")&amp;" Promote up to a "&amp;TEXT(C241,"0.0%")&amp;" IRR"</f>
        <v>Hurdle #4: 40.0% Promote up to a 500.0% IRR</v>
      </c>
      <c r="C241" s="317">
        <f>'Inputs &amp; Drivers'!I10</f>
        <v>5</v>
      </c>
      <c r="H241" s="316"/>
    </row>
    <row r="242" spans="2:140" x14ac:dyDescent="0.4">
      <c r="C242" s="317">
        <f>'Inputs &amp; Drivers'!H10</f>
        <v>0.4</v>
      </c>
      <c r="H242" s="316"/>
    </row>
    <row r="243" spans="2:140" x14ac:dyDescent="0.4">
      <c r="B243" s="1" t="s">
        <v>95</v>
      </c>
      <c r="H243" s="316"/>
      <c r="I243" s="12">
        <f ca="1">H248</f>
        <v>6100000</v>
      </c>
      <c r="J243" s="12">
        <f ca="1">I248</f>
        <v>7102633.3014405696</v>
      </c>
      <c r="K243" s="12">
        <f t="shared" ref="K243:BV243" ca="1" si="402">J248</f>
        <v>8149166.4364623157</v>
      </c>
      <c r="L243" s="12">
        <f t="shared" ca="1" si="402"/>
        <v>9849113.2640326265</v>
      </c>
      <c r="M243" s="12">
        <f t="shared" ca="1" si="402"/>
        <v>11772316.215837799</v>
      </c>
      <c r="N243" s="12">
        <f t="shared" ca="1" si="402"/>
        <v>14067786.096671866</v>
      </c>
      <c r="O243" s="12">
        <f t="shared" ca="1" si="402"/>
        <v>16660341.944675369</v>
      </c>
      <c r="P243" s="12">
        <f t="shared" ca="1" si="402"/>
        <v>22540487.624530889</v>
      </c>
      <c r="Q243" s="12">
        <f t="shared" ca="1" si="402"/>
        <v>29387130.005361006</v>
      </c>
      <c r="R243" s="12">
        <f t="shared" ca="1" si="402"/>
        <v>37191569.282391116</v>
      </c>
      <c r="S243" s="12">
        <f t="shared" ca="1" si="402"/>
        <v>45083053.035156526</v>
      </c>
      <c r="T243" s="12">
        <f t="shared" ca="1" si="402"/>
        <v>52236125.414951921</v>
      </c>
      <c r="U243" s="12">
        <f t="shared" ca="1" si="402"/>
        <v>60821974.411551408</v>
      </c>
      <c r="V243" s="12">
        <f t="shared" ca="1" si="402"/>
        <v>70819046.051614955</v>
      </c>
      <c r="W243" s="12">
        <f t="shared" ca="1" si="402"/>
        <v>81253834.831800744</v>
      </c>
      <c r="X243" s="12">
        <f t="shared" ca="1" si="402"/>
        <v>94609211.99116388</v>
      </c>
      <c r="Y243" s="12">
        <f t="shared" ca="1" si="402"/>
        <v>109620319.17240255</v>
      </c>
      <c r="Z243" s="12">
        <f t="shared" ca="1" si="402"/>
        <v>127641935.15876237</v>
      </c>
      <c r="AA243" s="12">
        <f t="shared" ca="1" si="402"/>
        <v>147891975.09662324</v>
      </c>
      <c r="AB243" s="12">
        <f t="shared" ca="1" si="402"/>
        <v>172164362.78368285</v>
      </c>
      <c r="AC243" s="12">
        <f t="shared" ca="1" si="402"/>
        <v>200392336.10477081</v>
      </c>
      <c r="AD243" s="12">
        <f t="shared" ca="1" si="402"/>
        <v>232083352.04961476</v>
      </c>
      <c r="AE243" s="12">
        <f t="shared" ca="1" si="402"/>
        <v>270091692.31177092</v>
      </c>
      <c r="AF243" s="12">
        <f t="shared" ca="1" si="402"/>
        <v>312929596.22357231</v>
      </c>
      <c r="AG243" s="12">
        <f t="shared" ca="1" si="402"/>
        <v>364319561.08034652</v>
      </c>
      <c r="AH243" s="12">
        <f t="shared" ca="1" si="402"/>
        <v>424114468.90671659</v>
      </c>
      <c r="AI243" s="12">
        <f t="shared" ca="1" si="402"/>
        <v>486467156.25331879</v>
      </c>
      <c r="AJ243" s="12">
        <f t="shared" ca="1" si="402"/>
        <v>566302824.07747972</v>
      </c>
      <c r="AK243" s="12">
        <f t="shared" ca="1" si="402"/>
        <v>656026023.22094822</v>
      </c>
      <c r="AL243" s="12">
        <f t="shared" ca="1" si="402"/>
        <v>763730240.55526185</v>
      </c>
      <c r="AM243" s="12">
        <f t="shared" ca="1" si="402"/>
        <v>884776891.63806486</v>
      </c>
      <c r="AN243" s="12">
        <f t="shared" ca="1" si="402"/>
        <v>1030078771.5172726</v>
      </c>
      <c r="AO243" s="12">
        <f t="shared" ca="1" si="402"/>
        <v>1199228419.201592</v>
      </c>
      <c r="AP243" s="12">
        <f t="shared" ca="1" si="402"/>
        <v>1389336797.8425326</v>
      </c>
      <c r="AQ243" s="12">
        <f t="shared" ca="1" si="402"/>
        <v>1617534833.0702405</v>
      </c>
      <c r="AR243" s="12">
        <f t="shared" ca="1" si="402"/>
        <v>1874012018.8139052</v>
      </c>
      <c r="AS243" s="12">
        <f t="shared" ca="1" si="402"/>
        <v>2152489928.7304306</v>
      </c>
      <c r="AT243" s="12">
        <f t="shared" ca="1" si="402"/>
        <v>2506286335.8715072</v>
      </c>
      <c r="AU243" s="12">
        <f t="shared" ca="1" si="402"/>
        <v>2889724247.8373122</v>
      </c>
      <c r="AV243" s="12">
        <f t="shared" ca="1" si="402"/>
        <v>3364696995.8474746</v>
      </c>
      <c r="AW243" s="12">
        <f t="shared" ca="1" si="402"/>
        <v>3898554388.5269041</v>
      </c>
      <c r="AX243" s="12">
        <f t="shared" ca="1" si="402"/>
        <v>4539344627.4472895</v>
      </c>
      <c r="AY243" s="12">
        <f t="shared" ca="1" si="402"/>
        <v>5259576698.9453077</v>
      </c>
      <c r="AZ243" s="12">
        <f t="shared" ca="1" si="402"/>
        <v>6124072887.4442301</v>
      </c>
      <c r="BA243" s="12">
        <f t="shared" ca="1" si="402"/>
        <v>7130662955.8706055</v>
      </c>
      <c r="BB243" s="12">
        <f t="shared" ca="1" si="402"/>
        <v>8262044812.3631716</v>
      </c>
      <c r="BC243" s="12">
        <f t="shared" ca="1" si="402"/>
        <v>9620045020.0467148</v>
      </c>
      <c r="BD243" s="12">
        <f t="shared" ca="1" si="402"/>
        <v>11146403012.519472</v>
      </c>
      <c r="BE243" s="12">
        <f t="shared" ca="1" si="402"/>
        <v>12978493971.802998</v>
      </c>
      <c r="BF243" s="12">
        <f t="shared" ca="1" si="402"/>
        <v>15111718604.37273</v>
      </c>
      <c r="BG243" s="12">
        <f t="shared" ca="1" si="402"/>
        <v>17338345487.023849</v>
      </c>
      <c r="BH243" s="12">
        <f t="shared" ca="1" si="402"/>
        <v>20188181975.08482</v>
      </c>
      <c r="BI243" s="12">
        <f t="shared" ca="1" si="402"/>
        <v>23391326331.161392</v>
      </c>
      <c r="BJ243" s="12">
        <f t="shared" ca="1" si="402"/>
        <v>27236067764.683701</v>
      </c>
      <c r="BK243" s="12">
        <f t="shared" ca="1" si="402"/>
        <v>31557460193.671806</v>
      </c>
      <c r="BL243" s="12">
        <f t="shared" ca="1" si="402"/>
        <v>36744437324.665337</v>
      </c>
      <c r="BM243" s="12">
        <f t="shared" ca="1" si="402"/>
        <v>42783977735.223579</v>
      </c>
      <c r="BN243" s="12">
        <f t="shared" ca="1" si="402"/>
        <v>49572268874.17897</v>
      </c>
      <c r="BO243" s="12">
        <f t="shared" ca="1" si="402"/>
        <v>57720270120.280228</v>
      </c>
      <c r="BP243" s="12">
        <f t="shared" ca="1" si="402"/>
        <v>66878418075.11676</v>
      </c>
      <c r="BQ243" s="12">
        <f t="shared" ca="1" si="402"/>
        <v>77870963830.817902</v>
      </c>
      <c r="BR243" s="12">
        <f t="shared" ca="1" si="402"/>
        <v>90670311626.236282</v>
      </c>
      <c r="BS243" s="12">
        <f t="shared" ca="1" si="402"/>
        <v>104030072922.14297</v>
      </c>
      <c r="BT243" s="12">
        <f t="shared" ca="1" si="402"/>
        <v>121129091850.50879</v>
      </c>
      <c r="BU243" s="12">
        <f t="shared" ca="1" si="402"/>
        <v>140347957986.9682</v>
      </c>
      <c r="BV243" s="12">
        <f t="shared" ca="1" si="402"/>
        <v>163416406588.10202</v>
      </c>
      <c r="BW243" s="12">
        <f t="shared" ref="BW243:EH243" ca="1" si="403">BV248</f>
        <v>189344761162.03061</v>
      </c>
      <c r="BX243" s="12">
        <f t="shared" ca="1" si="403"/>
        <v>220466623947.99173</v>
      </c>
      <c r="BY243" s="12">
        <f t="shared" ca="1" si="403"/>
        <v>256703866411.34116</v>
      </c>
      <c r="BZ243" s="12">
        <f t="shared" ca="1" si="403"/>
        <v>297433613245.07343</v>
      </c>
      <c r="CA243" s="12">
        <f t="shared" ca="1" si="403"/>
        <v>346321620721.68091</v>
      </c>
      <c r="CB243" s="12">
        <f t="shared" ca="1" si="403"/>
        <v>401270508450.70007</v>
      </c>
      <c r="CC243" s="12">
        <f t="shared" ca="1" si="403"/>
        <v>467225782984.90686</v>
      </c>
      <c r="CD243" s="12">
        <f t="shared" ca="1" si="403"/>
        <v>544021869757.41705</v>
      </c>
      <c r="CE243" s="12">
        <f t="shared" ca="1" si="403"/>
        <v>624180437532.85718</v>
      </c>
      <c r="CF243" s="12">
        <f t="shared" ca="1" si="403"/>
        <v>726774551103.05188</v>
      </c>
      <c r="CG243" s="12">
        <f t="shared" ca="1" si="403"/>
        <v>842087747921.80823</v>
      </c>
      <c r="CH243" s="12">
        <f t="shared" ca="1" si="403"/>
        <v>980498439528.61096</v>
      </c>
      <c r="CI243" s="12">
        <f t="shared" ca="1" si="403"/>
        <v>1136068566972.1824</v>
      </c>
      <c r="CJ243" s="12">
        <f t="shared" ca="1" si="403"/>
        <v>1322799743687.949</v>
      </c>
      <c r="CK243" s="12">
        <f t="shared" ca="1" si="403"/>
        <v>1540223198468.0454</v>
      </c>
      <c r="CL243" s="12">
        <f t="shared" ca="1" si="403"/>
        <v>1784601679470.4387</v>
      </c>
      <c r="CM243" s="12">
        <f t="shared" ca="1" si="403"/>
        <v>2077929724330.0833</v>
      </c>
      <c r="CN243" s="12">
        <f t="shared" ca="1" si="403"/>
        <v>2407623050704.1978</v>
      </c>
      <c r="CO243" s="12">
        <f t="shared" ca="1" si="403"/>
        <v>2803354697909.438</v>
      </c>
      <c r="CP243" s="12">
        <f t="shared" ca="1" si="403"/>
        <v>3264131218544.4985</v>
      </c>
      <c r="CQ243" s="12">
        <f t="shared" ca="1" si="403"/>
        <v>3763512171513.6602</v>
      </c>
      <c r="CR243" s="12">
        <f t="shared" ca="1" si="403"/>
        <v>4382106045863.9077</v>
      </c>
      <c r="CS243" s="12">
        <f t="shared" ca="1" si="403"/>
        <v>5077389963249.8877</v>
      </c>
      <c r="CT243" s="12">
        <f t="shared" ca="1" si="403"/>
        <v>5911940825799.7969</v>
      </c>
      <c r="CU243" s="12">
        <f t="shared" ca="1" si="403"/>
        <v>6849954952727.624</v>
      </c>
      <c r="CV243" s="12">
        <f t="shared" ca="1" si="403"/>
        <v>7975855436165.7354</v>
      </c>
      <c r="CW243" s="12">
        <f t="shared" ca="1" si="403"/>
        <v>9286815807932.2207</v>
      </c>
      <c r="CX243" s="12">
        <f t="shared" ca="1" si="403"/>
        <v>10760302210908.623</v>
      </c>
      <c r="CY243" s="12">
        <f t="shared" ca="1" si="403"/>
        <v>12528931281436.75</v>
      </c>
      <c r="CZ243" s="12">
        <f t="shared" ca="1" si="403"/>
        <v>14516825762045.955</v>
      </c>
      <c r="DA243" s="12">
        <f t="shared" ca="1" si="403"/>
        <v>16902900014543.93</v>
      </c>
      <c r="DB243" s="12">
        <f t="shared" ca="1" si="403"/>
        <v>19681164022003.281</v>
      </c>
      <c r="DC243" s="12">
        <f t="shared" ca="1" si="403"/>
        <v>22581073029081.934</v>
      </c>
      <c r="DD243" s="12">
        <f t="shared" ca="1" si="403"/>
        <v>26292636275183.414</v>
      </c>
      <c r="DE243" s="12">
        <f t="shared" ca="1" si="403"/>
        <v>30464339779499.289</v>
      </c>
      <c r="DF243" s="12">
        <f t="shared" ca="1" si="403"/>
        <v>35471644954798.742</v>
      </c>
      <c r="DG243" s="12">
        <f t="shared" ca="1" si="403"/>
        <v>41099729716365.703</v>
      </c>
      <c r="DH243" s="12">
        <f t="shared" ca="1" si="403"/>
        <v>47855132616994.367</v>
      </c>
      <c r="DI243" s="12">
        <f t="shared" ca="1" si="403"/>
        <v>55720894847593.281</v>
      </c>
      <c r="DJ243" s="12">
        <f t="shared" ca="1" si="403"/>
        <v>64561813265451.695</v>
      </c>
      <c r="DK243" s="12">
        <f t="shared" ca="1" si="403"/>
        <v>75173587688620.453</v>
      </c>
      <c r="DL243" s="12">
        <f t="shared" ca="1" si="403"/>
        <v>87100954572275.672</v>
      </c>
      <c r="DM243" s="12">
        <f t="shared" ca="1" si="403"/>
        <v>101417400087263.52</v>
      </c>
      <c r="DN243" s="12">
        <f t="shared" ca="1" si="403"/>
        <v>118086984132019.61</v>
      </c>
      <c r="DO243" s="12">
        <f t="shared" ca="1" si="403"/>
        <v>135486438174491.52</v>
      </c>
      <c r="DP243" s="12">
        <f t="shared" ca="1" si="403"/>
        <v>157755817651100.38</v>
      </c>
      <c r="DQ243" s="12">
        <f t="shared" ca="1" si="403"/>
        <v>182786038676995.59</v>
      </c>
      <c r="DR243" s="12">
        <f t="shared" ca="1" si="403"/>
        <v>212829869728792.28</v>
      </c>
      <c r="DS243" s="12">
        <f t="shared" ca="1" si="403"/>
        <v>246598378298194</v>
      </c>
      <c r="DT243" s="12">
        <f t="shared" ca="1" si="403"/>
        <v>287130795701965.94</v>
      </c>
      <c r="DU243" s="12">
        <f t="shared" ca="1" si="403"/>
        <v>334325369085559.38</v>
      </c>
      <c r="DV243" s="12">
        <f t="shared" ca="1" si="403"/>
        <v>387370879592709.81</v>
      </c>
      <c r="DW243" s="12">
        <f t="shared" ca="1" si="403"/>
        <v>451041526131722.25</v>
      </c>
      <c r="DX243" s="12">
        <f t="shared" ca="1" si="403"/>
        <v>522605727433653.5</v>
      </c>
      <c r="DY243" s="12">
        <f t="shared" ca="1" si="403"/>
        <v>608504400523580.5</v>
      </c>
      <c r="DZ243" s="12">
        <f t="shared" ca="1" si="403"/>
        <v>708521904792116.88</v>
      </c>
      <c r="EA243" s="12">
        <f t="shared" ca="1" si="403"/>
        <v>812918629046948.13</v>
      </c>
      <c r="EB243" s="12">
        <f t="shared" ca="1" si="403"/>
        <v>946534905906601.13</v>
      </c>
      <c r="EC243" s="12">
        <f t="shared" ca="1" si="403"/>
        <v>1096716232061972.4</v>
      </c>
      <c r="ED243" s="12">
        <f t="shared" ca="1" si="403"/>
        <v>1276979218372752.3</v>
      </c>
      <c r="EE243" s="12">
        <f t="shared" ca="1" si="403"/>
        <v>1479590269789162.5</v>
      </c>
      <c r="EF243" s="12">
        <f t="shared" ca="1" si="403"/>
        <v>1722784774211793.8</v>
      </c>
      <c r="EG243" s="12">
        <f t="shared" ca="1" si="403"/>
        <v>2005952214513354</v>
      </c>
      <c r="EH243" s="12">
        <f t="shared" ca="1" si="403"/>
        <v>2324225277556256</v>
      </c>
      <c r="EI243" s="12">
        <f ca="1">EH248</f>
        <v>2706249156790330.5</v>
      </c>
      <c r="EJ243" s="12">
        <f ca="1">EI248</f>
        <v>3135634364601917.5</v>
      </c>
    </row>
    <row r="244" spans="2:140" x14ac:dyDescent="0.4">
      <c r="B244" s="60" t="s">
        <v>120</v>
      </c>
      <c r="H244" s="316"/>
      <c r="I244" s="12">
        <f ca="1">I243*((1+$C241)^((I$6-H$6)/365))-I243</f>
        <v>1002633.3014405696</v>
      </c>
      <c r="J244" s="12">
        <f t="shared" ref="J244:BU244" ca="1" si="404">J243*((1+$C241)^((J$6-I$6)/365))-J243</f>
        <v>1046533.1350217462</v>
      </c>
      <c r="K244" s="12">
        <f t="shared" ca="1" si="404"/>
        <v>1339446.8275703108</v>
      </c>
      <c r="L244" s="12">
        <f t="shared" ca="1" si="404"/>
        <v>1562702.9518051725</v>
      </c>
      <c r="M244" s="12">
        <f t="shared" ca="1" si="404"/>
        <v>1934969.8808340672</v>
      </c>
      <c r="N244" s="12">
        <f t="shared" ca="1" si="404"/>
        <v>2232055.8480035029</v>
      </c>
      <c r="O244" s="12">
        <f t="shared" ca="1" si="404"/>
        <v>2738395.6798555199</v>
      </c>
      <c r="P244" s="12">
        <f t="shared" ca="1" si="404"/>
        <v>3704892.3808301166</v>
      </c>
      <c r="Q244" s="12">
        <f t="shared" ca="1" si="404"/>
        <v>4662689.2770301104</v>
      </c>
      <c r="R244" s="12">
        <f t="shared" ca="1" si="404"/>
        <v>6113033.7533376217</v>
      </c>
      <c r="S244" s="12">
        <f t="shared" ca="1" si="404"/>
        <v>7153072.3797953948</v>
      </c>
      <c r="T244" s="12">
        <f t="shared" ca="1" si="404"/>
        <v>8585848.996599488</v>
      </c>
      <c r="U244" s="12">
        <f t="shared" ca="1" si="404"/>
        <v>9997071.6400635466</v>
      </c>
      <c r="V244" s="12">
        <f t="shared" ca="1" si="404"/>
        <v>10434788.780185789</v>
      </c>
      <c r="W244" s="12">
        <f t="shared" ca="1" si="404"/>
        <v>13355377.159363136</v>
      </c>
      <c r="X244" s="12">
        <f t="shared" ca="1" si="404"/>
        <v>15011107.181238666</v>
      </c>
      <c r="Y244" s="12">
        <f t="shared" ca="1" si="404"/>
        <v>18017865.98635982</v>
      </c>
      <c r="Z244" s="12">
        <f t="shared" ca="1" si="404"/>
        <v>20252222.05283612</v>
      </c>
      <c r="AA244" s="12">
        <f t="shared" ca="1" si="404"/>
        <v>24308429.384867847</v>
      </c>
      <c r="AB244" s="12">
        <f t="shared" ca="1" si="404"/>
        <v>28297987.450527191</v>
      </c>
      <c r="AC244" s="12">
        <f t="shared" ca="1" si="404"/>
        <v>31795115.636820465</v>
      </c>
      <c r="AD244" s="12">
        <f t="shared" ca="1" si="404"/>
        <v>38146638.930311352</v>
      </c>
      <c r="AE244" s="12">
        <f t="shared" ca="1" si="404"/>
        <v>42853917.253140092</v>
      </c>
      <c r="AF244" s="12">
        <f t="shared" ca="1" si="404"/>
        <v>51435021.996738493</v>
      </c>
      <c r="AG244" s="12">
        <f t="shared" ca="1" si="404"/>
        <v>59881790.86973232</v>
      </c>
      <c r="AH244" s="12">
        <f t="shared" ca="1" si="404"/>
        <v>62490885.551279485</v>
      </c>
      <c r="AI244" s="12">
        <f t="shared" ca="1" si="404"/>
        <v>79958716.543716431</v>
      </c>
      <c r="AJ244" s="12">
        <f t="shared" ca="1" si="404"/>
        <v>89852057.853088737</v>
      </c>
      <c r="AK244" s="12">
        <f t="shared" ca="1" si="404"/>
        <v>107828448.76933563</v>
      </c>
      <c r="AL244" s="12">
        <f t="shared" ca="1" si="404"/>
        <v>121176746.50539267</v>
      </c>
      <c r="AM244" s="12">
        <f t="shared" ca="1" si="404"/>
        <v>145427340.31170464</v>
      </c>
      <c r="AN244" s="12">
        <f t="shared" ca="1" si="404"/>
        <v>169310045.808231</v>
      </c>
      <c r="AO244" s="12">
        <f t="shared" ca="1" si="404"/>
        <v>190274773.00100327</v>
      </c>
      <c r="AP244" s="12">
        <f t="shared" ca="1" si="404"/>
        <v>228359891.87438154</v>
      </c>
      <c r="AQ244" s="12">
        <f t="shared" ca="1" si="404"/>
        <v>256645079.66594315</v>
      </c>
      <c r="AR244" s="12">
        <f t="shared" ca="1" si="404"/>
        <v>308024074.97749043</v>
      </c>
      <c r="AS244" s="12">
        <f t="shared" ca="1" si="404"/>
        <v>353796407.14107656</v>
      </c>
      <c r="AT244" s="12">
        <f t="shared" ca="1" si="404"/>
        <v>383437911.96580505</v>
      </c>
      <c r="AU244" s="12">
        <f t="shared" ca="1" si="404"/>
        <v>474972748.01016235</v>
      </c>
      <c r="AV244" s="12">
        <f t="shared" ca="1" si="404"/>
        <v>533857392.67942953</v>
      </c>
      <c r="AW244" s="12">
        <f t="shared" ca="1" si="404"/>
        <v>640790238.92038536</v>
      </c>
      <c r="AX244" s="12">
        <f t="shared" ca="1" si="404"/>
        <v>720232071.49801826</v>
      </c>
      <c r="AY244" s="12">
        <f t="shared" ca="1" si="404"/>
        <v>864496188.49892235</v>
      </c>
      <c r="AZ244" s="12">
        <f t="shared" ca="1" si="404"/>
        <v>1006590068.4263754</v>
      </c>
      <c r="BA244" s="12">
        <f t="shared" ca="1" si="404"/>
        <v>1131381856.4925661</v>
      </c>
      <c r="BB244" s="12">
        <f t="shared" ca="1" si="404"/>
        <v>1358000207.6835432</v>
      </c>
      <c r="BC244" s="12">
        <f t="shared" ca="1" si="404"/>
        <v>1526357992.4727573</v>
      </c>
      <c r="BD244" s="12">
        <f t="shared" ca="1" si="404"/>
        <v>1832090959.2835255</v>
      </c>
      <c r="BE244" s="12">
        <f t="shared" ca="1" si="404"/>
        <v>2133224632.5697327</v>
      </c>
      <c r="BF244" s="12">
        <f t="shared" ca="1" si="404"/>
        <v>2226626882.6511192</v>
      </c>
      <c r="BG244" s="12">
        <f t="shared" ca="1" si="404"/>
        <v>2849836488.0609703</v>
      </c>
      <c r="BH244" s="12">
        <f t="shared" ca="1" si="404"/>
        <v>3203144356.0765724</v>
      </c>
      <c r="BI244" s="12">
        <f t="shared" ca="1" si="404"/>
        <v>3844741433.5223083</v>
      </c>
      <c r="BJ244" s="12">
        <f t="shared" ca="1" si="404"/>
        <v>4321392428.9881058</v>
      </c>
      <c r="BK244" s="12">
        <f t="shared" ca="1" si="404"/>
        <v>5186977130.9935303</v>
      </c>
      <c r="BL244" s="12">
        <f t="shared" ca="1" si="404"/>
        <v>6039540410.5582428</v>
      </c>
      <c r="BM244" s="12">
        <f t="shared" ca="1" si="404"/>
        <v>6788291138.9553909</v>
      </c>
      <c r="BN244" s="12">
        <f t="shared" ca="1" si="404"/>
        <v>8148001246.1012573</v>
      </c>
      <c r="BO244" s="12">
        <f t="shared" ca="1" si="404"/>
        <v>9158147954.8365326</v>
      </c>
      <c r="BP244" s="12">
        <f t="shared" ca="1" si="404"/>
        <v>10992545755.701141</v>
      </c>
      <c r="BQ244" s="12">
        <f t="shared" ca="1" si="404"/>
        <v>12799347795.418381</v>
      </c>
      <c r="BR244" s="12">
        <f t="shared" ca="1" si="404"/>
        <v>13359761295.906693</v>
      </c>
      <c r="BS244" s="12">
        <f t="shared" ca="1" si="404"/>
        <v>17099018928.365814</v>
      </c>
      <c r="BT244" s="12">
        <f t="shared" ca="1" si="404"/>
        <v>19218866136.459412</v>
      </c>
      <c r="BU244" s="12">
        <f t="shared" ca="1" si="404"/>
        <v>23068448601.13382</v>
      </c>
      <c r="BV244" s="12">
        <f t="shared" ref="BV244:EG244" ca="1" si="405">BV243*((1+$C241)^((BV$6-BU$6)/365))-BV243</f>
        <v>25928354573.928589</v>
      </c>
      <c r="BW244" s="12">
        <f t="shared" ca="1" si="405"/>
        <v>31121862785.961121</v>
      </c>
      <c r="BX244" s="12">
        <f t="shared" ca="1" si="405"/>
        <v>36237242463.349426</v>
      </c>
      <c r="BY244" s="12">
        <f t="shared" ca="1" si="405"/>
        <v>40729746833.732269</v>
      </c>
      <c r="BZ244" s="12">
        <f t="shared" ca="1" si="405"/>
        <v>48888007476.607483</v>
      </c>
      <c r="CA244" s="12">
        <f t="shared" ca="1" si="405"/>
        <v>54948887729.019165</v>
      </c>
      <c r="CB244" s="12">
        <f t="shared" ca="1" si="405"/>
        <v>65955274534.206787</v>
      </c>
      <c r="CC244" s="12">
        <f t="shared" ca="1" si="405"/>
        <v>76796086772.510193</v>
      </c>
      <c r="CD244" s="12">
        <f t="shared" ca="1" si="405"/>
        <v>80158567775.440125</v>
      </c>
      <c r="CE244" s="12">
        <f t="shared" ca="1" si="405"/>
        <v>102594113570.1947</v>
      </c>
      <c r="CF244" s="12">
        <f t="shared" ca="1" si="405"/>
        <v>115313196818.75635</v>
      </c>
      <c r="CG244" s="12">
        <f t="shared" ca="1" si="405"/>
        <v>138410691606.80273</v>
      </c>
      <c r="CH244" s="12">
        <f t="shared" ca="1" si="405"/>
        <v>155570127443.57141</v>
      </c>
      <c r="CI244" s="12">
        <f t="shared" ca="1" si="405"/>
        <v>186731176715.7666</v>
      </c>
      <c r="CJ244" s="12">
        <f t="shared" ca="1" si="405"/>
        <v>217423454780.09644</v>
      </c>
      <c r="CK244" s="12">
        <f t="shared" ca="1" si="405"/>
        <v>244378481002.39331</v>
      </c>
      <c r="CL244" s="12">
        <f t="shared" ca="1" si="405"/>
        <v>293328044859.64453</v>
      </c>
      <c r="CM244" s="12">
        <f t="shared" ca="1" si="405"/>
        <v>329693326374.1145</v>
      </c>
      <c r="CN244" s="12">
        <f t="shared" ca="1" si="405"/>
        <v>395731647205.24023</v>
      </c>
      <c r="CO244" s="12">
        <f t="shared" ca="1" si="405"/>
        <v>460776520635.06055</v>
      </c>
      <c r="CP244" s="12">
        <f t="shared" ca="1" si="405"/>
        <v>499380952969.16162</v>
      </c>
      <c r="CQ244" s="12">
        <f t="shared" ca="1" si="405"/>
        <v>618593874350.24756</v>
      </c>
      <c r="CR244" s="12">
        <f t="shared" ca="1" si="405"/>
        <v>695283917385.97998</v>
      </c>
      <c r="CS244" s="12">
        <f t="shared" ca="1" si="405"/>
        <v>834550862549.90918</v>
      </c>
      <c r="CT244" s="12">
        <f t="shared" ca="1" si="405"/>
        <v>938014126927.82715</v>
      </c>
      <c r="CU244" s="12">
        <f t="shared" ca="1" si="405"/>
        <v>1125900483438.1113</v>
      </c>
      <c r="CV244" s="12">
        <f t="shared" ca="1" si="405"/>
        <v>1310960371766.4854</v>
      </c>
      <c r="CW244" s="12">
        <f t="shared" ca="1" si="405"/>
        <v>1473486402976.4023</v>
      </c>
      <c r="CX244" s="12">
        <f t="shared" ca="1" si="405"/>
        <v>1768629070528.127</v>
      </c>
      <c r="CY244" s="12">
        <f t="shared" ca="1" si="405"/>
        <v>1987894480609.2051</v>
      </c>
      <c r="CZ244" s="12">
        <f t="shared" ca="1" si="405"/>
        <v>2386074252497.9746</v>
      </c>
      <c r="DA244" s="12">
        <f t="shared" ca="1" si="405"/>
        <v>2778264007459.3516</v>
      </c>
      <c r="DB244" s="12">
        <f t="shared" ca="1" si="405"/>
        <v>2899909007078.6523</v>
      </c>
      <c r="DC244" s="12">
        <f t="shared" ca="1" si="405"/>
        <v>3711563246101.4805</v>
      </c>
      <c r="DD244" s="12">
        <f t="shared" ca="1" si="405"/>
        <v>4171703504315.875</v>
      </c>
      <c r="DE244" s="12">
        <f t="shared" ca="1" si="405"/>
        <v>5007305175299.4531</v>
      </c>
      <c r="DF244" s="12">
        <f t="shared" ca="1" si="405"/>
        <v>5628084761566.9609</v>
      </c>
      <c r="DG244" s="12">
        <f t="shared" ca="1" si="405"/>
        <v>6755402900628.6641</v>
      </c>
      <c r="DH244" s="12">
        <f t="shared" ca="1" si="405"/>
        <v>7865762230598.9141</v>
      </c>
      <c r="DI244" s="12">
        <f t="shared" ca="1" si="405"/>
        <v>8840918417858.4141</v>
      </c>
      <c r="DJ244" s="12">
        <f t="shared" ca="1" si="405"/>
        <v>10611774423168.758</v>
      </c>
      <c r="DK244" s="12">
        <f t="shared" ca="1" si="405"/>
        <v>11927366883655.219</v>
      </c>
      <c r="DL244" s="12">
        <f t="shared" ca="1" si="405"/>
        <v>14316445514987.844</v>
      </c>
      <c r="DM244" s="12">
        <f t="shared" ca="1" si="405"/>
        <v>16669584044756.094</v>
      </c>
      <c r="DN244" s="12">
        <f t="shared" ca="1" si="405"/>
        <v>17399454042471.906</v>
      </c>
      <c r="DO244" s="12">
        <f t="shared" ca="1" si="405"/>
        <v>22269379476608.859</v>
      </c>
      <c r="DP244" s="12">
        <f t="shared" ca="1" si="405"/>
        <v>25030221025895.219</v>
      </c>
      <c r="DQ244" s="12">
        <f t="shared" ca="1" si="405"/>
        <v>30043831051796.688</v>
      </c>
      <c r="DR244" s="12">
        <f t="shared" ca="1" si="405"/>
        <v>33768508569401.719</v>
      </c>
      <c r="DS244" s="12">
        <f t="shared" ca="1" si="405"/>
        <v>40532417403771.938</v>
      </c>
      <c r="DT244" s="12">
        <f t="shared" ca="1" si="405"/>
        <v>47194573383593.438</v>
      </c>
      <c r="DU244" s="12">
        <f t="shared" ca="1" si="405"/>
        <v>53045510507150.438</v>
      </c>
      <c r="DV244" s="12">
        <f t="shared" ca="1" si="405"/>
        <v>63670646539012.438</v>
      </c>
      <c r="DW244" s="12">
        <f t="shared" ca="1" si="405"/>
        <v>71564201301931.25</v>
      </c>
      <c r="DX244" s="12">
        <f t="shared" ca="1" si="405"/>
        <v>85898673089927</v>
      </c>
      <c r="DY244" s="12">
        <f t="shared" ca="1" si="405"/>
        <v>100017504268536.38</v>
      </c>
      <c r="DZ244" s="12">
        <f t="shared" ca="1" si="405"/>
        <v>104396724254831.25</v>
      </c>
      <c r="EA244" s="12">
        <f t="shared" ca="1" si="405"/>
        <v>133616276859653</v>
      </c>
      <c r="EB244" s="12">
        <f t="shared" ca="1" si="405"/>
        <v>150181326155371.25</v>
      </c>
      <c r="EC244" s="12">
        <f t="shared" ca="1" si="405"/>
        <v>180262986310779.88</v>
      </c>
      <c r="ED244" s="12">
        <f t="shared" ca="1" si="405"/>
        <v>202611051416410.25</v>
      </c>
      <c r="EE244" s="12">
        <f t="shared" ca="1" si="405"/>
        <v>243194504422631.25</v>
      </c>
      <c r="EF244" s="12">
        <f t="shared" ca="1" si="405"/>
        <v>283167440301560.25</v>
      </c>
      <c r="EG244" s="12">
        <f t="shared" ca="1" si="405"/>
        <v>318273063042902</v>
      </c>
      <c r="EH244" s="12">
        <f ca="1">EH243*((1+$C241)^((EH$6-EG$6)/365))-EH243</f>
        <v>382023879234074.5</v>
      </c>
      <c r="EI244" s="12">
        <f ca="1">EI243*((1+$C241)^((EI$6-EH$6)/365))-EI243</f>
        <v>429385207811587</v>
      </c>
      <c r="EJ244" s="12">
        <f ca="1">EJ243*((1+$C241)^((EJ$6-EI$6)/365))-EJ243</f>
        <v>515392038539561</v>
      </c>
    </row>
    <row r="245" spans="2:140" x14ac:dyDescent="0.4">
      <c r="B245" s="60" t="s">
        <v>324</v>
      </c>
      <c r="H245" s="316"/>
      <c r="I245" s="12">
        <f ca="1">SUM(I226:I227)</f>
        <v>0</v>
      </c>
      <c r="J245" s="12">
        <f t="shared" ref="J245:BU245" ca="1" si="406">SUM(J226:J227)</f>
        <v>0</v>
      </c>
      <c r="K245" s="12">
        <f t="shared" ca="1" si="406"/>
        <v>0</v>
      </c>
      <c r="L245" s="12">
        <f t="shared" ca="1" si="406"/>
        <v>0</v>
      </c>
      <c r="M245" s="12">
        <f t="shared" ca="1" si="406"/>
        <v>0</v>
      </c>
      <c r="N245" s="12">
        <f t="shared" ca="1" si="406"/>
        <v>0</v>
      </c>
      <c r="O245" s="12">
        <f t="shared" ca="1" si="406"/>
        <v>0</v>
      </c>
      <c r="P245" s="12">
        <f t="shared" ca="1" si="406"/>
        <v>0</v>
      </c>
      <c r="Q245" s="12">
        <f t="shared" ca="1" si="406"/>
        <v>0</v>
      </c>
      <c r="R245" s="12">
        <f t="shared" ca="1" si="406"/>
        <v>0</v>
      </c>
      <c r="S245" s="12">
        <f t="shared" ca="1" si="406"/>
        <v>0</v>
      </c>
      <c r="T245" s="12">
        <f t="shared" ca="1" si="406"/>
        <v>0</v>
      </c>
      <c r="U245" s="12">
        <f t="shared" ca="1" si="406"/>
        <v>0</v>
      </c>
      <c r="V245" s="12">
        <f t="shared" ca="1" si="406"/>
        <v>0</v>
      </c>
      <c r="W245" s="12">
        <f t="shared" ca="1" si="406"/>
        <v>0</v>
      </c>
      <c r="X245" s="12">
        <f t="shared" ca="1" si="406"/>
        <v>0</v>
      </c>
      <c r="Y245" s="12">
        <f t="shared" ca="1" si="406"/>
        <v>0</v>
      </c>
      <c r="Z245" s="12">
        <f t="shared" ca="1" si="406"/>
        <v>-2182.1149752531201</v>
      </c>
      <c r="AA245" s="12">
        <f t="shared" ca="1" si="406"/>
        <v>-36041.69780824054</v>
      </c>
      <c r="AB245" s="12">
        <f t="shared" ca="1" si="406"/>
        <v>-70014.129439241253</v>
      </c>
      <c r="AC245" s="12">
        <f t="shared" ca="1" si="406"/>
        <v>-104099.69197651744</v>
      </c>
      <c r="AD245" s="12">
        <f t="shared" ca="1" si="406"/>
        <v>-138298.66815521801</v>
      </c>
      <c r="AE245" s="12">
        <f t="shared" ca="1" si="406"/>
        <v>-16013.341338717873</v>
      </c>
      <c r="AF245" s="12">
        <f t="shared" ca="1" si="406"/>
        <v>-45057.139964299422</v>
      </c>
      <c r="AG245" s="12">
        <f t="shared" ca="1" si="406"/>
        <v>-86883.043362286058</v>
      </c>
      <c r="AH245" s="12">
        <f t="shared" ca="1" si="406"/>
        <v>-138198.20467727483</v>
      </c>
      <c r="AI245" s="12">
        <f t="shared" ca="1" si="406"/>
        <v>-123048.71955549388</v>
      </c>
      <c r="AJ245" s="12">
        <f t="shared" ca="1" si="406"/>
        <v>-128858.70962022309</v>
      </c>
      <c r="AK245" s="12">
        <f t="shared" ca="1" si="406"/>
        <v>-124231.43502203858</v>
      </c>
      <c r="AL245" s="12">
        <f t="shared" ca="1" si="406"/>
        <v>-130095.42258970125</v>
      </c>
      <c r="AM245" s="12">
        <f t="shared" ca="1" si="406"/>
        <v>-125460.43249685163</v>
      </c>
      <c r="AN245" s="12">
        <f t="shared" ca="1" si="406"/>
        <v>-160398.1239117058</v>
      </c>
      <c r="AO245" s="12">
        <f t="shared" ca="1" si="406"/>
        <v>-166394.36006254304</v>
      </c>
      <c r="AP245" s="12">
        <f t="shared" ca="1" si="406"/>
        <v>-161856.64667363136</v>
      </c>
      <c r="AQ245" s="12">
        <f t="shared" ca="1" si="406"/>
        <v>-167893.92227835837</v>
      </c>
      <c r="AR245" s="12">
        <f t="shared" ca="1" si="406"/>
        <v>-27780584.719453428</v>
      </c>
      <c r="AS245" s="12">
        <f t="shared" ca="1" si="406"/>
        <v>0</v>
      </c>
      <c r="AT245" s="12">
        <f t="shared" ca="1" si="406"/>
        <v>0</v>
      </c>
      <c r="AU245" s="12">
        <f t="shared" ca="1" si="406"/>
        <v>0</v>
      </c>
      <c r="AV245" s="12">
        <f t="shared" ca="1" si="406"/>
        <v>0</v>
      </c>
      <c r="AW245" s="12">
        <f t="shared" ca="1" si="406"/>
        <v>0</v>
      </c>
      <c r="AX245" s="12">
        <f t="shared" ca="1" si="406"/>
        <v>0</v>
      </c>
      <c r="AY245" s="12">
        <f t="shared" ca="1" si="406"/>
        <v>0</v>
      </c>
      <c r="AZ245" s="12">
        <f t="shared" ca="1" si="406"/>
        <v>0</v>
      </c>
      <c r="BA245" s="12">
        <f t="shared" ca="1" si="406"/>
        <v>0</v>
      </c>
      <c r="BB245" s="12">
        <f t="shared" ca="1" si="406"/>
        <v>0</v>
      </c>
      <c r="BC245" s="12">
        <f t="shared" ca="1" si="406"/>
        <v>0</v>
      </c>
      <c r="BD245" s="12">
        <f t="shared" ca="1" si="406"/>
        <v>0</v>
      </c>
      <c r="BE245" s="12">
        <f t="shared" ca="1" si="406"/>
        <v>0</v>
      </c>
      <c r="BF245" s="12">
        <f t="shared" ca="1" si="406"/>
        <v>0</v>
      </c>
      <c r="BG245" s="12">
        <f t="shared" ca="1" si="406"/>
        <v>0</v>
      </c>
      <c r="BH245" s="12">
        <f t="shared" ca="1" si="406"/>
        <v>0</v>
      </c>
      <c r="BI245" s="12">
        <f t="shared" ca="1" si="406"/>
        <v>0</v>
      </c>
      <c r="BJ245" s="12">
        <f t="shared" ca="1" si="406"/>
        <v>0</v>
      </c>
      <c r="BK245" s="12">
        <f t="shared" ca="1" si="406"/>
        <v>0</v>
      </c>
      <c r="BL245" s="12">
        <f t="shared" ca="1" si="406"/>
        <v>0</v>
      </c>
      <c r="BM245" s="12">
        <f t="shared" ca="1" si="406"/>
        <v>0</v>
      </c>
      <c r="BN245" s="12">
        <f t="shared" ca="1" si="406"/>
        <v>0</v>
      </c>
      <c r="BO245" s="12">
        <f t="shared" ca="1" si="406"/>
        <v>0</v>
      </c>
      <c r="BP245" s="12">
        <f t="shared" ca="1" si="406"/>
        <v>0</v>
      </c>
      <c r="BQ245" s="12">
        <f t="shared" ca="1" si="406"/>
        <v>0</v>
      </c>
      <c r="BR245" s="12">
        <f t="shared" ca="1" si="406"/>
        <v>0</v>
      </c>
      <c r="BS245" s="12">
        <f t="shared" ca="1" si="406"/>
        <v>0</v>
      </c>
      <c r="BT245" s="12">
        <f t="shared" ca="1" si="406"/>
        <v>0</v>
      </c>
      <c r="BU245" s="12">
        <f t="shared" ca="1" si="406"/>
        <v>0</v>
      </c>
      <c r="BV245" s="12">
        <f t="shared" ref="BV245:EG245" ca="1" si="407">SUM(BV226:BV227)</f>
        <v>0</v>
      </c>
      <c r="BW245" s="12">
        <f t="shared" ca="1" si="407"/>
        <v>0</v>
      </c>
      <c r="BX245" s="12">
        <f t="shared" ca="1" si="407"/>
        <v>0</v>
      </c>
      <c r="BY245" s="12">
        <f t="shared" ca="1" si="407"/>
        <v>0</v>
      </c>
      <c r="BZ245" s="12">
        <f t="shared" ca="1" si="407"/>
        <v>0</v>
      </c>
      <c r="CA245" s="12">
        <f t="shared" ca="1" si="407"/>
        <v>0</v>
      </c>
      <c r="CB245" s="12">
        <f t="shared" ca="1" si="407"/>
        <v>0</v>
      </c>
      <c r="CC245" s="12">
        <f t="shared" ca="1" si="407"/>
        <v>0</v>
      </c>
      <c r="CD245" s="12">
        <f t="shared" ca="1" si="407"/>
        <v>0</v>
      </c>
      <c r="CE245" s="12">
        <f t="shared" ca="1" si="407"/>
        <v>0</v>
      </c>
      <c r="CF245" s="12">
        <f t="shared" ca="1" si="407"/>
        <v>0</v>
      </c>
      <c r="CG245" s="12">
        <f t="shared" ca="1" si="407"/>
        <v>0</v>
      </c>
      <c r="CH245" s="12">
        <f t="shared" ca="1" si="407"/>
        <v>0</v>
      </c>
      <c r="CI245" s="12">
        <f t="shared" ca="1" si="407"/>
        <v>0</v>
      </c>
      <c r="CJ245" s="12">
        <f t="shared" ca="1" si="407"/>
        <v>0</v>
      </c>
      <c r="CK245" s="12">
        <f t="shared" ca="1" si="407"/>
        <v>0</v>
      </c>
      <c r="CL245" s="12">
        <f t="shared" ca="1" si="407"/>
        <v>0</v>
      </c>
      <c r="CM245" s="12">
        <f t="shared" ca="1" si="407"/>
        <v>0</v>
      </c>
      <c r="CN245" s="12">
        <f t="shared" ca="1" si="407"/>
        <v>0</v>
      </c>
      <c r="CO245" s="12">
        <f t="shared" ca="1" si="407"/>
        <v>0</v>
      </c>
      <c r="CP245" s="12">
        <f t="shared" ca="1" si="407"/>
        <v>0</v>
      </c>
      <c r="CQ245" s="12">
        <f t="shared" ca="1" si="407"/>
        <v>0</v>
      </c>
      <c r="CR245" s="12">
        <f t="shared" ca="1" si="407"/>
        <v>0</v>
      </c>
      <c r="CS245" s="12">
        <f t="shared" ca="1" si="407"/>
        <v>0</v>
      </c>
      <c r="CT245" s="12">
        <f t="shared" ca="1" si="407"/>
        <v>0</v>
      </c>
      <c r="CU245" s="12">
        <f t="shared" ca="1" si="407"/>
        <v>0</v>
      </c>
      <c r="CV245" s="12">
        <f t="shared" ca="1" si="407"/>
        <v>0</v>
      </c>
      <c r="CW245" s="12">
        <f t="shared" ca="1" si="407"/>
        <v>0</v>
      </c>
      <c r="CX245" s="12">
        <f t="shared" ca="1" si="407"/>
        <v>0</v>
      </c>
      <c r="CY245" s="12">
        <f t="shared" ca="1" si="407"/>
        <v>0</v>
      </c>
      <c r="CZ245" s="12">
        <f t="shared" ca="1" si="407"/>
        <v>0</v>
      </c>
      <c r="DA245" s="12">
        <f t="shared" ca="1" si="407"/>
        <v>0</v>
      </c>
      <c r="DB245" s="12">
        <f t="shared" ca="1" si="407"/>
        <v>0</v>
      </c>
      <c r="DC245" s="12">
        <f t="shared" ca="1" si="407"/>
        <v>0</v>
      </c>
      <c r="DD245" s="12">
        <f t="shared" ca="1" si="407"/>
        <v>0</v>
      </c>
      <c r="DE245" s="12">
        <f t="shared" ca="1" si="407"/>
        <v>0</v>
      </c>
      <c r="DF245" s="12">
        <f t="shared" ca="1" si="407"/>
        <v>0</v>
      </c>
      <c r="DG245" s="12">
        <f t="shared" ca="1" si="407"/>
        <v>0</v>
      </c>
      <c r="DH245" s="12">
        <f t="shared" ca="1" si="407"/>
        <v>0</v>
      </c>
      <c r="DI245" s="12">
        <f t="shared" ca="1" si="407"/>
        <v>0</v>
      </c>
      <c r="DJ245" s="12">
        <f t="shared" ca="1" si="407"/>
        <v>0</v>
      </c>
      <c r="DK245" s="12">
        <f t="shared" ca="1" si="407"/>
        <v>0</v>
      </c>
      <c r="DL245" s="12">
        <f t="shared" ca="1" si="407"/>
        <v>0</v>
      </c>
      <c r="DM245" s="12">
        <f t="shared" ca="1" si="407"/>
        <v>0</v>
      </c>
      <c r="DN245" s="12">
        <f t="shared" ca="1" si="407"/>
        <v>0</v>
      </c>
      <c r="DO245" s="12">
        <f t="shared" ca="1" si="407"/>
        <v>0</v>
      </c>
      <c r="DP245" s="12">
        <f t="shared" ca="1" si="407"/>
        <v>0</v>
      </c>
      <c r="DQ245" s="12">
        <f t="shared" ca="1" si="407"/>
        <v>0</v>
      </c>
      <c r="DR245" s="12">
        <f t="shared" ca="1" si="407"/>
        <v>0</v>
      </c>
      <c r="DS245" s="12">
        <f t="shared" ca="1" si="407"/>
        <v>0</v>
      </c>
      <c r="DT245" s="12">
        <f t="shared" ca="1" si="407"/>
        <v>0</v>
      </c>
      <c r="DU245" s="12">
        <f t="shared" ca="1" si="407"/>
        <v>0</v>
      </c>
      <c r="DV245" s="12">
        <f t="shared" ca="1" si="407"/>
        <v>0</v>
      </c>
      <c r="DW245" s="12">
        <f t="shared" ca="1" si="407"/>
        <v>0</v>
      </c>
      <c r="DX245" s="12">
        <f t="shared" ca="1" si="407"/>
        <v>0</v>
      </c>
      <c r="DY245" s="12">
        <f t="shared" ca="1" si="407"/>
        <v>0</v>
      </c>
      <c r="DZ245" s="12">
        <f t="shared" ca="1" si="407"/>
        <v>0</v>
      </c>
      <c r="EA245" s="12">
        <f t="shared" ca="1" si="407"/>
        <v>0</v>
      </c>
      <c r="EB245" s="12">
        <f t="shared" ca="1" si="407"/>
        <v>0</v>
      </c>
      <c r="EC245" s="12">
        <f t="shared" ca="1" si="407"/>
        <v>0</v>
      </c>
      <c r="ED245" s="12">
        <f t="shared" ca="1" si="407"/>
        <v>0</v>
      </c>
      <c r="EE245" s="12">
        <f t="shared" ca="1" si="407"/>
        <v>0</v>
      </c>
      <c r="EF245" s="12">
        <f t="shared" ca="1" si="407"/>
        <v>0</v>
      </c>
      <c r="EG245" s="12">
        <f t="shared" ca="1" si="407"/>
        <v>0</v>
      </c>
      <c r="EH245" s="12">
        <f ca="1">SUM(EH226:EH227)</f>
        <v>0</v>
      </c>
      <c r="EI245" s="12">
        <f ca="1">SUM(EI226:EI227)</f>
        <v>0</v>
      </c>
      <c r="EJ245" s="12">
        <f ca="1">SUM(EJ226:EJ227)</f>
        <v>0</v>
      </c>
    </row>
    <row r="246" spans="2:140" x14ac:dyDescent="0.4">
      <c r="B246" s="60" t="s">
        <v>325</v>
      </c>
      <c r="H246" s="316"/>
      <c r="I246" s="12">
        <f ca="1">-MAX(MIN(SUM(I243:I245),(1-$C242)*I239),0)</f>
        <v>0</v>
      </c>
      <c r="J246" s="12">
        <f t="shared" ref="J246:BU246" ca="1" si="408">-MAX(MIN(SUM(J243:J245),(1-$C242)*J239),0)</f>
        <v>0</v>
      </c>
      <c r="K246" s="12">
        <f t="shared" ca="1" si="408"/>
        <v>0</v>
      </c>
      <c r="L246" s="12">
        <f t="shared" ca="1" si="408"/>
        <v>0</v>
      </c>
      <c r="M246" s="12">
        <f t="shared" ca="1" si="408"/>
        <v>0</v>
      </c>
      <c r="N246" s="12">
        <f t="shared" ca="1" si="408"/>
        <v>0</v>
      </c>
      <c r="O246" s="12">
        <f t="shared" ca="1" si="408"/>
        <v>0</v>
      </c>
      <c r="P246" s="12">
        <f t="shared" ca="1" si="408"/>
        <v>0</v>
      </c>
      <c r="Q246" s="12">
        <f t="shared" ca="1" si="408"/>
        <v>0</v>
      </c>
      <c r="R246" s="12">
        <f t="shared" ca="1" si="408"/>
        <v>0</v>
      </c>
      <c r="S246" s="12">
        <f t="shared" ca="1" si="408"/>
        <v>0</v>
      </c>
      <c r="T246" s="12">
        <f t="shared" ca="1" si="408"/>
        <v>0</v>
      </c>
      <c r="U246" s="12">
        <f t="shared" ca="1" si="408"/>
        <v>0</v>
      </c>
      <c r="V246" s="12">
        <f t="shared" ca="1" si="408"/>
        <v>0</v>
      </c>
      <c r="W246" s="12">
        <f t="shared" ca="1" si="408"/>
        <v>0</v>
      </c>
      <c r="X246" s="12">
        <f t="shared" ca="1" si="408"/>
        <v>0</v>
      </c>
      <c r="Y246" s="12">
        <f t="shared" ca="1" si="408"/>
        <v>0</v>
      </c>
      <c r="Z246" s="12">
        <f t="shared" ca="1" si="408"/>
        <v>0</v>
      </c>
      <c r="AA246" s="12">
        <f t="shared" ca="1" si="408"/>
        <v>0</v>
      </c>
      <c r="AB246" s="12">
        <f t="shared" ca="1" si="408"/>
        <v>0</v>
      </c>
      <c r="AC246" s="12">
        <f t="shared" ca="1" si="408"/>
        <v>0</v>
      </c>
      <c r="AD246" s="12">
        <f t="shared" ca="1" si="408"/>
        <v>0</v>
      </c>
      <c r="AE246" s="12">
        <f t="shared" ca="1" si="408"/>
        <v>0</v>
      </c>
      <c r="AF246" s="12">
        <f t="shared" ca="1" si="408"/>
        <v>0</v>
      </c>
      <c r="AG246" s="12">
        <f t="shared" ca="1" si="408"/>
        <v>0</v>
      </c>
      <c r="AH246" s="12">
        <f t="shared" ca="1" si="408"/>
        <v>0</v>
      </c>
      <c r="AI246" s="12">
        <f t="shared" ca="1" si="408"/>
        <v>0</v>
      </c>
      <c r="AJ246" s="12">
        <f t="shared" ca="1" si="408"/>
        <v>0</v>
      </c>
      <c r="AK246" s="12">
        <f t="shared" ca="1" si="408"/>
        <v>0</v>
      </c>
      <c r="AL246" s="12">
        <f t="shared" ca="1" si="408"/>
        <v>0</v>
      </c>
      <c r="AM246" s="12">
        <f t="shared" ca="1" si="408"/>
        <v>0</v>
      </c>
      <c r="AN246" s="12">
        <f t="shared" ca="1" si="408"/>
        <v>0</v>
      </c>
      <c r="AO246" s="12">
        <f t="shared" ca="1" si="408"/>
        <v>0</v>
      </c>
      <c r="AP246" s="12">
        <f t="shared" ca="1" si="408"/>
        <v>0</v>
      </c>
      <c r="AQ246" s="12">
        <f t="shared" ca="1" si="408"/>
        <v>0</v>
      </c>
      <c r="AR246" s="12">
        <f t="shared" ca="1" si="408"/>
        <v>-1765580.3415114954</v>
      </c>
      <c r="AS246" s="12">
        <f t="shared" ca="1" si="408"/>
        <v>0</v>
      </c>
      <c r="AT246" s="12">
        <f t="shared" ca="1" si="408"/>
        <v>0</v>
      </c>
      <c r="AU246" s="12">
        <f t="shared" ca="1" si="408"/>
        <v>0</v>
      </c>
      <c r="AV246" s="12">
        <f t="shared" ca="1" si="408"/>
        <v>0</v>
      </c>
      <c r="AW246" s="12">
        <f t="shared" ca="1" si="408"/>
        <v>0</v>
      </c>
      <c r="AX246" s="12">
        <f t="shared" ca="1" si="408"/>
        <v>0</v>
      </c>
      <c r="AY246" s="12">
        <f t="shared" ca="1" si="408"/>
        <v>0</v>
      </c>
      <c r="AZ246" s="12">
        <f t="shared" ca="1" si="408"/>
        <v>0</v>
      </c>
      <c r="BA246" s="12">
        <f t="shared" ca="1" si="408"/>
        <v>0</v>
      </c>
      <c r="BB246" s="12">
        <f t="shared" ca="1" si="408"/>
        <v>0</v>
      </c>
      <c r="BC246" s="12">
        <f t="shared" ca="1" si="408"/>
        <v>0</v>
      </c>
      <c r="BD246" s="12">
        <f t="shared" ca="1" si="408"/>
        <v>0</v>
      </c>
      <c r="BE246" s="12">
        <f t="shared" ca="1" si="408"/>
        <v>0</v>
      </c>
      <c r="BF246" s="12">
        <f t="shared" ca="1" si="408"/>
        <v>0</v>
      </c>
      <c r="BG246" s="12">
        <f t="shared" ca="1" si="408"/>
        <v>0</v>
      </c>
      <c r="BH246" s="12">
        <f t="shared" ca="1" si="408"/>
        <v>0</v>
      </c>
      <c r="BI246" s="12">
        <f t="shared" ca="1" si="408"/>
        <v>0</v>
      </c>
      <c r="BJ246" s="12">
        <f t="shared" ca="1" si="408"/>
        <v>0</v>
      </c>
      <c r="BK246" s="12">
        <f t="shared" ca="1" si="408"/>
        <v>0</v>
      </c>
      <c r="BL246" s="12">
        <f t="shared" ca="1" si="408"/>
        <v>0</v>
      </c>
      <c r="BM246" s="12">
        <f t="shared" ca="1" si="408"/>
        <v>0</v>
      </c>
      <c r="BN246" s="12">
        <f t="shared" ca="1" si="408"/>
        <v>0</v>
      </c>
      <c r="BO246" s="12">
        <f t="shared" ca="1" si="408"/>
        <v>0</v>
      </c>
      <c r="BP246" s="12">
        <f t="shared" ca="1" si="408"/>
        <v>0</v>
      </c>
      <c r="BQ246" s="12">
        <f t="shared" ca="1" si="408"/>
        <v>0</v>
      </c>
      <c r="BR246" s="12">
        <f t="shared" ca="1" si="408"/>
        <v>0</v>
      </c>
      <c r="BS246" s="12">
        <f t="shared" ca="1" si="408"/>
        <v>0</v>
      </c>
      <c r="BT246" s="12">
        <f t="shared" ca="1" si="408"/>
        <v>0</v>
      </c>
      <c r="BU246" s="12">
        <f t="shared" ca="1" si="408"/>
        <v>0</v>
      </c>
      <c r="BV246" s="12">
        <f t="shared" ref="BV246:EG246" ca="1" si="409">-MAX(MIN(SUM(BV243:BV245),(1-$C242)*BV239),0)</f>
        <v>0</v>
      </c>
      <c r="BW246" s="12">
        <f t="shared" ca="1" si="409"/>
        <v>0</v>
      </c>
      <c r="BX246" s="12">
        <f t="shared" ca="1" si="409"/>
        <v>0</v>
      </c>
      <c r="BY246" s="12">
        <f t="shared" ca="1" si="409"/>
        <v>0</v>
      </c>
      <c r="BZ246" s="12">
        <f t="shared" ca="1" si="409"/>
        <v>0</v>
      </c>
      <c r="CA246" s="12">
        <f t="shared" ca="1" si="409"/>
        <v>0</v>
      </c>
      <c r="CB246" s="12">
        <f t="shared" ca="1" si="409"/>
        <v>0</v>
      </c>
      <c r="CC246" s="12">
        <f t="shared" ca="1" si="409"/>
        <v>0</v>
      </c>
      <c r="CD246" s="12">
        <f t="shared" ca="1" si="409"/>
        <v>0</v>
      </c>
      <c r="CE246" s="12">
        <f t="shared" ca="1" si="409"/>
        <v>0</v>
      </c>
      <c r="CF246" s="12">
        <f t="shared" ca="1" si="409"/>
        <v>0</v>
      </c>
      <c r="CG246" s="12">
        <f t="shared" ca="1" si="409"/>
        <v>0</v>
      </c>
      <c r="CH246" s="12">
        <f t="shared" ca="1" si="409"/>
        <v>0</v>
      </c>
      <c r="CI246" s="12">
        <f t="shared" ca="1" si="409"/>
        <v>0</v>
      </c>
      <c r="CJ246" s="12">
        <f t="shared" ca="1" si="409"/>
        <v>0</v>
      </c>
      <c r="CK246" s="12">
        <f t="shared" ca="1" si="409"/>
        <v>0</v>
      </c>
      <c r="CL246" s="12">
        <f t="shared" ca="1" si="409"/>
        <v>0</v>
      </c>
      <c r="CM246" s="12">
        <f t="shared" ca="1" si="409"/>
        <v>0</v>
      </c>
      <c r="CN246" s="12">
        <f t="shared" ca="1" si="409"/>
        <v>0</v>
      </c>
      <c r="CO246" s="12">
        <f t="shared" ca="1" si="409"/>
        <v>0</v>
      </c>
      <c r="CP246" s="12">
        <f t="shared" ca="1" si="409"/>
        <v>0</v>
      </c>
      <c r="CQ246" s="12">
        <f t="shared" ca="1" si="409"/>
        <v>0</v>
      </c>
      <c r="CR246" s="12">
        <f t="shared" ca="1" si="409"/>
        <v>0</v>
      </c>
      <c r="CS246" s="12">
        <f t="shared" ca="1" si="409"/>
        <v>0</v>
      </c>
      <c r="CT246" s="12">
        <f t="shared" ca="1" si="409"/>
        <v>0</v>
      </c>
      <c r="CU246" s="12">
        <f t="shared" ca="1" si="409"/>
        <v>0</v>
      </c>
      <c r="CV246" s="12">
        <f t="shared" ca="1" si="409"/>
        <v>0</v>
      </c>
      <c r="CW246" s="12">
        <f t="shared" ca="1" si="409"/>
        <v>0</v>
      </c>
      <c r="CX246" s="12">
        <f t="shared" ca="1" si="409"/>
        <v>0</v>
      </c>
      <c r="CY246" s="12">
        <f t="shared" ca="1" si="409"/>
        <v>0</v>
      </c>
      <c r="CZ246" s="12">
        <f t="shared" ca="1" si="409"/>
        <v>0</v>
      </c>
      <c r="DA246" s="12">
        <f t="shared" ca="1" si="409"/>
        <v>0</v>
      </c>
      <c r="DB246" s="12">
        <f t="shared" ca="1" si="409"/>
        <v>0</v>
      </c>
      <c r="DC246" s="12">
        <f t="shared" ca="1" si="409"/>
        <v>0</v>
      </c>
      <c r="DD246" s="12">
        <f t="shared" ca="1" si="409"/>
        <v>0</v>
      </c>
      <c r="DE246" s="12">
        <f t="shared" ca="1" si="409"/>
        <v>0</v>
      </c>
      <c r="DF246" s="12">
        <f t="shared" ca="1" si="409"/>
        <v>0</v>
      </c>
      <c r="DG246" s="12">
        <f t="shared" ca="1" si="409"/>
        <v>0</v>
      </c>
      <c r="DH246" s="12">
        <f t="shared" ca="1" si="409"/>
        <v>0</v>
      </c>
      <c r="DI246" s="12">
        <f t="shared" ca="1" si="409"/>
        <v>0</v>
      </c>
      <c r="DJ246" s="12">
        <f t="shared" ca="1" si="409"/>
        <v>0</v>
      </c>
      <c r="DK246" s="12">
        <f t="shared" ca="1" si="409"/>
        <v>0</v>
      </c>
      <c r="DL246" s="12">
        <f t="shared" ca="1" si="409"/>
        <v>0</v>
      </c>
      <c r="DM246" s="12">
        <f t="shared" ca="1" si="409"/>
        <v>0</v>
      </c>
      <c r="DN246" s="12">
        <f t="shared" ca="1" si="409"/>
        <v>0</v>
      </c>
      <c r="DO246" s="12">
        <f t="shared" ca="1" si="409"/>
        <v>0</v>
      </c>
      <c r="DP246" s="12">
        <f t="shared" ca="1" si="409"/>
        <v>0</v>
      </c>
      <c r="DQ246" s="12">
        <f t="shared" ca="1" si="409"/>
        <v>0</v>
      </c>
      <c r="DR246" s="12">
        <f t="shared" ca="1" si="409"/>
        <v>0</v>
      </c>
      <c r="DS246" s="12">
        <f t="shared" ca="1" si="409"/>
        <v>0</v>
      </c>
      <c r="DT246" s="12">
        <f t="shared" ca="1" si="409"/>
        <v>0</v>
      </c>
      <c r="DU246" s="12">
        <f t="shared" ca="1" si="409"/>
        <v>0</v>
      </c>
      <c r="DV246" s="12">
        <f t="shared" ca="1" si="409"/>
        <v>0</v>
      </c>
      <c r="DW246" s="12">
        <f t="shared" ca="1" si="409"/>
        <v>0</v>
      </c>
      <c r="DX246" s="12">
        <f t="shared" ca="1" si="409"/>
        <v>0</v>
      </c>
      <c r="DY246" s="12">
        <f t="shared" ca="1" si="409"/>
        <v>0</v>
      </c>
      <c r="DZ246" s="12">
        <f t="shared" ca="1" si="409"/>
        <v>0</v>
      </c>
      <c r="EA246" s="12">
        <f t="shared" ca="1" si="409"/>
        <v>0</v>
      </c>
      <c r="EB246" s="12">
        <f t="shared" ca="1" si="409"/>
        <v>0</v>
      </c>
      <c r="EC246" s="12">
        <f t="shared" ca="1" si="409"/>
        <v>0</v>
      </c>
      <c r="ED246" s="12">
        <f t="shared" ca="1" si="409"/>
        <v>0</v>
      </c>
      <c r="EE246" s="12">
        <f t="shared" ca="1" si="409"/>
        <v>0</v>
      </c>
      <c r="EF246" s="12">
        <f t="shared" ca="1" si="409"/>
        <v>0</v>
      </c>
      <c r="EG246" s="12">
        <f t="shared" ca="1" si="409"/>
        <v>0</v>
      </c>
      <c r="EH246" s="12">
        <f ca="1">-MAX(MIN(SUM(EH243:EH245),(1-$C242)*EH239),0)</f>
        <v>0</v>
      </c>
      <c r="EI246" s="12">
        <f ca="1">-MAX(MIN(SUM(EI243:EI245),(1-$C242)*EI239),0)</f>
        <v>0</v>
      </c>
      <c r="EJ246" s="12">
        <f ca="1">-MAX(MIN(SUM(EJ243:EJ245),(1-$C242)*EJ239),0)</f>
        <v>0</v>
      </c>
    </row>
    <row r="247" spans="2:140" x14ac:dyDescent="0.4">
      <c r="B247" s="60" t="s">
        <v>118</v>
      </c>
      <c r="H247" s="318">
        <f ca="1">-MIN(H$159,0)</f>
        <v>6100000</v>
      </c>
      <c r="I247" s="12">
        <f t="shared" ref="I247:BT247" ca="1" si="410">-MIN(I$159,0)</f>
        <v>0</v>
      </c>
      <c r="J247" s="12">
        <f t="shared" ca="1" si="410"/>
        <v>0</v>
      </c>
      <c r="K247" s="12">
        <f t="shared" ca="1" si="410"/>
        <v>360500</v>
      </c>
      <c r="L247" s="12">
        <f t="shared" ca="1" si="410"/>
        <v>360500</v>
      </c>
      <c r="M247" s="12">
        <f t="shared" ca="1" si="410"/>
        <v>360500</v>
      </c>
      <c r="N247" s="12">
        <f t="shared" ca="1" si="410"/>
        <v>360500</v>
      </c>
      <c r="O247" s="12">
        <f t="shared" ca="1" si="410"/>
        <v>3141750</v>
      </c>
      <c r="P247" s="12">
        <f t="shared" ca="1" si="410"/>
        <v>3141750</v>
      </c>
      <c r="Q247" s="12">
        <f t="shared" ca="1" si="410"/>
        <v>3141750</v>
      </c>
      <c r="R247" s="12">
        <f t="shared" ca="1" si="410"/>
        <v>1778449.999427788</v>
      </c>
      <c r="S247" s="12">
        <f t="shared" ca="1" si="410"/>
        <v>0</v>
      </c>
      <c r="T247" s="12">
        <f t="shared" ca="1" si="410"/>
        <v>0</v>
      </c>
      <c r="U247" s="12">
        <f t="shared" ca="1" si="410"/>
        <v>0</v>
      </c>
      <c r="V247" s="12">
        <f t="shared" ca="1" si="410"/>
        <v>0</v>
      </c>
      <c r="W247" s="12">
        <f t="shared" ca="1" si="410"/>
        <v>0</v>
      </c>
      <c r="X247" s="12">
        <f t="shared" ca="1" si="410"/>
        <v>0</v>
      </c>
      <c r="Y247" s="12">
        <f t="shared" ca="1" si="410"/>
        <v>3750</v>
      </c>
      <c r="Z247" s="12">
        <f t="shared" ca="1" si="410"/>
        <v>0</v>
      </c>
      <c r="AA247" s="12">
        <f t="shared" ca="1" si="410"/>
        <v>0</v>
      </c>
      <c r="AB247" s="12">
        <f t="shared" ca="1" si="410"/>
        <v>0</v>
      </c>
      <c r="AC247" s="12">
        <f t="shared" ca="1" si="410"/>
        <v>0</v>
      </c>
      <c r="AD247" s="12">
        <f t="shared" ca="1" si="410"/>
        <v>0</v>
      </c>
      <c r="AE247" s="12">
        <f t="shared" ca="1" si="410"/>
        <v>0</v>
      </c>
      <c r="AF247" s="12">
        <f t="shared" ca="1" si="410"/>
        <v>0</v>
      </c>
      <c r="AG247" s="12">
        <f t="shared" ca="1" si="410"/>
        <v>0</v>
      </c>
      <c r="AH247" s="12">
        <f t="shared" ca="1" si="410"/>
        <v>0</v>
      </c>
      <c r="AI247" s="12">
        <f t="shared" ca="1" si="410"/>
        <v>0</v>
      </c>
      <c r="AJ247" s="12">
        <f t="shared" ca="1" si="410"/>
        <v>0</v>
      </c>
      <c r="AK247" s="12">
        <f t="shared" ca="1" si="410"/>
        <v>0</v>
      </c>
      <c r="AL247" s="12">
        <f t="shared" ca="1" si="410"/>
        <v>0</v>
      </c>
      <c r="AM247" s="12">
        <f t="shared" ca="1" si="410"/>
        <v>0</v>
      </c>
      <c r="AN247" s="12">
        <f t="shared" ca="1" si="410"/>
        <v>0</v>
      </c>
      <c r="AO247" s="12">
        <f t="shared" ca="1" si="410"/>
        <v>0</v>
      </c>
      <c r="AP247" s="12">
        <f t="shared" ca="1" si="410"/>
        <v>0</v>
      </c>
      <c r="AQ247" s="12">
        <f t="shared" ca="1" si="410"/>
        <v>0</v>
      </c>
      <c r="AR247" s="12">
        <f t="shared" ca="1" si="410"/>
        <v>0</v>
      </c>
      <c r="AS247" s="12">
        <f t="shared" ca="1" si="410"/>
        <v>0</v>
      </c>
      <c r="AT247" s="12">
        <f t="shared" ca="1" si="410"/>
        <v>0</v>
      </c>
      <c r="AU247" s="12">
        <f t="shared" ca="1" si="410"/>
        <v>0</v>
      </c>
      <c r="AV247" s="12">
        <f t="shared" ca="1" si="410"/>
        <v>0</v>
      </c>
      <c r="AW247" s="12">
        <f t="shared" ca="1" si="410"/>
        <v>0</v>
      </c>
      <c r="AX247" s="12">
        <f t="shared" ca="1" si="410"/>
        <v>0</v>
      </c>
      <c r="AY247" s="12">
        <f t="shared" ca="1" si="410"/>
        <v>0</v>
      </c>
      <c r="AZ247" s="12">
        <f t="shared" ca="1" si="410"/>
        <v>0</v>
      </c>
      <c r="BA247" s="12">
        <f t="shared" ca="1" si="410"/>
        <v>0</v>
      </c>
      <c r="BB247" s="12">
        <f t="shared" ca="1" si="410"/>
        <v>0</v>
      </c>
      <c r="BC247" s="12">
        <f t="shared" ca="1" si="410"/>
        <v>0</v>
      </c>
      <c r="BD247" s="12">
        <f t="shared" ca="1" si="410"/>
        <v>0</v>
      </c>
      <c r="BE247" s="12">
        <f t="shared" ca="1" si="410"/>
        <v>0</v>
      </c>
      <c r="BF247" s="12">
        <f t="shared" ca="1" si="410"/>
        <v>0</v>
      </c>
      <c r="BG247" s="12">
        <f t="shared" ca="1" si="410"/>
        <v>0</v>
      </c>
      <c r="BH247" s="12">
        <f t="shared" ca="1" si="410"/>
        <v>0</v>
      </c>
      <c r="BI247" s="12">
        <f t="shared" ca="1" si="410"/>
        <v>0</v>
      </c>
      <c r="BJ247" s="12">
        <f t="shared" ca="1" si="410"/>
        <v>0</v>
      </c>
      <c r="BK247" s="12">
        <f t="shared" ca="1" si="410"/>
        <v>0</v>
      </c>
      <c r="BL247" s="12">
        <f t="shared" ca="1" si="410"/>
        <v>0</v>
      </c>
      <c r="BM247" s="12">
        <f t="shared" ca="1" si="410"/>
        <v>0</v>
      </c>
      <c r="BN247" s="12">
        <f t="shared" ca="1" si="410"/>
        <v>0</v>
      </c>
      <c r="BO247" s="12">
        <f t="shared" ca="1" si="410"/>
        <v>0</v>
      </c>
      <c r="BP247" s="12">
        <f t="shared" ca="1" si="410"/>
        <v>0</v>
      </c>
      <c r="BQ247" s="12">
        <f t="shared" ca="1" si="410"/>
        <v>0</v>
      </c>
      <c r="BR247" s="12">
        <f t="shared" ca="1" si="410"/>
        <v>0</v>
      </c>
      <c r="BS247" s="12">
        <f t="shared" ca="1" si="410"/>
        <v>0</v>
      </c>
      <c r="BT247" s="12">
        <f t="shared" ca="1" si="410"/>
        <v>0</v>
      </c>
      <c r="BU247" s="12">
        <f t="shared" ref="BU247:EF247" ca="1" si="411">-MIN(BU$159,0)</f>
        <v>0</v>
      </c>
      <c r="BV247" s="12">
        <f t="shared" ca="1" si="411"/>
        <v>0</v>
      </c>
      <c r="BW247" s="12">
        <f t="shared" ca="1" si="411"/>
        <v>0</v>
      </c>
      <c r="BX247" s="12">
        <f t="shared" ca="1" si="411"/>
        <v>0</v>
      </c>
      <c r="BY247" s="12">
        <f t="shared" ca="1" si="411"/>
        <v>0</v>
      </c>
      <c r="BZ247" s="12">
        <f t="shared" ca="1" si="411"/>
        <v>0</v>
      </c>
      <c r="CA247" s="12">
        <f t="shared" ca="1" si="411"/>
        <v>0</v>
      </c>
      <c r="CB247" s="12">
        <f t="shared" ca="1" si="411"/>
        <v>0</v>
      </c>
      <c r="CC247" s="12">
        <f t="shared" ca="1" si="411"/>
        <v>0</v>
      </c>
      <c r="CD247" s="12">
        <f t="shared" ca="1" si="411"/>
        <v>0</v>
      </c>
      <c r="CE247" s="12">
        <f t="shared" ca="1" si="411"/>
        <v>0</v>
      </c>
      <c r="CF247" s="12">
        <f t="shared" ca="1" si="411"/>
        <v>0</v>
      </c>
      <c r="CG247" s="12">
        <f t="shared" ca="1" si="411"/>
        <v>0</v>
      </c>
      <c r="CH247" s="12">
        <f t="shared" ca="1" si="411"/>
        <v>0</v>
      </c>
      <c r="CI247" s="12">
        <f t="shared" ca="1" si="411"/>
        <v>0</v>
      </c>
      <c r="CJ247" s="12">
        <f t="shared" ca="1" si="411"/>
        <v>0</v>
      </c>
      <c r="CK247" s="12">
        <f t="shared" ca="1" si="411"/>
        <v>0</v>
      </c>
      <c r="CL247" s="12">
        <f t="shared" ca="1" si="411"/>
        <v>0</v>
      </c>
      <c r="CM247" s="12">
        <f t="shared" ca="1" si="411"/>
        <v>0</v>
      </c>
      <c r="CN247" s="12">
        <f t="shared" ca="1" si="411"/>
        <v>0</v>
      </c>
      <c r="CO247" s="12">
        <f t="shared" ca="1" si="411"/>
        <v>0</v>
      </c>
      <c r="CP247" s="12">
        <f t="shared" ca="1" si="411"/>
        <v>0</v>
      </c>
      <c r="CQ247" s="12">
        <f t="shared" ca="1" si="411"/>
        <v>0</v>
      </c>
      <c r="CR247" s="12">
        <f t="shared" ca="1" si="411"/>
        <v>0</v>
      </c>
      <c r="CS247" s="12">
        <f t="shared" ca="1" si="411"/>
        <v>0</v>
      </c>
      <c r="CT247" s="12">
        <f t="shared" ca="1" si="411"/>
        <v>0</v>
      </c>
      <c r="CU247" s="12">
        <f t="shared" ca="1" si="411"/>
        <v>0</v>
      </c>
      <c r="CV247" s="12">
        <f t="shared" ca="1" si="411"/>
        <v>0</v>
      </c>
      <c r="CW247" s="12">
        <f t="shared" ca="1" si="411"/>
        <v>0</v>
      </c>
      <c r="CX247" s="12">
        <f t="shared" ca="1" si="411"/>
        <v>0</v>
      </c>
      <c r="CY247" s="12">
        <f t="shared" ca="1" si="411"/>
        <v>0</v>
      </c>
      <c r="CZ247" s="12">
        <f t="shared" ca="1" si="411"/>
        <v>0</v>
      </c>
      <c r="DA247" s="12">
        <f t="shared" ca="1" si="411"/>
        <v>0</v>
      </c>
      <c r="DB247" s="12">
        <f t="shared" ca="1" si="411"/>
        <v>0</v>
      </c>
      <c r="DC247" s="12">
        <f t="shared" ca="1" si="411"/>
        <v>0</v>
      </c>
      <c r="DD247" s="12">
        <f t="shared" ca="1" si="411"/>
        <v>0</v>
      </c>
      <c r="DE247" s="12">
        <f t="shared" ca="1" si="411"/>
        <v>0</v>
      </c>
      <c r="DF247" s="12">
        <f t="shared" ca="1" si="411"/>
        <v>0</v>
      </c>
      <c r="DG247" s="12">
        <f t="shared" ca="1" si="411"/>
        <v>0</v>
      </c>
      <c r="DH247" s="12">
        <f t="shared" ca="1" si="411"/>
        <v>0</v>
      </c>
      <c r="DI247" s="12">
        <f t="shared" ca="1" si="411"/>
        <v>0</v>
      </c>
      <c r="DJ247" s="12">
        <f t="shared" ca="1" si="411"/>
        <v>0</v>
      </c>
      <c r="DK247" s="12">
        <f t="shared" ca="1" si="411"/>
        <v>0</v>
      </c>
      <c r="DL247" s="12">
        <f t="shared" ca="1" si="411"/>
        <v>0</v>
      </c>
      <c r="DM247" s="12">
        <f t="shared" ca="1" si="411"/>
        <v>0</v>
      </c>
      <c r="DN247" s="12">
        <f t="shared" ca="1" si="411"/>
        <v>0</v>
      </c>
      <c r="DO247" s="12">
        <f t="shared" ca="1" si="411"/>
        <v>0</v>
      </c>
      <c r="DP247" s="12">
        <f t="shared" ca="1" si="411"/>
        <v>0</v>
      </c>
      <c r="DQ247" s="12">
        <f t="shared" ca="1" si="411"/>
        <v>0</v>
      </c>
      <c r="DR247" s="12">
        <f t="shared" ca="1" si="411"/>
        <v>0</v>
      </c>
      <c r="DS247" s="12">
        <f t="shared" ca="1" si="411"/>
        <v>0</v>
      </c>
      <c r="DT247" s="12">
        <f t="shared" ca="1" si="411"/>
        <v>0</v>
      </c>
      <c r="DU247" s="12">
        <f t="shared" ca="1" si="411"/>
        <v>0</v>
      </c>
      <c r="DV247" s="12">
        <f t="shared" ca="1" si="411"/>
        <v>0</v>
      </c>
      <c r="DW247" s="12">
        <f t="shared" ca="1" si="411"/>
        <v>0</v>
      </c>
      <c r="DX247" s="12">
        <f t="shared" ca="1" si="411"/>
        <v>0</v>
      </c>
      <c r="DY247" s="12">
        <f t="shared" ca="1" si="411"/>
        <v>0</v>
      </c>
      <c r="DZ247" s="12">
        <f t="shared" ca="1" si="411"/>
        <v>0</v>
      </c>
      <c r="EA247" s="12">
        <f t="shared" ca="1" si="411"/>
        <v>0</v>
      </c>
      <c r="EB247" s="12">
        <f t="shared" ca="1" si="411"/>
        <v>0</v>
      </c>
      <c r="EC247" s="12">
        <f t="shared" ca="1" si="411"/>
        <v>0</v>
      </c>
      <c r="ED247" s="12">
        <f t="shared" ca="1" si="411"/>
        <v>0</v>
      </c>
      <c r="EE247" s="12">
        <f t="shared" ca="1" si="411"/>
        <v>0</v>
      </c>
      <c r="EF247" s="12">
        <f t="shared" ca="1" si="411"/>
        <v>0</v>
      </c>
      <c r="EG247" s="12">
        <f ca="1">-MIN(EG$159,0)</f>
        <v>0</v>
      </c>
      <c r="EH247" s="12">
        <f ca="1">-MIN(EH$159,0)</f>
        <v>0</v>
      </c>
      <c r="EI247" s="12">
        <f ca="1">-MIN(EI$159,0)</f>
        <v>0</v>
      </c>
      <c r="EJ247" s="12">
        <f ca="1">-MIN(EJ$159,0)</f>
        <v>0</v>
      </c>
    </row>
    <row r="248" spans="2:140" x14ac:dyDescent="0.4">
      <c r="B248" s="1" t="s">
        <v>99</v>
      </c>
      <c r="H248" s="319">
        <f ca="1">SUM(H243:H247)</f>
        <v>6100000</v>
      </c>
      <c r="I248" s="97">
        <f ca="1">SUM(I243:I247)</f>
        <v>7102633.3014405696</v>
      </c>
      <c r="J248" s="97">
        <f ca="1">SUM(J243:J247)</f>
        <v>8149166.4364623157</v>
      </c>
      <c r="K248" s="97">
        <f t="shared" ref="K248:BV248" ca="1" si="412">SUM(K243:K247)</f>
        <v>9849113.2640326265</v>
      </c>
      <c r="L248" s="97">
        <f t="shared" ca="1" si="412"/>
        <v>11772316.215837799</v>
      </c>
      <c r="M248" s="97">
        <f t="shared" ca="1" si="412"/>
        <v>14067786.096671866</v>
      </c>
      <c r="N248" s="97">
        <f t="shared" ca="1" si="412"/>
        <v>16660341.944675369</v>
      </c>
      <c r="O248" s="97">
        <f t="shared" ca="1" si="412"/>
        <v>22540487.624530889</v>
      </c>
      <c r="P248" s="97">
        <f t="shared" ca="1" si="412"/>
        <v>29387130.005361006</v>
      </c>
      <c r="Q248" s="97">
        <f t="shared" ca="1" si="412"/>
        <v>37191569.282391116</v>
      </c>
      <c r="R248" s="97">
        <f t="shared" ca="1" si="412"/>
        <v>45083053.035156526</v>
      </c>
      <c r="S248" s="97">
        <f t="shared" ca="1" si="412"/>
        <v>52236125.414951921</v>
      </c>
      <c r="T248" s="97">
        <f t="shared" ca="1" si="412"/>
        <v>60821974.411551408</v>
      </c>
      <c r="U248" s="97">
        <f t="shared" ca="1" si="412"/>
        <v>70819046.051614955</v>
      </c>
      <c r="V248" s="97">
        <f t="shared" ca="1" si="412"/>
        <v>81253834.831800744</v>
      </c>
      <c r="W248" s="97">
        <f t="shared" ca="1" si="412"/>
        <v>94609211.99116388</v>
      </c>
      <c r="X248" s="97">
        <f t="shared" ca="1" si="412"/>
        <v>109620319.17240255</v>
      </c>
      <c r="Y248" s="97">
        <f t="shared" ca="1" si="412"/>
        <v>127641935.15876237</v>
      </c>
      <c r="Z248" s="97">
        <f t="shared" ca="1" si="412"/>
        <v>147891975.09662324</v>
      </c>
      <c r="AA248" s="97">
        <f t="shared" ca="1" si="412"/>
        <v>172164362.78368285</v>
      </c>
      <c r="AB248" s="97">
        <f t="shared" ca="1" si="412"/>
        <v>200392336.10477081</v>
      </c>
      <c r="AC248" s="97">
        <f t="shared" ca="1" si="412"/>
        <v>232083352.04961476</v>
      </c>
      <c r="AD248" s="97">
        <f t="shared" ca="1" si="412"/>
        <v>270091692.31177092</v>
      </c>
      <c r="AE248" s="97">
        <f t="shared" ca="1" si="412"/>
        <v>312929596.22357231</v>
      </c>
      <c r="AF248" s="97">
        <f t="shared" ca="1" si="412"/>
        <v>364319561.08034652</v>
      </c>
      <c r="AG248" s="97">
        <f t="shared" ca="1" si="412"/>
        <v>424114468.90671659</v>
      </c>
      <c r="AH248" s="97">
        <f t="shared" ca="1" si="412"/>
        <v>486467156.25331879</v>
      </c>
      <c r="AI248" s="97">
        <f t="shared" ca="1" si="412"/>
        <v>566302824.07747972</v>
      </c>
      <c r="AJ248" s="97">
        <f t="shared" ca="1" si="412"/>
        <v>656026023.22094822</v>
      </c>
      <c r="AK248" s="97">
        <f t="shared" ca="1" si="412"/>
        <v>763730240.55526185</v>
      </c>
      <c r="AL248" s="97">
        <f t="shared" ca="1" si="412"/>
        <v>884776891.63806486</v>
      </c>
      <c r="AM248" s="97">
        <f t="shared" ca="1" si="412"/>
        <v>1030078771.5172726</v>
      </c>
      <c r="AN248" s="97">
        <f t="shared" ca="1" si="412"/>
        <v>1199228419.201592</v>
      </c>
      <c r="AO248" s="97">
        <f t="shared" ca="1" si="412"/>
        <v>1389336797.8425326</v>
      </c>
      <c r="AP248" s="97">
        <f t="shared" ca="1" si="412"/>
        <v>1617534833.0702405</v>
      </c>
      <c r="AQ248" s="97">
        <f t="shared" ca="1" si="412"/>
        <v>1874012018.8139052</v>
      </c>
      <c r="AR248" s="97">
        <f t="shared" ca="1" si="412"/>
        <v>2152489928.7304306</v>
      </c>
      <c r="AS248" s="97">
        <f t="shared" ca="1" si="412"/>
        <v>2506286335.8715072</v>
      </c>
      <c r="AT248" s="97">
        <f t="shared" ca="1" si="412"/>
        <v>2889724247.8373122</v>
      </c>
      <c r="AU248" s="97">
        <f t="shared" ca="1" si="412"/>
        <v>3364696995.8474746</v>
      </c>
      <c r="AV248" s="97">
        <f t="shared" ca="1" si="412"/>
        <v>3898554388.5269041</v>
      </c>
      <c r="AW248" s="97">
        <f t="shared" ca="1" si="412"/>
        <v>4539344627.4472895</v>
      </c>
      <c r="AX248" s="97">
        <f t="shared" ca="1" si="412"/>
        <v>5259576698.9453077</v>
      </c>
      <c r="AY248" s="97">
        <f t="shared" ca="1" si="412"/>
        <v>6124072887.4442301</v>
      </c>
      <c r="AZ248" s="97">
        <f t="shared" ca="1" si="412"/>
        <v>7130662955.8706055</v>
      </c>
      <c r="BA248" s="97">
        <f t="shared" ca="1" si="412"/>
        <v>8262044812.3631716</v>
      </c>
      <c r="BB248" s="97">
        <f t="shared" ca="1" si="412"/>
        <v>9620045020.0467148</v>
      </c>
      <c r="BC248" s="97">
        <f t="shared" ca="1" si="412"/>
        <v>11146403012.519472</v>
      </c>
      <c r="BD248" s="97">
        <f t="shared" ca="1" si="412"/>
        <v>12978493971.802998</v>
      </c>
      <c r="BE248" s="97">
        <f t="shared" ca="1" si="412"/>
        <v>15111718604.37273</v>
      </c>
      <c r="BF248" s="97">
        <f t="shared" ca="1" si="412"/>
        <v>17338345487.023849</v>
      </c>
      <c r="BG248" s="97">
        <f t="shared" ca="1" si="412"/>
        <v>20188181975.08482</v>
      </c>
      <c r="BH248" s="97">
        <f t="shared" ca="1" si="412"/>
        <v>23391326331.161392</v>
      </c>
      <c r="BI248" s="97">
        <f t="shared" ca="1" si="412"/>
        <v>27236067764.683701</v>
      </c>
      <c r="BJ248" s="97">
        <f t="shared" ca="1" si="412"/>
        <v>31557460193.671806</v>
      </c>
      <c r="BK248" s="97">
        <f t="shared" ca="1" si="412"/>
        <v>36744437324.665337</v>
      </c>
      <c r="BL248" s="97">
        <f t="shared" ca="1" si="412"/>
        <v>42783977735.223579</v>
      </c>
      <c r="BM248" s="97">
        <f t="shared" ca="1" si="412"/>
        <v>49572268874.17897</v>
      </c>
      <c r="BN248" s="97">
        <f t="shared" ca="1" si="412"/>
        <v>57720270120.280228</v>
      </c>
      <c r="BO248" s="97">
        <f t="shared" ca="1" si="412"/>
        <v>66878418075.11676</v>
      </c>
      <c r="BP248" s="97">
        <f t="shared" ca="1" si="412"/>
        <v>77870963830.817902</v>
      </c>
      <c r="BQ248" s="97">
        <f t="shared" ca="1" si="412"/>
        <v>90670311626.236282</v>
      </c>
      <c r="BR248" s="97">
        <f t="shared" ca="1" si="412"/>
        <v>104030072922.14297</v>
      </c>
      <c r="BS248" s="97">
        <f t="shared" ca="1" si="412"/>
        <v>121129091850.50879</v>
      </c>
      <c r="BT248" s="97">
        <f t="shared" ca="1" si="412"/>
        <v>140347957986.9682</v>
      </c>
      <c r="BU248" s="97">
        <f t="shared" ca="1" si="412"/>
        <v>163416406588.10202</v>
      </c>
      <c r="BV248" s="97">
        <f t="shared" ca="1" si="412"/>
        <v>189344761162.03061</v>
      </c>
      <c r="BW248" s="97">
        <f t="shared" ref="BW248:EH248" ca="1" si="413">SUM(BW243:BW247)</f>
        <v>220466623947.99173</v>
      </c>
      <c r="BX248" s="97">
        <f t="shared" ca="1" si="413"/>
        <v>256703866411.34116</v>
      </c>
      <c r="BY248" s="97">
        <f t="shared" ca="1" si="413"/>
        <v>297433613245.07343</v>
      </c>
      <c r="BZ248" s="97">
        <f t="shared" ca="1" si="413"/>
        <v>346321620721.68091</v>
      </c>
      <c r="CA248" s="97">
        <f t="shared" ca="1" si="413"/>
        <v>401270508450.70007</v>
      </c>
      <c r="CB248" s="97">
        <f t="shared" ca="1" si="413"/>
        <v>467225782984.90686</v>
      </c>
      <c r="CC248" s="97">
        <f t="shared" ca="1" si="413"/>
        <v>544021869757.41705</v>
      </c>
      <c r="CD248" s="97">
        <f t="shared" ca="1" si="413"/>
        <v>624180437532.85718</v>
      </c>
      <c r="CE248" s="97">
        <f t="shared" ca="1" si="413"/>
        <v>726774551103.05188</v>
      </c>
      <c r="CF248" s="97">
        <f t="shared" ca="1" si="413"/>
        <v>842087747921.80823</v>
      </c>
      <c r="CG248" s="97">
        <f t="shared" ca="1" si="413"/>
        <v>980498439528.61096</v>
      </c>
      <c r="CH248" s="97">
        <f t="shared" ca="1" si="413"/>
        <v>1136068566972.1824</v>
      </c>
      <c r="CI248" s="97">
        <f t="shared" ca="1" si="413"/>
        <v>1322799743687.949</v>
      </c>
      <c r="CJ248" s="97">
        <f t="shared" ca="1" si="413"/>
        <v>1540223198468.0454</v>
      </c>
      <c r="CK248" s="97">
        <f t="shared" ca="1" si="413"/>
        <v>1784601679470.4387</v>
      </c>
      <c r="CL248" s="97">
        <f t="shared" ca="1" si="413"/>
        <v>2077929724330.0833</v>
      </c>
      <c r="CM248" s="97">
        <f t="shared" ca="1" si="413"/>
        <v>2407623050704.1978</v>
      </c>
      <c r="CN248" s="97">
        <f t="shared" ca="1" si="413"/>
        <v>2803354697909.438</v>
      </c>
      <c r="CO248" s="97">
        <f t="shared" ca="1" si="413"/>
        <v>3264131218544.4985</v>
      </c>
      <c r="CP248" s="97">
        <f t="shared" ca="1" si="413"/>
        <v>3763512171513.6602</v>
      </c>
      <c r="CQ248" s="97">
        <f t="shared" ca="1" si="413"/>
        <v>4382106045863.9077</v>
      </c>
      <c r="CR248" s="97">
        <f t="shared" ca="1" si="413"/>
        <v>5077389963249.8877</v>
      </c>
      <c r="CS248" s="97">
        <f t="shared" ca="1" si="413"/>
        <v>5911940825799.7969</v>
      </c>
      <c r="CT248" s="97">
        <f t="shared" ca="1" si="413"/>
        <v>6849954952727.624</v>
      </c>
      <c r="CU248" s="97">
        <f t="shared" ca="1" si="413"/>
        <v>7975855436165.7354</v>
      </c>
      <c r="CV248" s="97">
        <f t="shared" ca="1" si="413"/>
        <v>9286815807932.2207</v>
      </c>
      <c r="CW248" s="97">
        <f t="shared" ca="1" si="413"/>
        <v>10760302210908.623</v>
      </c>
      <c r="CX248" s="97">
        <f t="shared" ca="1" si="413"/>
        <v>12528931281436.75</v>
      </c>
      <c r="CY248" s="97">
        <f t="shared" ca="1" si="413"/>
        <v>14516825762045.955</v>
      </c>
      <c r="CZ248" s="97">
        <f t="shared" ca="1" si="413"/>
        <v>16902900014543.93</v>
      </c>
      <c r="DA248" s="97">
        <f t="shared" ca="1" si="413"/>
        <v>19681164022003.281</v>
      </c>
      <c r="DB248" s="97">
        <f t="shared" ca="1" si="413"/>
        <v>22581073029081.934</v>
      </c>
      <c r="DC248" s="97">
        <f t="shared" ca="1" si="413"/>
        <v>26292636275183.414</v>
      </c>
      <c r="DD248" s="97">
        <f t="shared" ca="1" si="413"/>
        <v>30464339779499.289</v>
      </c>
      <c r="DE248" s="97">
        <f t="shared" ca="1" si="413"/>
        <v>35471644954798.742</v>
      </c>
      <c r="DF248" s="97">
        <f t="shared" ca="1" si="413"/>
        <v>41099729716365.703</v>
      </c>
      <c r="DG248" s="97">
        <f t="shared" ca="1" si="413"/>
        <v>47855132616994.367</v>
      </c>
      <c r="DH248" s="97">
        <f t="shared" ca="1" si="413"/>
        <v>55720894847593.281</v>
      </c>
      <c r="DI248" s="97">
        <f t="shared" ca="1" si="413"/>
        <v>64561813265451.695</v>
      </c>
      <c r="DJ248" s="97">
        <f t="shared" ca="1" si="413"/>
        <v>75173587688620.453</v>
      </c>
      <c r="DK248" s="97">
        <f t="shared" ca="1" si="413"/>
        <v>87100954572275.672</v>
      </c>
      <c r="DL248" s="97">
        <f t="shared" ca="1" si="413"/>
        <v>101417400087263.52</v>
      </c>
      <c r="DM248" s="97">
        <f t="shared" ca="1" si="413"/>
        <v>118086984132019.61</v>
      </c>
      <c r="DN248" s="97">
        <f t="shared" ca="1" si="413"/>
        <v>135486438174491.52</v>
      </c>
      <c r="DO248" s="97">
        <f t="shared" ca="1" si="413"/>
        <v>157755817651100.38</v>
      </c>
      <c r="DP248" s="97">
        <f t="shared" ca="1" si="413"/>
        <v>182786038676995.59</v>
      </c>
      <c r="DQ248" s="97">
        <f t="shared" ca="1" si="413"/>
        <v>212829869728792.28</v>
      </c>
      <c r="DR248" s="97">
        <f t="shared" ca="1" si="413"/>
        <v>246598378298194</v>
      </c>
      <c r="DS248" s="97">
        <f t="shared" ca="1" si="413"/>
        <v>287130795701965.94</v>
      </c>
      <c r="DT248" s="97">
        <f t="shared" ca="1" si="413"/>
        <v>334325369085559.38</v>
      </c>
      <c r="DU248" s="97">
        <f t="shared" ca="1" si="413"/>
        <v>387370879592709.81</v>
      </c>
      <c r="DV248" s="97">
        <f t="shared" ca="1" si="413"/>
        <v>451041526131722.25</v>
      </c>
      <c r="DW248" s="97">
        <f t="shared" ca="1" si="413"/>
        <v>522605727433653.5</v>
      </c>
      <c r="DX248" s="97">
        <f t="shared" ca="1" si="413"/>
        <v>608504400523580.5</v>
      </c>
      <c r="DY248" s="97">
        <f t="shared" ca="1" si="413"/>
        <v>708521904792116.88</v>
      </c>
      <c r="DZ248" s="97">
        <f t="shared" ca="1" si="413"/>
        <v>812918629046948.13</v>
      </c>
      <c r="EA248" s="97">
        <f t="shared" ca="1" si="413"/>
        <v>946534905906601.13</v>
      </c>
      <c r="EB248" s="97">
        <f t="shared" ca="1" si="413"/>
        <v>1096716232061972.4</v>
      </c>
      <c r="EC248" s="97">
        <f t="shared" ca="1" si="413"/>
        <v>1276979218372752.3</v>
      </c>
      <c r="ED248" s="97">
        <f t="shared" ca="1" si="413"/>
        <v>1479590269789162.5</v>
      </c>
      <c r="EE248" s="97">
        <f t="shared" ca="1" si="413"/>
        <v>1722784774211793.8</v>
      </c>
      <c r="EF248" s="97">
        <f t="shared" ca="1" si="413"/>
        <v>2005952214513354</v>
      </c>
      <c r="EG248" s="97">
        <f t="shared" ca="1" si="413"/>
        <v>2324225277556256</v>
      </c>
      <c r="EH248" s="97">
        <f t="shared" ca="1" si="413"/>
        <v>2706249156790330.5</v>
      </c>
      <c r="EI248" s="97">
        <f ca="1">SUM(EI243:EI247)</f>
        <v>3135634364601917.5</v>
      </c>
      <c r="EJ248" s="97">
        <f ca="1">SUM(EJ243:EJ247)</f>
        <v>3651026403141478.5</v>
      </c>
    </row>
    <row r="249" spans="2:140" x14ac:dyDescent="0.4">
      <c r="H249" s="316"/>
    </row>
    <row r="250" spans="2:140" x14ac:dyDescent="0.4">
      <c r="B250" s="1" t="s">
        <v>128</v>
      </c>
      <c r="H250" s="318">
        <f ca="1">-SUM(H245:H247)*$C$187-H235</f>
        <v>0</v>
      </c>
      <c r="I250" s="12">
        <f t="shared" ref="I250:BT250" ca="1" si="414">-SUM(I245:I247)*$C$187-I235</f>
        <v>0</v>
      </c>
      <c r="J250" s="12">
        <f t="shared" ca="1" si="414"/>
        <v>0</v>
      </c>
      <c r="K250" s="12">
        <f t="shared" ca="1" si="414"/>
        <v>0</v>
      </c>
      <c r="L250" s="12">
        <f t="shared" ca="1" si="414"/>
        <v>0</v>
      </c>
      <c r="M250" s="12">
        <f t="shared" ca="1" si="414"/>
        <v>0</v>
      </c>
      <c r="N250" s="12">
        <f t="shared" ca="1" si="414"/>
        <v>0</v>
      </c>
      <c r="O250" s="12">
        <f t="shared" ca="1" si="414"/>
        <v>0</v>
      </c>
      <c r="P250" s="12">
        <f t="shared" ca="1" si="414"/>
        <v>0</v>
      </c>
      <c r="Q250" s="12">
        <f t="shared" ca="1" si="414"/>
        <v>0</v>
      </c>
      <c r="R250" s="12">
        <f t="shared" ca="1" si="414"/>
        <v>0</v>
      </c>
      <c r="S250" s="12">
        <f t="shared" ca="1" si="414"/>
        <v>0</v>
      </c>
      <c r="T250" s="12">
        <f t="shared" ca="1" si="414"/>
        <v>0</v>
      </c>
      <c r="U250" s="12">
        <f t="shared" ca="1" si="414"/>
        <v>0</v>
      </c>
      <c r="V250" s="12">
        <f t="shared" ca="1" si="414"/>
        <v>0</v>
      </c>
      <c r="W250" s="12">
        <f t="shared" ca="1" si="414"/>
        <v>0</v>
      </c>
      <c r="X250" s="12">
        <f t="shared" ca="1" si="414"/>
        <v>0</v>
      </c>
      <c r="Y250" s="12">
        <f t="shared" ca="1" si="414"/>
        <v>0</v>
      </c>
      <c r="Z250" s="12">
        <f t="shared" ca="1" si="414"/>
        <v>0</v>
      </c>
      <c r="AA250" s="12">
        <f t="shared" ca="1" si="414"/>
        <v>0</v>
      </c>
      <c r="AB250" s="12">
        <f t="shared" ca="1" si="414"/>
        <v>0</v>
      </c>
      <c r="AC250" s="12">
        <f t="shared" ca="1" si="414"/>
        <v>0</v>
      </c>
      <c r="AD250" s="12">
        <f t="shared" ca="1" si="414"/>
        <v>0</v>
      </c>
      <c r="AE250" s="12">
        <f t="shared" ca="1" si="414"/>
        <v>0</v>
      </c>
      <c r="AF250" s="12">
        <f t="shared" ca="1" si="414"/>
        <v>0</v>
      </c>
      <c r="AG250" s="12">
        <f t="shared" ca="1" si="414"/>
        <v>0</v>
      </c>
      <c r="AH250" s="12">
        <f t="shared" ca="1" si="414"/>
        <v>0</v>
      </c>
      <c r="AI250" s="12">
        <f t="shared" ca="1" si="414"/>
        <v>0</v>
      </c>
      <c r="AJ250" s="12">
        <f t="shared" ca="1" si="414"/>
        <v>0</v>
      </c>
      <c r="AK250" s="12">
        <f t="shared" ca="1" si="414"/>
        <v>0</v>
      </c>
      <c r="AL250" s="12">
        <f t="shared" ca="1" si="414"/>
        <v>0</v>
      </c>
      <c r="AM250" s="12">
        <f t="shared" ca="1" si="414"/>
        <v>0</v>
      </c>
      <c r="AN250" s="12">
        <f t="shared" ca="1" si="414"/>
        <v>0</v>
      </c>
      <c r="AO250" s="12">
        <f t="shared" ca="1" si="414"/>
        <v>0</v>
      </c>
      <c r="AP250" s="12">
        <f t="shared" ca="1" si="414"/>
        <v>0</v>
      </c>
      <c r="AQ250" s="12">
        <f t="shared" ca="1" si="414"/>
        <v>0</v>
      </c>
      <c r="AR250" s="12">
        <f t="shared" ca="1" si="414"/>
        <v>1589022.3073603436</v>
      </c>
      <c r="AS250" s="12">
        <f t="shared" ca="1" si="414"/>
        <v>0</v>
      </c>
      <c r="AT250" s="12">
        <f t="shared" ca="1" si="414"/>
        <v>0</v>
      </c>
      <c r="AU250" s="12">
        <f t="shared" ca="1" si="414"/>
        <v>0</v>
      </c>
      <c r="AV250" s="12">
        <f t="shared" ca="1" si="414"/>
        <v>0</v>
      </c>
      <c r="AW250" s="12">
        <f t="shared" ca="1" si="414"/>
        <v>0</v>
      </c>
      <c r="AX250" s="12">
        <f t="shared" ca="1" si="414"/>
        <v>0</v>
      </c>
      <c r="AY250" s="12">
        <f t="shared" ca="1" si="414"/>
        <v>0</v>
      </c>
      <c r="AZ250" s="12">
        <f t="shared" ca="1" si="414"/>
        <v>0</v>
      </c>
      <c r="BA250" s="12">
        <f t="shared" ca="1" si="414"/>
        <v>0</v>
      </c>
      <c r="BB250" s="12">
        <f t="shared" ca="1" si="414"/>
        <v>0</v>
      </c>
      <c r="BC250" s="12">
        <f t="shared" ca="1" si="414"/>
        <v>0</v>
      </c>
      <c r="BD250" s="12">
        <f t="shared" ca="1" si="414"/>
        <v>0</v>
      </c>
      <c r="BE250" s="12">
        <f t="shared" ca="1" si="414"/>
        <v>0</v>
      </c>
      <c r="BF250" s="12">
        <f t="shared" ca="1" si="414"/>
        <v>0</v>
      </c>
      <c r="BG250" s="12">
        <f t="shared" ca="1" si="414"/>
        <v>0</v>
      </c>
      <c r="BH250" s="12">
        <f t="shared" ca="1" si="414"/>
        <v>0</v>
      </c>
      <c r="BI250" s="12">
        <f t="shared" ca="1" si="414"/>
        <v>0</v>
      </c>
      <c r="BJ250" s="12">
        <f t="shared" ca="1" si="414"/>
        <v>0</v>
      </c>
      <c r="BK250" s="12">
        <f t="shared" ca="1" si="414"/>
        <v>0</v>
      </c>
      <c r="BL250" s="12">
        <f t="shared" ca="1" si="414"/>
        <v>0</v>
      </c>
      <c r="BM250" s="12">
        <f t="shared" ca="1" si="414"/>
        <v>0</v>
      </c>
      <c r="BN250" s="12">
        <f t="shared" ca="1" si="414"/>
        <v>0</v>
      </c>
      <c r="BO250" s="12">
        <f t="shared" ca="1" si="414"/>
        <v>0</v>
      </c>
      <c r="BP250" s="12">
        <f t="shared" ca="1" si="414"/>
        <v>0</v>
      </c>
      <c r="BQ250" s="12">
        <f t="shared" ca="1" si="414"/>
        <v>0</v>
      </c>
      <c r="BR250" s="12">
        <f t="shared" ca="1" si="414"/>
        <v>0</v>
      </c>
      <c r="BS250" s="12">
        <f t="shared" ca="1" si="414"/>
        <v>0</v>
      </c>
      <c r="BT250" s="12">
        <f t="shared" ca="1" si="414"/>
        <v>0</v>
      </c>
      <c r="BU250" s="12">
        <f t="shared" ref="BU250:EF250" ca="1" si="415">-SUM(BU245:BU247)*$C$187-BU235</f>
        <v>0</v>
      </c>
      <c r="BV250" s="12">
        <f t="shared" ca="1" si="415"/>
        <v>0</v>
      </c>
      <c r="BW250" s="12">
        <f t="shared" ca="1" si="415"/>
        <v>0</v>
      </c>
      <c r="BX250" s="12">
        <f t="shared" ca="1" si="415"/>
        <v>0</v>
      </c>
      <c r="BY250" s="12">
        <f t="shared" ca="1" si="415"/>
        <v>0</v>
      </c>
      <c r="BZ250" s="12">
        <f t="shared" ca="1" si="415"/>
        <v>0</v>
      </c>
      <c r="CA250" s="12">
        <f t="shared" ca="1" si="415"/>
        <v>0</v>
      </c>
      <c r="CB250" s="12">
        <f t="shared" ca="1" si="415"/>
        <v>0</v>
      </c>
      <c r="CC250" s="12">
        <f t="shared" ca="1" si="415"/>
        <v>0</v>
      </c>
      <c r="CD250" s="12">
        <f t="shared" ca="1" si="415"/>
        <v>0</v>
      </c>
      <c r="CE250" s="12">
        <f t="shared" ca="1" si="415"/>
        <v>0</v>
      </c>
      <c r="CF250" s="12">
        <f t="shared" ca="1" si="415"/>
        <v>0</v>
      </c>
      <c r="CG250" s="12">
        <f t="shared" ca="1" si="415"/>
        <v>0</v>
      </c>
      <c r="CH250" s="12">
        <f t="shared" ca="1" si="415"/>
        <v>0</v>
      </c>
      <c r="CI250" s="12">
        <f t="shared" ca="1" si="415"/>
        <v>0</v>
      </c>
      <c r="CJ250" s="12">
        <f t="shared" ca="1" si="415"/>
        <v>0</v>
      </c>
      <c r="CK250" s="12">
        <f t="shared" ca="1" si="415"/>
        <v>0</v>
      </c>
      <c r="CL250" s="12">
        <f t="shared" ca="1" si="415"/>
        <v>0</v>
      </c>
      <c r="CM250" s="12">
        <f t="shared" ca="1" si="415"/>
        <v>0</v>
      </c>
      <c r="CN250" s="12">
        <f t="shared" ca="1" si="415"/>
        <v>0</v>
      </c>
      <c r="CO250" s="12">
        <f t="shared" ca="1" si="415"/>
        <v>0</v>
      </c>
      <c r="CP250" s="12">
        <f t="shared" ca="1" si="415"/>
        <v>0</v>
      </c>
      <c r="CQ250" s="12">
        <f t="shared" ca="1" si="415"/>
        <v>0</v>
      </c>
      <c r="CR250" s="12">
        <f t="shared" ca="1" si="415"/>
        <v>0</v>
      </c>
      <c r="CS250" s="12">
        <f t="shared" ca="1" si="415"/>
        <v>0</v>
      </c>
      <c r="CT250" s="12">
        <f t="shared" ca="1" si="415"/>
        <v>0</v>
      </c>
      <c r="CU250" s="12">
        <f t="shared" ca="1" si="415"/>
        <v>0</v>
      </c>
      <c r="CV250" s="12">
        <f t="shared" ca="1" si="415"/>
        <v>0</v>
      </c>
      <c r="CW250" s="12">
        <f t="shared" ca="1" si="415"/>
        <v>0</v>
      </c>
      <c r="CX250" s="12">
        <f t="shared" ca="1" si="415"/>
        <v>0</v>
      </c>
      <c r="CY250" s="12">
        <f t="shared" ca="1" si="415"/>
        <v>0</v>
      </c>
      <c r="CZ250" s="12">
        <f t="shared" ca="1" si="415"/>
        <v>0</v>
      </c>
      <c r="DA250" s="12">
        <f t="shared" ca="1" si="415"/>
        <v>0</v>
      </c>
      <c r="DB250" s="12">
        <f t="shared" ca="1" si="415"/>
        <v>0</v>
      </c>
      <c r="DC250" s="12">
        <f t="shared" ca="1" si="415"/>
        <v>0</v>
      </c>
      <c r="DD250" s="12">
        <f t="shared" ca="1" si="415"/>
        <v>0</v>
      </c>
      <c r="DE250" s="12">
        <f t="shared" ca="1" si="415"/>
        <v>0</v>
      </c>
      <c r="DF250" s="12">
        <f t="shared" ca="1" si="415"/>
        <v>0</v>
      </c>
      <c r="DG250" s="12">
        <f t="shared" ca="1" si="415"/>
        <v>0</v>
      </c>
      <c r="DH250" s="12">
        <f t="shared" ca="1" si="415"/>
        <v>0</v>
      </c>
      <c r="DI250" s="12">
        <f t="shared" ca="1" si="415"/>
        <v>0</v>
      </c>
      <c r="DJ250" s="12">
        <f t="shared" ca="1" si="415"/>
        <v>0</v>
      </c>
      <c r="DK250" s="12">
        <f t="shared" ca="1" si="415"/>
        <v>0</v>
      </c>
      <c r="DL250" s="12">
        <f t="shared" ca="1" si="415"/>
        <v>0</v>
      </c>
      <c r="DM250" s="12">
        <f t="shared" ca="1" si="415"/>
        <v>0</v>
      </c>
      <c r="DN250" s="12">
        <f t="shared" ca="1" si="415"/>
        <v>0</v>
      </c>
      <c r="DO250" s="12">
        <f t="shared" ca="1" si="415"/>
        <v>0</v>
      </c>
      <c r="DP250" s="12">
        <f t="shared" ca="1" si="415"/>
        <v>0</v>
      </c>
      <c r="DQ250" s="12">
        <f t="shared" ca="1" si="415"/>
        <v>0</v>
      </c>
      <c r="DR250" s="12">
        <f t="shared" ca="1" si="415"/>
        <v>0</v>
      </c>
      <c r="DS250" s="12">
        <f t="shared" ca="1" si="415"/>
        <v>0</v>
      </c>
      <c r="DT250" s="12">
        <f t="shared" ca="1" si="415"/>
        <v>0</v>
      </c>
      <c r="DU250" s="12">
        <f t="shared" ca="1" si="415"/>
        <v>0</v>
      </c>
      <c r="DV250" s="12">
        <f t="shared" ca="1" si="415"/>
        <v>0</v>
      </c>
      <c r="DW250" s="12">
        <f t="shared" ca="1" si="415"/>
        <v>0</v>
      </c>
      <c r="DX250" s="12">
        <f t="shared" ca="1" si="415"/>
        <v>0</v>
      </c>
      <c r="DY250" s="12">
        <f t="shared" ca="1" si="415"/>
        <v>0</v>
      </c>
      <c r="DZ250" s="12">
        <f t="shared" ca="1" si="415"/>
        <v>0</v>
      </c>
      <c r="EA250" s="12">
        <f t="shared" ca="1" si="415"/>
        <v>0</v>
      </c>
      <c r="EB250" s="12">
        <f t="shared" ca="1" si="415"/>
        <v>0</v>
      </c>
      <c r="EC250" s="12">
        <f t="shared" ca="1" si="415"/>
        <v>0</v>
      </c>
      <c r="ED250" s="12">
        <f t="shared" ca="1" si="415"/>
        <v>0</v>
      </c>
      <c r="EE250" s="12">
        <f t="shared" ca="1" si="415"/>
        <v>0</v>
      </c>
      <c r="EF250" s="12">
        <f t="shared" ca="1" si="415"/>
        <v>0</v>
      </c>
      <c r="EG250" s="12">
        <f ca="1">-SUM(EG245:EG247)*$C$187-EG235</f>
        <v>0</v>
      </c>
      <c r="EH250" s="12">
        <f ca="1">-SUM(EH245:EH247)*$C$187-EH235</f>
        <v>0</v>
      </c>
      <c r="EI250" s="12">
        <f ca="1">-SUM(EI245:EI247)*$C$187-EI235</f>
        <v>0</v>
      </c>
      <c r="EJ250" s="12">
        <f ca="1">-SUM(EJ245:EJ247)*$C$187-EJ235</f>
        <v>0</v>
      </c>
    </row>
    <row r="251" spans="2:140" x14ac:dyDescent="0.4">
      <c r="B251" s="1" t="s">
        <v>129</v>
      </c>
      <c r="H251" s="318">
        <f ca="1">-SUM(H245:H247)*$C$188-H236</f>
        <v>0</v>
      </c>
      <c r="I251" s="12">
        <f t="shared" ref="I251:BT251" ca="1" si="416">-SUM(I245:I247)*$C$188-I236</f>
        <v>0</v>
      </c>
      <c r="J251" s="12">
        <f t="shared" ca="1" si="416"/>
        <v>0</v>
      </c>
      <c r="K251" s="12">
        <f t="shared" ca="1" si="416"/>
        <v>0</v>
      </c>
      <c r="L251" s="12">
        <f t="shared" ca="1" si="416"/>
        <v>0</v>
      </c>
      <c r="M251" s="12">
        <f t="shared" ca="1" si="416"/>
        <v>0</v>
      </c>
      <c r="N251" s="12">
        <f t="shared" ca="1" si="416"/>
        <v>0</v>
      </c>
      <c r="O251" s="12">
        <f t="shared" ca="1" si="416"/>
        <v>0</v>
      </c>
      <c r="P251" s="12">
        <f t="shared" ca="1" si="416"/>
        <v>0</v>
      </c>
      <c r="Q251" s="12">
        <f t="shared" ca="1" si="416"/>
        <v>0</v>
      </c>
      <c r="R251" s="12">
        <f t="shared" ca="1" si="416"/>
        <v>0</v>
      </c>
      <c r="S251" s="12">
        <f t="shared" ca="1" si="416"/>
        <v>0</v>
      </c>
      <c r="T251" s="12">
        <f t="shared" ca="1" si="416"/>
        <v>0</v>
      </c>
      <c r="U251" s="12">
        <f t="shared" ca="1" si="416"/>
        <v>0</v>
      </c>
      <c r="V251" s="12">
        <f t="shared" ca="1" si="416"/>
        <v>0</v>
      </c>
      <c r="W251" s="12">
        <f t="shared" ca="1" si="416"/>
        <v>0</v>
      </c>
      <c r="X251" s="12">
        <f t="shared" ca="1" si="416"/>
        <v>0</v>
      </c>
      <c r="Y251" s="12">
        <f t="shared" ca="1" si="416"/>
        <v>0</v>
      </c>
      <c r="Z251" s="12">
        <f t="shared" ca="1" si="416"/>
        <v>0</v>
      </c>
      <c r="AA251" s="12">
        <f t="shared" ca="1" si="416"/>
        <v>0</v>
      </c>
      <c r="AB251" s="12">
        <f t="shared" ca="1" si="416"/>
        <v>0</v>
      </c>
      <c r="AC251" s="12">
        <f t="shared" ca="1" si="416"/>
        <v>0</v>
      </c>
      <c r="AD251" s="12">
        <f t="shared" ca="1" si="416"/>
        <v>0</v>
      </c>
      <c r="AE251" s="12">
        <f t="shared" ca="1" si="416"/>
        <v>0</v>
      </c>
      <c r="AF251" s="12">
        <f t="shared" ca="1" si="416"/>
        <v>0</v>
      </c>
      <c r="AG251" s="12">
        <f t="shared" ca="1" si="416"/>
        <v>0</v>
      </c>
      <c r="AH251" s="12">
        <f t="shared" ca="1" si="416"/>
        <v>0</v>
      </c>
      <c r="AI251" s="12">
        <f t="shared" ca="1" si="416"/>
        <v>0</v>
      </c>
      <c r="AJ251" s="12">
        <f t="shared" ca="1" si="416"/>
        <v>0</v>
      </c>
      <c r="AK251" s="12">
        <f t="shared" ca="1" si="416"/>
        <v>0</v>
      </c>
      <c r="AL251" s="12">
        <f t="shared" ca="1" si="416"/>
        <v>0</v>
      </c>
      <c r="AM251" s="12">
        <f t="shared" ca="1" si="416"/>
        <v>0</v>
      </c>
      <c r="AN251" s="12">
        <f t="shared" ca="1" si="416"/>
        <v>0</v>
      </c>
      <c r="AO251" s="12">
        <f t="shared" ca="1" si="416"/>
        <v>0</v>
      </c>
      <c r="AP251" s="12">
        <f t="shared" ca="1" si="416"/>
        <v>0</v>
      </c>
      <c r="AQ251" s="12">
        <f t="shared" ca="1" si="416"/>
        <v>0</v>
      </c>
      <c r="AR251" s="12">
        <f t="shared" ca="1" si="416"/>
        <v>176558.03415114945</v>
      </c>
      <c r="AS251" s="12">
        <f t="shared" ca="1" si="416"/>
        <v>0</v>
      </c>
      <c r="AT251" s="12">
        <f t="shared" ca="1" si="416"/>
        <v>0</v>
      </c>
      <c r="AU251" s="12">
        <f t="shared" ca="1" si="416"/>
        <v>0</v>
      </c>
      <c r="AV251" s="12">
        <f t="shared" ca="1" si="416"/>
        <v>0</v>
      </c>
      <c r="AW251" s="12">
        <f t="shared" ca="1" si="416"/>
        <v>0</v>
      </c>
      <c r="AX251" s="12">
        <f t="shared" ca="1" si="416"/>
        <v>0</v>
      </c>
      <c r="AY251" s="12">
        <f t="shared" ca="1" si="416"/>
        <v>0</v>
      </c>
      <c r="AZ251" s="12">
        <f t="shared" ca="1" si="416"/>
        <v>0</v>
      </c>
      <c r="BA251" s="12">
        <f t="shared" ca="1" si="416"/>
        <v>0</v>
      </c>
      <c r="BB251" s="12">
        <f t="shared" ca="1" si="416"/>
        <v>0</v>
      </c>
      <c r="BC251" s="12">
        <f t="shared" ca="1" si="416"/>
        <v>0</v>
      </c>
      <c r="BD251" s="12">
        <f t="shared" ca="1" si="416"/>
        <v>0</v>
      </c>
      <c r="BE251" s="12">
        <f t="shared" ca="1" si="416"/>
        <v>0</v>
      </c>
      <c r="BF251" s="12">
        <f t="shared" ca="1" si="416"/>
        <v>0</v>
      </c>
      <c r="BG251" s="12">
        <f t="shared" ca="1" si="416"/>
        <v>0</v>
      </c>
      <c r="BH251" s="12">
        <f t="shared" ca="1" si="416"/>
        <v>0</v>
      </c>
      <c r="BI251" s="12">
        <f t="shared" ca="1" si="416"/>
        <v>0</v>
      </c>
      <c r="BJ251" s="12">
        <f t="shared" ca="1" si="416"/>
        <v>0</v>
      </c>
      <c r="BK251" s="12">
        <f t="shared" ca="1" si="416"/>
        <v>0</v>
      </c>
      <c r="BL251" s="12">
        <f t="shared" ca="1" si="416"/>
        <v>0</v>
      </c>
      <c r="BM251" s="12">
        <f t="shared" ca="1" si="416"/>
        <v>0</v>
      </c>
      <c r="BN251" s="12">
        <f t="shared" ca="1" si="416"/>
        <v>0</v>
      </c>
      <c r="BO251" s="12">
        <f t="shared" ca="1" si="416"/>
        <v>0</v>
      </c>
      <c r="BP251" s="12">
        <f t="shared" ca="1" si="416"/>
        <v>0</v>
      </c>
      <c r="BQ251" s="12">
        <f t="shared" ca="1" si="416"/>
        <v>0</v>
      </c>
      <c r="BR251" s="12">
        <f t="shared" ca="1" si="416"/>
        <v>0</v>
      </c>
      <c r="BS251" s="12">
        <f t="shared" ca="1" si="416"/>
        <v>0</v>
      </c>
      <c r="BT251" s="12">
        <f t="shared" ca="1" si="416"/>
        <v>0</v>
      </c>
      <c r="BU251" s="12">
        <f t="shared" ref="BU251:EF251" ca="1" si="417">-SUM(BU245:BU247)*$C$188-BU236</f>
        <v>0</v>
      </c>
      <c r="BV251" s="12">
        <f t="shared" ca="1" si="417"/>
        <v>0</v>
      </c>
      <c r="BW251" s="12">
        <f t="shared" ca="1" si="417"/>
        <v>0</v>
      </c>
      <c r="BX251" s="12">
        <f t="shared" ca="1" si="417"/>
        <v>0</v>
      </c>
      <c r="BY251" s="12">
        <f t="shared" ca="1" si="417"/>
        <v>0</v>
      </c>
      <c r="BZ251" s="12">
        <f t="shared" ca="1" si="417"/>
        <v>0</v>
      </c>
      <c r="CA251" s="12">
        <f t="shared" ca="1" si="417"/>
        <v>0</v>
      </c>
      <c r="CB251" s="12">
        <f t="shared" ca="1" si="417"/>
        <v>0</v>
      </c>
      <c r="CC251" s="12">
        <f t="shared" ca="1" si="417"/>
        <v>0</v>
      </c>
      <c r="CD251" s="12">
        <f t="shared" ca="1" si="417"/>
        <v>0</v>
      </c>
      <c r="CE251" s="12">
        <f t="shared" ca="1" si="417"/>
        <v>0</v>
      </c>
      <c r="CF251" s="12">
        <f t="shared" ca="1" si="417"/>
        <v>0</v>
      </c>
      <c r="CG251" s="12">
        <f t="shared" ca="1" si="417"/>
        <v>0</v>
      </c>
      <c r="CH251" s="12">
        <f t="shared" ca="1" si="417"/>
        <v>0</v>
      </c>
      <c r="CI251" s="12">
        <f t="shared" ca="1" si="417"/>
        <v>0</v>
      </c>
      <c r="CJ251" s="12">
        <f t="shared" ca="1" si="417"/>
        <v>0</v>
      </c>
      <c r="CK251" s="12">
        <f t="shared" ca="1" si="417"/>
        <v>0</v>
      </c>
      <c r="CL251" s="12">
        <f t="shared" ca="1" si="417"/>
        <v>0</v>
      </c>
      <c r="CM251" s="12">
        <f t="shared" ca="1" si="417"/>
        <v>0</v>
      </c>
      <c r="CN251" s="12">
        <f t="shared" ca="1" si="417"/>
        <v>0</v>
      </c>
      <c r="CO251" s="12">
        <f t="shared" ca="1" si="417"/>
        <v>0</v>
      </c>
      <c r="CP251" s="12">
        <f t="shared" ca="1" si="417"/>
        <v>0</v>
      </c>
      <c r="CQ251" s="12">
        <f t="shared" ca="1" si="417"/>
        <v>0</v>
      </c>
      <c r="CR251" s="12">
        <f t="shared" ca="1" si="417"/>
        <v>0</v>
      </c>
      <c r="CS251" s="12">
        <f t="shared" ca="1" si="417"/>
        <v>0</v>
      </c>
      <c r="CT251" s="12">
        <f t="shared" ca="1" si="417"/>
        <v>0</v>
      </c>
      <c r="CU251" s="12">
        <f t="shared" ca="1" si="417"/>
        <v>0</v>
      </c>
      <c r="CV251" s="12">
        <f t="shared" ca="1" si="417"/>
        <v>0</v>
      </c>
      <c r="CW251" s="12">
        <f t="shared" ca="1" si="417"/>
        <v>0</v>
      </c>
      <c r="CX251" s="12">
        <f t="shared" ca="1" si="417"/>
        <v>0</v>
      </c>
      <c r="CY251" s="12">
        <f t="shared" ca="1" si="417"/>
        <v>0</v>
      </c>
      <c r="CZ251" s="12">
        <f t="shared" ca="1" si="417"/>
        <v>0</v>
      </c>
      <c r="DA251" s="12">
        <f t="shared" ca="1" si="417"/>
        <v>0</v>
      </c>
      <c r="DB251" s="12">
        <f t="shared" ca="1" si="417"/>
        <v>0</v>
      </c>
      <c r="DC251" s="12">
        <f t="shared" ca="1" si="417"/>
        <v>0</v>
      </c>
      <c r="DD251" s="12">
        <f t="shared" ca="1" si="417"/>
        <v>0</v>
      </c>
      <c r="DE251" s="12">
        <f t="shared" ca="1" si="417"/>
        <v>0</v>
      </c>
      <c r="DF251" s="12">
        <f t="shared" ca="1" si="417"/>
        <v>0</v>
      </c>
      <c r="DG251" s="12">
        <f t="shared" ca="1" si="417"/>
        <v>0</v>
      </c>
      <c r="DH251" s="12">
        <f t="shared" ca="1" si="417"/>
        <v>0</v>
      </c>
      <c r="DI251" s="12">
        <f t="shared" ca="1" si="417"/>
        <v>0</v>
      </c>
      <c r="DJ251" s="12">
        <f t="shared" ca="1" si="417"/>
        <v>0</v>
      </c>
      <c r="DK251" s="12">
        <f t="shared" ca="1" si="417"/>
        <v>0</v>
      </c>
      <c r="DL251" s="12">
        <f t="shared" ca="1" si="417"/>
        <v>0</v>
      </c>
      <c r="DM251" s="12">
        <f t="shared" ca="1" si="417"/>
        <v>0</v>
      </c>
      <c r="DN251" s="12">
        <f t="shared" ca="1" si="417"/>
        <v>0</v>
      </c>
      <c r="DO251" s="12">
        <f t="shared" ca="1" si="417"/>
        <v>0</v>
      </c>
      <c r="DP251" s="12">
        <f t="shared" ca="1" si="417"/>
        <v>0</v>
      </c>
      <c r="DQ251" s="12">
        <f t="shared" ca="1" si="417"/>
        <v>0</v>
      </c>
      <c r="DR251" s="12">
        <f t="shared" ca="1" si="417"/>
        <v>0</v>
      </c>
      <c r="DS251" s="12">
        <f t="shared" ca="1" si="417"/>
        <v>0</v>
      </c>
      <c r="DT251" s="12">
        <f t="shared" ca="1" si="417"/>
        <v>0</v>
      </c>
      <c r="DU251" s="12">
        <f t="shared" ca="1" si="417"/>
        <v>0</v>
      </c>
      <c r="DV251" s="12">
        <f t="shared" ca="1" si="417"/>
        <v>0</v>
      </c>
      <c r="DW251" s="12">
        <f t="shared" ca="1" si="417"/>
        <v>0</v>
      </c>
      <c r="DX251" s="12">
        <f t="shared" ca="1" si="417"/>
        <v>0</v>
      </c>
      <c r="DY251" s="12">
        <f t="shared" ca="1" si="417"/>
        <v>0</v>
      </c>
      <c r="DZ251" s="12">
        <f t="shared" ca="1" si="417"/>
        <v>0</v>
      </c>
      <c r="EA251" s="12">
        <f t="shared" ca="1" si="417"/>
        <v>0</v>
      </c>
      <c r="EB251" s="12">
        <f t="shared" ca="1" si="417"/>
        <v>0</v>
      </c>
      <c r="EC251" s="12">
        <f t="shared" ca="1" si="417"/>
        <v>0</v>
      </c>
      <c r="ED251" s="12">
        <f t="shared" ca="1" si="417"/>
        <v>0</v>
      </c>
      <c r="EE251" s="12">
        <f t="shared" ca="1" si="417"/>
        <v>0</v>
      </c>
      <c r="EF251" s="12">
        <f t="shared" ca="1" si="417"/>
        <v>0</v>
      </c>
      <c r="EG251" s="12">
        <f ca="1">-SUM(EG245:EG247)*$C$188-EG236</f>
        <v>0</v>
      </c>
      <c r="EH251" s="12">
        <f ca="1">-SUM(EH245:EH247)*$C$188-EH236</f>
        <v>0</v>
      </c>
      <c r="EI251" s="12">
        <f ca="1">-SUM(EI245:EI247)*$C$188-EI236</f>
        <v>0</v>
      </c>
      <c r="EJ251" s="12">
        <f ca="1">-SUM(EJ245:EJ247)*$C$188-EJ236</f>
        <v>0</v>
      </c>
    </row>
    <row r="252" spans="2:140" x14ac:dyDescent="0.4">
      <c r="B252" s="1" t="s">
        <v>130</v>
      </c>
      <c r="H252" s="318">
        <f ca="1">MAX(SUM(H250:H251)/(1-$C242)*$C242,0)</f>
        <v>0</v>
      </c>
      <c r="I252" s="12">
        <f t="shared" ref="I252:BT252" ca="1" si="418">MAX(SUM(I250:I251)/(1-$C242)*$C242,0)</f>
        <v>0</v>
      </c>
      <c r="J252" s="12">
        <f t="shared" ca="1" si="418"/>
        <v>0</v>
      </c>
      <c r="K252" s="12">
        <f t="shared" ca="1" si="418"/>
        <v>0</v>
      </c>
      <c r="L252" s="12">
        <f t="shared" ca="1" si="418"/>
        <v>0</v>
      </c>
      <c r="M252" s="12">
        <f t="shared" ca="1" si="418"/>
        <v>0</v>
      </c>
      <c r="N252" s="12">
        <f t="shared" ca="1" si="418"/>
        <v>0</v>
      </c>
      <c r="O252" s="12">
        <f t="shared" ca="1" si="418"/>
        <v>0</v>
      </c>
      <c r="P252" s="12">
        <f t="shared" ca="1" si="418"/>
        <v>0</v>
      </c>
      <c r="Q252" s="12">
        <f t="shared" ca="1" si="418"/>
        <v>0</v>
      </c>
      <c r="R252" s="12">
        <f t="shared" ca="1" si="418"/>
        <v>0</v>
      </c>
      <c r="S252" s="12">
        <f t="shared" ca="1" si="418"/>
        <v>0</v>
      </c>
      <c r="T252" s="12">
        <f t="shared" ca="1" si="418"/>
        <v>0</v>
      </c>
      <c r="U252" s="12">
        <f t="shared" ca="1" si="418"/>
        <v>0</v>
      </c>
      <c r="V252" s="12">
        <f t="shared" ca="1" si="418"/>
        <v>0</v>
      </c>
      <c r="W252" s="12">
        <f t="shared" ca="1" si="418"/>
        <v>0</v>
      </c>
      <c r="X252" s="12">
        <f t="shared" ca="1" si="418"/>
        <v>0</v>
      </c>
      <c r="Y252" s="12">
        <f t="shared" ca="1" si="418"/>
        <v>0</v>
      </c>
      <c r="Z252" s="12">
        <f t="shared" ca="1" si="418"/>
        <v>0</v>
      </c>
      <c r="AA252" s="12">
        <f t="shared" ca="1" si="418"/>
        <v>0</v>
      </c>
      <c r="AB252" s="12">
        <f t="shared" ca="1" si="418"/>
        <v>0</v>
      </c>
      <c r="AC252" s="12">
        <f t="shared" ca="1" si="418"/>
        <v>0</v>
      </c>
      <c r="AD252" s="12">
        <f t="shared" ca="1" si="418"/>
        <v>0</v>
      </c>
      <c r="AE252" s="12">
        <f t="shared" ca="1" si="418"/>
        <v>0</v>
      </c>
      <c r="AF252" s="12">
        <f t="shared" ca="1" si="418"/>
        <v>0</v>
      </c>
      <c r="AG252" s="12">
        <f t="shared" ca="1" si="418"/>
        <v>0</v>
      </c>
      <c r="AH252" s="12">
        <f t="shared" ca="1" si="418"/>
        <v>0</v>
      </c>
      <c r="AI252" s="12">
        <f t="shared" ca="1" si="418"/>
        <v>0</v>
      </c>
      <c r="AJ252" s="12">
        <f t="shared" ca="1" si="418"/>
        <v>0</v>
      </c>
      <c r="AK252" s="12">
        <f t="shared" ca="1" si="418"/>
        <v>0</v>
      </c>
      <c r="AL252" s="12">
        <f t="shared" ca="1" si="418"/>
        <v>0</v>
      </c>
      <c r="AM252" s="12">
        <f t="shared" ca="1" si="418"/>
        <v>0</v>
      </c>
      <c r="AN252" s="12">
        <f t="shared" ca="1" si="418"/>
        <v>0</v>
      </c>
      <c r="AO252" s="12">
        <f t="shared" ca="1" si="418"/>
        <v>0</v>
      </c>
      <c r="AP252" s="12">
        <f t="shared" ca="1" si="418"/>
        <v>0</v>
      </c>
      <c r="AQ252" s="12">
        <f t="shared" ca="1" si="418"/>
        <v>0</v>
      </c>
      <c r="AR252" s="12">
        <f t="shared" ca="1" si="418"/>
        <v>1177053.5610076622</v>
      </c>
      <c r="AS252" s="12">
        <f t="shared" ca="1" si="418"/>
        <v>0</v>
      </c>
      <c r="AT252" s="12">
        <f t="shared" ca="1" si="418"/>
        <v>0</v>
      </c>
      <c r="AU252" s="12">
        <f t="shared" ca="1" si="418"/>
        <v>0</v>
      </c>
      <c r="AV252" s="12">
        <f t="shared" ca="1" si="418"/>
        <v>0</v>
      </c>
      <c r="AW252" s="12">
        <f t="shared" ca="1" si="418"/>
        <v>0</v>
      </c>
      <c r="AX252" s="12">
        <f t="shared" ca="1" si="418"/>
        <v>0</v>
      </c>
      <c r="AY252" s="12">
        <f t="shared" ca="1" si="418"/>
        <v>0</v>
      </c>
      <c r="AZ252" s="12">
        <f t="shared" ca="1" si="418"/>
        <v>0</v>
      </c>
      <c r="BA252" s="12">
        <f t="shared" ca="1" si="418"/>
        <v>0</v>
      </c>
      <c r="BB252" s="12">
        <f t="shared" ca="1" si="418"/>
        <v>0</v>
      </c>
      <c r="BC252" s="12">
        <f t="shared" ca="1" si="418"/>
        <v>0</v>
      </c>
      <c r="BD252" s="12">
        <f t="shared" ca="1" si="418"/>
        <v>0</v>
      </c>
      <c r="BE252" s="12">
        <f t="shared" ca="1" si="418"/>
        <v>0</v>
      </c>
      <c r="BF252" s="12">
        <f t="shared" ca="1" si="418"/>
        <v>0</v>
      </c>
      <c r="BG252" s="12">
        <f t="shared" ca="1" si="418"/>
        <v>0</v>
      </c>
      <c r="BH252" s="12">
        <f t="shared" ca="1" si="418"/>
        <v>0</v>
      </c>
      <c r="BI252" s="12">
        <f t="shared" ca="1" si="418"/>
        <v>0</v>
      </c>
      <c r="BJ252" s="12">
        <f t="shared" ca="1" si="418"/>
        <v>0</v>
      </c>
      <c r="BK252" s="12">
        <f t="shared" ca="1" si="418"/>
        <v>0</v>
      </c>
      <c r="BL252" s="12">
        <f t="shared" ca="1" si="418"/>
        <v>0</v>
      </c>
      <c r="BM252" s="12">
        <f t="shared" ca="1" si="418"/>
        <v>0</v>
      </c>
      <c r="BN252" s="12">
        <f t="shared" ca="1" si="418"/>
        <v>0</v>
      </c>
      <c r="BO252" s="12">
        <f t="shared" ca="1" si="418"/>
        <v>0</v>
      </c>
      <c r="BP252" s="12">
        <f t="shared" ca="1" si="418"/>
        <v>0</v>
      </c>
      <c r="BQ252" s="12">
        <f t="shared" ca="1" si="418"/>
        <v>0</v>
      </c>
      <c r="BR252" s="12">
        <f t="shared" ca="1" si="418"/>
        <v>0</v>
      </c>
      <c r="BS252" s="12">
        <f t="shared" ca="1" si="418"/>
        <v>0</v>
      </c>
      <c r="BT252" s="12">
        <f t="shared" ca="1" si="418"/>
        <v>0</v>
      </c>
      <c r="BU252" s="12">
        <f t="shared" ref="BU252:EF252" ca="1" si="419">MAX(SUM(BU250:BU251)/(1-$C242)*$C242,0)</f>
        <v>0</v>
      </c>
      <c r="BV252" s="12">
        <f t="shared" ca="1" si="419"/>
        <v>0</v>
      </c>
      <c r="BW252" s="12">
        <f t="shared" ca="1" si="419"/>
        <v>0</v>
      </c>
      <c r="BX252" s="12">
        <f t="shared" ca="1" si="419"/>
        <v>0</v>
      </c>
      <c r="BY252" s="12">
        <f t="shared" ca="1" si="419"/>
        <v>0</v>
      </c>
      <c r="BZ252" s="12">
        <f t="shared" ca="1" si="419"/>
        <v>0</v>
      </c>
      <c r="CA252" s="12">
        <f t="shared" ca="1" si="419"/>
        <v>0</v>
      </c>
      <c r="CB252" s="12">
        <f t="shared" ca="1" si="419"/>
        <v>0</v>
      </c>
      <c r="CC252" s="12">
        <f t="shared" ca="1" si="419"/>
        <v>0</v>
      </c>
      <c r="CD252" s="12">
        <f t="shared" ca="1" si="419"/>
        <v>0</v>
      </c>
      <c r="CE252" s="12">
        <f t="shared" ca="1" si="419"/>
        <v>0</v>
      </c>
      <c r="CF252" s="12">
        <f t="shared" ca="1" si="419"/>
        <v>0</v>
      </c>
      <c r="CG252" s="12">
        <f t="shared" ca="1" si="419"/>
        <v>0</v>
      </c>
      <c r="CH252" s="12">
        <f t="shared" ca="1" si="419"/>
        <v>0</v>
      </c>
      <c r="CI252" s="12">
        <f t="shared" ca="1" si="419"/>
        <v>0</v>
      </c>
      <c r="CJ252" s="12">
        <f t="shared" ca="1" si="419"/>
        <v>0</v>
      </c>
      <c r="CK252" s="12">
        <f t="shared" ca="1" si="419"/>
        <v>0</v>
      </c>
      <c r="CL252" s="12">
        <f t="shared" ca="1" si="419"/>
        <v>0</v>
      </c>
      <c r="CM252" s="12">
        <f t="shared" ca="1" si="419"/>
        <v>0</v>
      </c>
      <c r="CN252" s="12">
        <f t="shared" ca="1" si="419"/>
        <v>0</v>
      </c>
      <c r="CO252" s="12">
        <f t="shared" ca="1" si="419"/>
        <v>0</v>
      </c>
      <c r="CP252" s="12">
        <f t="shared" ca="1" si="419"/>
        <v>0</v>
      </c>
      <c r="CQ252" s="12">
        <f t="shared" ca="1" si="419"/>
        <v>0</v>
      </c>
      <c r="CR252" s="12">
        <f t="shared" ca="1" si="419"/>
        <v>0</v>
      </c>
      <c r="CS252" s="12">
        <f t="shared" ca="1" si="419"/>
        <v>0</v>
      </c>
      <c r="CT252" s="12">
        <f t="shared" ca="1" si="419"/>
        <v>0</v>
      </c>
      <c r="CU252" s="12">
        <f t="shared" ca="1" si="419"/>
        <v>0</v>
      </c>
      <c r="CV252" s="12">
        <f t="shared" ca="1" si="419"/>
        <v>0</v>
      </c>
      <c r="CW252" s="12">
        <f t="shared" ca="1" si="419"/>
        <v>0</v>
      </c>
      <c r="CX252" s="12">
        <f t="shared" ca="1" si="419"/>
        <v>0</v>
      </c>
      <c r="CY252" s="12">
        <f t="shared" ca="1" si="419"/>
        <v>0</v>
      </c>
      <c r="CZ252" s="12">
        <f t="shared" ca="1" si="419"/>
        <v>0</v>
      </c>
      <c r="DA252" s="12">
        <f t="shared" ca="1" si="419"/>
        <v>0</v>
      </c>
      <c r="DB252" s="12">
        <f t="shared" ca="1" si="419"/>
        <v>0</v>
      </c>
      <c r="DC252" s="12">
        <f t="shared" ca="1" si="419"/>
        <v>0</v>
      </c>
      <c r="DD252" s="12">
        <f t="shared" ca="1" si="419"/>
        <v>0</v>
      </c>
      <c r="DE252" s="12">
        <f t="shared" ca="1" si="419"/>
        <v>0</v>
      </c>
      <c r="DF252" s="12">
        <f t="shared" ca="1" si="419"/>
        <v>0</v>
      </c>
      <c r="DG252" s="12">
        <f t="shared" ca="1" si="419"/>
        <v>0</v>
      </c>
      <c r="DH252" s="12">
        <f t="shared" ca="1" si="419"/>
        <v>0</v>
      </c>
      <c r="DI252" s="12">
        <f t="shared" ca="1" si="419"/>
        <v>0</v>
      </c>
      <c r="DJ252" s="12">
        <f t="shared" ca="1" si="419"/>
        <v>0</v>
      </c>
      <c r="DK252" s="12">
        <f t="shared" ca="1" si="419"/>
        <v>0</v>
      </c>
      <c r="DL252" s="12">
        <f t="shared" ca="1" si="419"/>
        <v>0</v>
      </c>
      <c r="DM252" s="12">
        <f t="shared" ca="1" si="419"/>
        <v>0</v>
      </c>
      <c r="DN252" s="12">
        <f t="shared" ca="1" si="419"/>
        <v>0</v>
      </c>
      <c r="DO252" s="12">
        <f t="shared" ca="1" si="419"/>
        <v>0</v>
      </c>
      <c r="DP252" s="12">
        <f t="shared" ca="1" si="419"/>
        <v>0</v>
      </c>
      <c r="DQ252" s="12">
        <f t="shared" ca="1" si="419"/>
        <v>0</v>
      </c>
      <c r="DR252" s="12">
        <f t="shared" ca="1" si="419"/>
        <v>0</v>
      </c>
      <c r="DS252" s="12">
        <f t="shared" ca="1" si="419"/>
        <v>0</v>
      </c>
      <c r="DT252" s="12">
        <f t="shared" ca="1" si="419"/>
        <v>0</v>
      </c>
      <c r="DU252" s="12">
        <f t="shared" ca="1" si="419"/>
        <v>0</v>
      </c>
      <c r="DV252" s="12">
        <f t="shared" ca="1" si="419"/>
        <v>0</v>
      </c>
      <c r="DW252" s="12">
        <f t="shared" ca="1" si="419"/>
        <v>0</v>
      </c>
      <c r="DX252" s="12">
        <f t="shared" ca="1" si="419"/>
        <v>0</v>
      </c>
      <c r="DY252" s="12">
        <f t="shared" ca="1" si="419"/>
        <v>0</v>
      </c>
      <c r="DZ252" s="12">
        <f t="shared" ca="1" si="419"/>
        <v>0</v>
      </c>
      <c r="EA252" s="12">
        <f t="shared" ca="1" si="419"/>
        <v>0</v>
      </c>
      <c r="EB252" s="12">
        <f t="shared" ca="1" si="419"/>
        <v>0</v>
      </c>
      <c r="EC252" s="12">
        <f t="shared" ca="1" si="419"/>
        <v>0</v>
      </c>
      <c r="ED252" s="12">
        <f t="shared" ca="1" si="419"/>
        <v>0</v>
      </c>
      <c r="EE252" s="12">
        <f t="shared" ca="1" si="419"/>
        <v>0</v>
      </c>
      <c r="EF252" s="12">
        <f t="shared" ca="1" si="419"/>
        <v>0</v>
      </c>
      <c r="EG252" s="12">
        <f ca="1">MAX(SUM(EG250:EG251)/(1-$C242)*$C242,0)</f>
        <v>0</v>
      </c>
      <c r="EH252" s="12">
        <f ca="1">MAX(SUM(EH250:EH251)/(1-$C242)*$C242,0)</f>
        <v>0</v>
      </c>
      <c r="EI252" s="12">
        <f ca="1">MAX(SUM(EI250:EI251)/(1-$C242)*$C242,0)</f>
        <v>0</v>
      </c>
      <c r="EJ252" s="12">
        <f ca="1">MAX(SUM(EJ250:EJ251)/(1-$C242)*$C242,0)</f>
        <v>0</v>
      </c>
    </row>
    <row r="253" spans="2:140" x14ac:dyDescent="0.4">
      <c r="H253" s="316"/>
    </row>
    <row r="254" spans="2:140" x14ac:dyDescent="0.4">
      <c r="B254" s="1" t="s">
        <v>110</v>
      </c>
      <c r="C254" s="320" t="str">
        <f ca="1">IF(ROUND(XIRR(H254:EJ254,$H$6:$EJ$6),3)=C241,"Ok","Check")</f>
        <v>Check</v>
      </c>
      <c r="H254" s="318">
        <f ca="1">H250+H235</f>
        <v>-5490000</v>
      </c>
      <c r="I254" s="12">
        <f t="shared" ref="I254:BT256" ca="1" si="420">I250+I235</f>
        <v>0</v>
      </c>
      <c r="J254" s="12">
        <f t="shared" ca="1" si="420"/>
        <v>0</v>
      </c>
      <c r="K254" s="12">
        <f t="shared" ca="1" si="420"/>
        <v>-324450</v>
      </c>
      <c r="L254" s="12">
        <f t="shared" ca="1" si="420"/>
        <v>-324450</v>
      </c>
      <c r="M254" s="12">
        <f t="shared" ca="1" si="420"/>
        <v>-324450</v>
      </c>
      <c r="N254" s="12">
        <f t="shared" ca="1" si="420"/>
        <v>-324450</v>
      </c>
      <c r="O254" s="12">
        <f t="shared" ca="1" si="420"/>
        <v>-2827575</v>
      </c>
      <c r="P254" s="12">
        <f t="shared" ca="1" si="420"/>
        <v>-2827575</v>
      </c>
      <c r="Q254" s="12">
        <f t="shared" ca="1" si="420"/>
        <v>-2827575</v>
      </c>
      <c r="R254" s="12">
        <f t="shared" ca="1" si="420"/>
        <v>-1600604.9994850091</v>
      </c>
      <c r="S254" s="12">
        <f t="shared" ca="1" si="420"/>
        <v>0</v>
      </c>
      <c r="T254" s="12">
        <f t="shared" ca="1" si="420"/>
        <v>0</v>
      </c>
      <c r="U254" s="12">
        <f t="shared" ca="1" si="420"/>
        <v>0</v>
      </c>
      <c r="V254" s="12">
        <f t="shared" ca="1" si="420"/>
        <v>0</v>
      </c>
      <c r="W254" s="12">
        <f t="shared" ca="1" si="420"/>
        <v>0</v>
      </c>
      <c r="X254" s="12">
        <f t="shared" ca="1" si="420"/>
        <v>0</v>
      </c>
      <c r="Y254" s="12">
        <f t="shared" ca="1" si="420"/>
        <v>-3375</v>
      </c>
      <c r="Z254" s="12">
        <f t="shared" ca="1" si="420"/>
        <v>1963.9034777278082</v>
      </c>
      <c r="AA254" s="12">
        <f t="shared" ca="1" si="420"/>
        <v>32437.528027416487</v>
      </c>
      <c r="AB254" s="12">
        <f t="shared" ca="1" si="420"/>
        <v>63012.71649531713</v>
      </c>
      <c r="AC254" s="12">
        <f t="shared" ca="1" si="420"/>
        <v>93689.722778865704</v>
      </c>
      <c r="AD254" s="12">
        <f t="shared" ca="1" si="420"/>
        <v>124468.80133969621</v>
      </c>
      <c r="AE254" s="12">
        <f t="shared" ca="1" si="420"/>
        <v>14412.007204846086</v>
      </c>
      <c r="AF254" s="12">
        <f t="shared" ca="1" si="420"/>
        <v>40551.42596786948</v>
      </c>
      <c r="AG254" s="12">
        <f t="shared" ca="1" si="420"/>
        <v>78194.739026057461</v>
      </c>
      <c r="AH254" s="12">
        <f t="shared" ca="1" si="420"/>
        <v>124378.38420954735</v>
      </c>
      <c r="AI254" s="12">
        <f t="shared" ca="1" si="420"/>
        <v>110743.84759994449</v>
      </c>
      <c r="AJ254" s="12">
        <f t="shared" ca="1" si="420"/>
        <v>115972.83865820078</v>
      </c>
      <c r="AK254" s="12">
        <f t="shared" ca="1" si="420"/>
        <v>111808.29151983473</v>
      </c>
      <c r="AL254" s="12">
        <f t="shared" ca="1" si="420"/>
        <v>117085.88033073113</v>
      </c>
      <c r="AM254" s="12">
        <f t="shared" ca="1" si="420"/>
        <v>112914.38924716647</v>
      </c>
      <c r="AN254" s="12">
        <f t="shared" ca="1" si="420"/>
        <v>144358.31152053524</v>
      </c>
      <c r="AO254" s="12">
        <f t="shared" ca="1" si="420"/>
        <v>149754.92405628873</v>
      </c>
      <c r="AP254" s="12">
        <f t="shared" ca="1" si="420"/>
        <v>145670.98200626823</v>
      </c>
      <c r="AQ254" s="12">
        <f t="shared" ca="1" si="420"/>
        <v>151104.53005052253</v>
      </c>
      <c r="AR254" s="12">
        <f t="shared" ca="1" si="420"/>
        <v>26591548.55486843</v>
      </c>
      <c r="AS254" s="12">
        <f t="shared" ca="1" si="420"/>
        <v>0</v>
      </c>
      <c r="AT254" s="12">
        <f t="shared" ca="1" si="420"/>
        <v>0</v>
      </c>
      <c r="AU254" s="12">
        <f t="shared" ca="1" si="420"/>
        <v>0</v>
      </c>
      <c r="AV254" s="12">
        <f t="shared" ca="1" si="420"/>
        <v>0</v>
      </c>
      <c r="AW254" s="12">
        <f t="shared" ca="1" si="420"/>
        <v>0</v>
      </c>
      <c r="AX254" s="12">
        <f t="shared" ca="1" si="420"/>
        <v>0</v>
      </c>
      <c r="AY254" s="12">
        <f t="shared" ca="1" si="420"/>
        <v>0</v>
      </c>
      <c r="AZ254" s="12">
        <f t="shared" ca="1" si="420"/>
        <v>0</v>
      </c>
      <c r="BA254" s="12">
        <f t="shared" ca="1" si="420"/>
        <v>0</v>
      </c>
      <c r="BB254" s="12">
        <f t="shared" ca="1" si="420"/>
        <v>0</v>
      </c>
      <c r="BC254" s="12">
        <f t="shared" ca="1" si="420"/>
        <v>0</v>
      </c>
      <c r="BD254" s="12">
        <f t="shared" ca="1" si="420"/>
        <v>0</v>
      </c>
      <c r="BE254" s="12">
        <f t="shared" ca="1" si="420"/>
        <v>0</v>
      </c>
      <c r="BF254" s="12">
        <f t="shared" ca="1" si="420"/>
        <v>0</v>
      </c>
      <c r="BG254" s="12">
        <f t="shared" ca="1" si="420"/>
        <v>0</v>
      </c>
      <c r="BH254" s="12">
        <f t="shared" ca="1" si="420"/>
        <v>0</v>
      </c>
      <c r="BI254" s="12">
        <f t="shared" ca="1" si="420"/>
        <v>0</v>
      </c>
      <c r="BJ254" s="12">
        <f t="shared" ca="1" si="420"/>
        <v>0</v>
      </c>
      <c r="BK254" s="12">
        <f t="shared" ca="1" si="420"/>
        <v>0</v>
      </c>
      <c r="BL254" s="12">
        <f t="shared" ca="1" si="420"/>
        <v>0</v>
      </c>
      <c r="BM254" s="12">
        <f t="shared" ca="1" si="420"/>
        <v>0</v>
      </c>
      <c r="BN254" s="12">
        <f t="shared" ca="1" si="420"/>
        <v>0</v>
      </c>
      <c r="BO254" s="12">
        <f t="shared" ca="1" si="420"/>
        <v>0</v>
      </c>
      <c r="BP254" s="12">
        <f t="shared" ca="1" si="420"/>
        <v>0</v>
      </c>
      <c r="BQ254" s="12">
        <f t="shared" ca="1" si="420"/>
        <v>0</v>
      </c>
      <c r="BR254" s="12">
        <f t="shared" ca="1" si="420"/>
        <v>0</v>
      </c>
      <c r="BS254" s="12">
        <f t="shared" ca="1" si="420"/>
        <v>0</v>
      </c>
      <c r="BT254" s="12">
        <f t="shared" ca="1" si="420"/>
        <v>0</v>
      </c>
      <c r="BU254" s="12">
        <f t="shared" ref="BU254:EF256" ca="1" si="421">BU250+BU235</f>
        <v>0</v>
      </c>
      <c r="BV254" s="12">
        <f t="shared" ca="1" si="421"/>
        <v>0</v>
      </c>
      <c r="BW254" s="12">
        <f t="shared" ca="1" si="421"/>
        <v>0</v>
      </c>
      <c r="BX254" s="12">
        <f t="shared" ca="1" si="421"/>
        <v>0</v>
      </c>
      <c r="BY254" s="12">
        <f t="shared" ca="1" si="421"/>
        <v>0</v>
      </c>
      <c r="BZ254" s="12">
        <f t="shared" ca="1" si="421"/>
        <v>0</v>
      </c>
      <c r="CA254" s="12">
        <f t="shared" ca="1" si="421"/>
        <v>0</v>
      </c>
      <c r="CB254" s="12">
        <f t="shared" ca="1" si="421"/>
        <v>0</v>
      </c>
      <c r="CC254" s="12">
        <f t="shared" ca="1" si="421"/>
        <v>0</v>
      </c>
      <c r="CD254" s="12">
        <f t="shared" ca="1" si="421"/>
        <v>0</v>
      </c>
      <c r="CE254" s="12">
        <f t="shared" ca="1" si="421"/>
        <v>0</v>
      </c>
      <c r="CF254" s="12">
        <f t="shared" ca="1" si="421"/>
        <v>0</v>
      </c>
      <c r="CG254" s="12">
        <f t="shared" ca="1" si="421"/>
        <v>0</v>
      </c>
      <c r="CH254" s="12">
        <f t="shared" ca="1" si="421"/>
        <v>0</v>
      </c>
      <c r="CI254" s="12">
        <f t="shared" ca="1" si="421"/>
        <v>0</v>
      </c>
      <c r="CJ254" s="12">
        <f t="shared" ca="1" si="421"/>
        <v>0</v>
      </c>
      <c r="CK254" s="12">
        <f t="shared" ca="1" si="421"/>
        <v>0</v>
      </c>
      <c r="CL254" s="12">
        <f t="shared" ca="1" si="421"/>
        <v>0</v>
      </c>
      <c r="CM254" s="12">
        <f t="shared" ca="1" si="421"/>
        <v>0</v>
      </c>
      <c r="CN254" s="12">
        <f t="shared" ca="1" si="421"/>
        <v>0</v>
      </c>
      <c r="CO254" s="12">
        <f t="shared" ca="1" si="421"/>
        <v>0</v>
      </c>
      <c r="CP254" s="12">
        <f t="shared" ca="1" si="421"/>
        <v>0</v>
      </c>
      <c r="CQ254" s="12">
        <f t="shared" ca="1" si="421"/>
        <v>0</v>
      </c>
      <c r="CR254" s="12">
        <f t="shared" ca="1" si="421"/>
        <v>0</v>
      </c>
      <c r="CS254" s="12">
        <f t="shared" ca="1" si="421"/>
        <v>0</v>
      </c>
      <c r="CT254" s="12">
        <f t="shared" ca="1" si="421"/>
        <v>0</v>
      </c>
      <c r="CU254" s="12">
        <f t="shared" ca="1" si="421"/>
        <v>0</v>
      </c>
      <c r="CV254" s="12">
        <f t="shared" ca="1" si="421"/>
        <v>0</v>
      </c>
      <c r="CW254" s="12">
        <f t="shared" ca="1" si="421"/>
        <v>0</v>
      </c>
      <c r="CX254" s="12">
        <f t="shared" ca="1" si="421"/>
        <v>0</v>
      </c>
      <c r="CY254" s="12">
        <f t="shared" ca="1" si="421"/>
        <v>0</v>
      </c>
      <c r="CZ254" s="12">
        <f t="shared" ca="1" si="421"/>
        <v>0</v>
      </c>
      <c r="DA254" s="12">
        <f t="shared" ca="1" si="421"/>
        <v>0</v>
      </c>
      <c r="DB254" s="12">
        <f t="shared" ca="1" si="421"/>
        <v>0</v>
      </c>
      <c r="DC254" s="12">
        <f t="shared" ca="1" si="421"/>
        <v>0</v>
      </c>
      <c r="DD254" s="12">
        <f t="shared" ca="1" si="421"/>
        <v>0</v>
      </c>
      <c r="DE254" s="12">
        <f t="shared" ca="1" si="421"/>
        <v>0</v>
      </c>
      <c r="DF254" s="12">
        <f t="shared" ca="1" si="421"/>
        <v>0</v>
      </c>
      <c r="DG254" s="12">
        <f t="shared" ca="1" si="421"/>
        <v>0</v>
      </c>
      <c r="DH254" s="12">
        <f t="shared" ca="1" si="421"/>
        <v>0</v>
      </c>
      <c r="DI254" s="12">
        <f t="shared" ca="1" si="421"/>
        <v>0</v>
      </c>
      <c r="DJ254" s="12">
        <f t="shared" ca="1" si="421"/>
        <v>0</v>
      </c>
      <c r="DK254" s="12">
        <f t="shared" ca="1" si="421"/>
        <v>0</v>
      </c>
      <c r="DL254" s="12">
        <f t="shared" ca="1" si="421"/>
        <v>0</v>
      </c>
      <c r="DM254" s="12">
        <f t="shared" ca="1" si="421"/>
        <v>0</v>
      </c>
      <c r="DN254" s="12">
        <f t="shared" ca="1" si="421"/>
        <v>0</v>
      </c>
      <c r="DO254" s="12">
        <f t="shared" ca="1" si="421"/>
        <v>0</v>
      </c>
      <c r="DP254" s="12">
        <f t="shared" ca="1" si="421"/>
        <v>0</v>
      </c>
      <c r="DQ254" s="12">
        <f t="shared" ca="1" si="421"/>
        <v>0</v>
      </c>
      <c r="DR254" s="12">
        <f t="shared" ca="1" si="421"/>
        <v>0</v>
      </c>
      <c r="DS254" s="12">
        <f t="shared" ca="1" si="421"/>
        <v>0</v>
      </c>
      <c r="DT254" s="12">
        <f t="shared" ca="1" si="421"/>
        <v>0</v>
      </c>
      <c r="DU254" s="12">
        <f t="shared" ca="1" si="421"/>
        <v>0</v>
      </c>
      <c r="DV254" s="12">
        <f t="shared" ca="1" si="421"/>
        <v>0</v>
      </c>
      <c r="DW254" s="12">
        <f t="shared" ca="1" si="421"/>
        <v>0</v>
      </c>
      <c r="DX254" s="12">
        <f t="shared" ca="1" si="421"/>
        <v>0</v>
      </c>
      <c r="DY254" s="12">
        <f t="shared" ca="1" si="421"/>
        <v>0</v>
      </c>
      <c r="DZ254" s="12">
        <f t="shared" ca="1" si="421"/>
        <v>0</v>
      </c>
      <c r="EA254" s="12">
        <f t="shared" ca="1" si="421"/>
        <v>0</v>
      </c>
      <c r="EB254" s="12">
        <f t="shared" ca="1" si="421"/>
        <v>0</v>
      </c>
      <c r="EC254" s="12">
        <f t="shared" ca="1" si="421"/>
        <v>0</v>
      </c>
      <c r="ED254" s="12">
        <f t="shared" ca="1" si="421"/>
        <v>0</v>
      </c>
      <c r="EE254" s="12">
        <f t="shared" ca="1" si="421"/>
        <v>0</v>
      </c>
      <c r="EF254" s="12">
        <f t="shared" ca="1" si="421"/>
        <v>0</v>
      </c>
      <c r="EG254" s="12">
        <f t="shared" ref="EG254:EJ256" ca="1" si="422">EG250+EG235</f>
        <v>0</v>
      </c>
      <c r="EH254" s="12">
        <f t="shared" ca="1" si="422"/>
        <v>0</v>
      </c>
      <c r="EI254" s="12">
        <f t="shared" ca="1" si="422"/>
        <v>0</v>
      </c>
      <c r="EJ254" s="12">
        <f t="shared" ca="1" si="422"/>
        <v>0</v>
      </c>
    </row>
    <row r="255" spans="2:140" x14ac:dyDescent="0.4">
      <c r="B255" s="1" t="s">
        <v>114</v>
      </c>
      <c r="C255" s="320" t="str">
        <f ca="1">IF(ROUND(XIRR(H255:EJ255,$H$6:$EJ$6),3)=C241,"Ok","Check")</f>
        <v>Check</v>
      </c>
      <c r="H255" s="318">
        <f ca="1">H251+H236</f>
        <v>-610000</v>
      </c>
      <c r="I255" s="12">
        <f t="shared" ca="1" si="420"/>
        <v>0</v>
      </c>
      <c r="J255" s="12">
        <f t="shared" ca="1" si="420"/>
        <v>0</v>
      </c>
      <c r="K255" s="12">
        <f t="shared" ca="1" si="420"/>
        <v>-36050</v>
      </c>
      <c r="L255" s="12">
        <f t="shared" ca="1" si="420"/>
        <v>-36050</v>
      </c>
      <c r="M255" s="12">
        <f t="shared" ca="1" si="420"/>
        <v>-36050</v>
      </c>
      <c r="N255" s="12">
        <f t="shared" ca="1" si="420"/>
        <v>-36050</v>
      </c>
      <c r="O255" s="12">
        <f t="shared" ca="1" si="420"/>
        <v>-314175</v>
      </c>
      <c r="P255" s="12">
        <f t="shared" ca="1" si="420"/>
        <v>-314175</v>
      </c>
      <c r="Q255" s="12">
        <f t="shared" ca="1" si="420"/>
        <v>-314175</v>
      </c>
      <c r="R255" s="12">
        <f t="shared" ca="1" si="420"/>
        <v>-177844.99994277881</v>
      </c>
      <c r="S255" s="12">
        <f t="shared" ca="1" si="420"/>
        <v>0</v>
      </c>
      <c r="T255" s="12">
        <f t="shared" ca="1" si="420"/>
        <v>0</v>
      </c>
      <c r="U255" s="12">
        <f t="shared" ca="1" si="420"/>
        <v>0</v>
      </c>
      <c r="V255" s="12">
        <f t="shared" ca="1" si="420"/>
        <v>0</v>
      </c>
      <c r="W255" s="12">
        <f t="shared" ca="1" si="420"/>
        <v>0</v>
      </c>
      <c r="X255" s="12">
        <f t="shared" ca="1" si="420"/>
        <v>0</v>
      </c>
      <c r="Y255" s="12">
        <f t="shared" ca="1" si="420"/>
        <v>-375</v>
      </c>
      <c r="Z255" s="12">
        <f t="shared" ca="1" si="420"/>
        <v>218.21149752531201</v>
      </c>
      <c r="AA255" s="12">
        <f t="shared" ca="1" si="420"/>
        <v>3604.1697808240542</v>
      </c>
      <c r="AB255" s="12">
        <f t="shared" ca="1" si="420"/>
        <v>7001.412943924126</v>
      </c>
      <c r="AC255" s="12">
        <f t="shared" ca="1" si="420"/>
        <v>10409.969197651744</v>
      </c>
      <c r="AD255" s="12">
        <f t="shared" ca="1" si="420"/>
        <v>13829.866815521802</v>
      </c>
      <c r="AE255" s="12">
        <f t="shared" ca="1" si="420"/>
        <v>1601.3341338717873</v>
      </c>
      <c r="AF255" s="12">
        <f t="shared" ca="1" si="420"/>
        <v>4505.7139964299422</v>
      </c>
      <c r="AG255" s="12">
        <f t="shared" ca="1" si="420"/>
        <v>8688.3043362286062</v>
      </c>
      <c r="AH255" s="12">
        <f t="shared" ca="1" si="420"/>
        <v>13819.820467727484</v>
      </c>
      <c r="AI255" s="12">
        <f t="shared" ca="1" si="420"/>
        <v>12304.871955549388</v>
      </c>
      <c r="AJ255" s="12">
        <f t="shared" ca="1" si="420"/>
        <v>12885.870962022309</v>
      </c>
      <c r="AK255" s="12">
        <f t="shared" ca="1" si="420"/>
        <v>12423.143502203859</v>
      </c>
      <c r="AL255" s="12">
        <f t="shared" ca="1" si="420"/>
        <v>13009.542258970127</v>
      </c>
      <c r="AM255" s="12">
        <f t="shared" ca="1" si="420"/>
        <v>12546.043249685164</v>
      </c>
      <c r="AN255" s="12">
        <f t="shared" ca="1" si="420"/>
        <v>16039.812391170581</v>
      </c>
      <c r="AO255" s="12">
        <f t="shared" ca="1" si="420"/>
        <v>16639.436006254306</v>
      </c>
      <c r="AP255" s="12">
        <f t="shared" ca="1" si="420"/>
        <v>16185.664667363137</v>
      </c>
      <c r="AQ255" s="12">
        <f t="shared" ca="1" si="420"/>
        <v>16789.392227835837</v>
      </c>
      <c r="AR255" s="12">
        <f t="shared" ca="1" si="420"/>
        <v>2954616.5060964925</v>
      </c>
      <c r="AS255" s="12">
        <f t="shared" ca="1" si="420"/>
        <v>0</v>
      </c>
      <c r="AT255" s="12">
        <f t="shared" ca="1" si="420"/>
        <v>0</v>
      </c>
      <c r="AU255" s="12">
        <f t="shared" ca="1" si="420"/>
        <v>0</v>
      </c>
      <c r="AV255" s="12">
        <f t="shared" ca="1" si="420"/>
        <v>0</v>
      </c>
      <c r="AW255" s="12">
        <f t="shared" ca="1" si="420"/>
        <v>0</v>
      </c>
      <c r="AX255" s="12">
        <f t="shared" ca="1" si="420"/>
        <v>0</v>
      </c>
      <c r="AY255" s="12">
        <f t="shared" ca="1" si="420"/>
        <v>0</v>
      </c>
      <c r="AZ255" s="12">
        <f t="shared" ca="1" si="420"/>
        <v>0</v>
      </c>
      <c r="BA255" s="12">
        <f t="shared" ca="1" si="420"/>
        <v>0</v>
      </c>
      <c r="BB255" s="12">
        <f t="shared" ca="1" si="420"/>
        <v>0</v>
      </c>
      <c r="BC255" s="12">
        <f t="shared" ca="1" si="420"/>
        <v>0</v>
      </c>
      <c r="BD255" s="12">
        <f t="shared" ca="1" si="420"/>
        <v>0</v>
      </c>
      <c r="BE255" s="12">
        <f t="shared" ca="1" si="420"/>
        <v>0</v>
      </c>
      <c r="BF255" s="12">
        <f t="shared" ca="1" si="420"/>
        <v>0</v>
      </c>
      <c r="BG255" s="12">
        <f t="shared" ca="1" si="420"/>
        <v>0</v>
      </c>
      <c r="BH255" s="12">
        <f t="shared" ca="1" si="420"/>
        <v>0</v>
      </c>
      <c r="BI255" s="12">
        <f t="shared" ca="1" si="420"/>
        <v>0</v>
      </c>
      <c r="BJ255" s="12">
        <f t="shared" ca="1" si="420"/>
        <v>0</v>
      </c>
      <c r="BK255" s="12">
        <f t="shared" ca="1" si="420"/>
        <v>0</v>
      </c>
      <c r="BL255" s="12">
        <f t="shared" ca="1" si="420"/>
        <v>0</v>
      </c>
      <c r="BM255" s="12">
        <f t="shared" ca="1" si="420"/>
        <v>0</v>
      </c>
      <c r="BN255" s="12">
        <f t="shared" ca="1" si="420"/>
        <v>0</v>
      </c>
      <c r="BO255" s="12">
        <f t="shared" ca="1" si="420"/>
        <v>0</v>
      </c>
      <c r="BP255" s="12">
        <f t="shared" ca="1" si="420"/>
        <v>0</v>
      </c>
      <c r="BQ255" s="12">
        <f t="shared" ca="1" si="420"/>
        <v>0</v>
      </c>
      <c r="BR255" s="12">
        <f t="shared" ca="1" si="420"/>
        <v>0</v>
      </c>
      <c r="BS255" s="12">
        <f t="shared" ca="1" si="420"/>
        <v>0</v>
      </c>
      <c r="BT255" s="12">
        <f t="shared" ca="1" si="420"/>
        <v>0</v>
      </c>
      <c r="BU255" s="12">
        <f t="shared" ca="1" si="421"/>
        <v>0</v>
      </c>
      <c r="BV255" s="12">
        <f t="shared" ca="1" si="421"/>
        <v>0</v>
      </c>
      <c r="BW255" s="12">
        <f t="shared" ca="1" si="421"/>
        <v>0</v>
      </c>
      <c r="BX255" s="12">
        <f t="shared" ca="1" si="421"/>
        <v>0</v>
      </c>
      <c r="BY255" s="12">
        <f t="shared" ca="1" si="421"/>
        <v>0</v>
      </c>
      <c r="BZ255" s="12">
        <f t="shared" ca="1" si="421"/>
        <v>0</v>
      </c>
      <c r="CA255" s="12">
        <f t="shared" ca="1" si="421"/>
        <v>0</v>
      </c>
      <c r="CB255" s="12">
        <f t="shared" ca="1" si="421"/>
        <v>0</v>
      </c>
      <c r="CC255" s="12">
        <f t="shared" ca="1" si="421"/>
        <v>0</v>
      </c>
      <c r="CD255" s="12">
        <f t="shared" ca="1" si="421"/>
        <v>0</v>
      </c>
      <c r="CE255" s="12">
        <f t="shared" ca="1" si="421"/>
        <v>0</v>
      </c>
      <c r="CF255" s="12">
        <f t="shared" ca="1" si="421"/>
        <v>0</v>
      </c>
      <c r="CG255" s="12">
        <f t="shared" ca="1" si="421"/>
        <v>0</v>
      </c>
      <c r="CH255" s="12">
        <f t="shared" ca="1" si="421"/>
        <v>0</v>
      </c>
      <c r="CI255" s="12">
        <f t="shared" ca="1" si="421"/>
        <v>0</v>
      </c>
      <c r="CJ255" s="12">
        <f t="shared" ca="1" si="421"/>
        <v>0</v>
      </c>
      <c r="CK255" s="12">
        <f t="shared" ca="1" si="421"/>
        <v>0</v>
      </c>
      <c r="CL255" s="12">
        <f t="shared" ca="1" si="421"/>
        <v>0</v>
      </c>
      <c r="CM255" s="12">
        <f t="shared" ca="1" si="421"/>
        <v>0</v>
      </c>
      <c r="CN255" s="12">
        <f t="shared" ca="1" si="421"/>
        <v>0</v>
      </c>
      <c r="CO255" s="12">
        <f t="shared" ca="1" si="421"/>
        <v>0</v>
      </c>
      <c r="CP255" s="12">
        <f t="shared" ca="1" si="421"/>
        <v>0</v>
      </c>
      <c r="CQ255" s="12">
        <f t="shared" ca="1" si="421"/>
        <v>0</v>
      </c>
      <c r="CR255" s="12">
        <f t="shared" ca="1" si="421"/>
        <v>0</v>
      </c>
      <c r="CS255" s="12">
        <f t="shared" ca="1" si="421"/>
        <v>0</v>
      </c>
      <c r="CT255" s="12">
        <f t="shared" ca="1" si="421"/>
        <v>0</v>
      </c>
      <c r="CU255" s="12">
        <f t="shared" ca="1" si="421"/>
        <v>0</v>
      </c>
      <c r="CV255" s="12">
        <f t="shared" ca="1" si="421"/>
        <v>0</v>
      </c>
      <c r="CW255" s="12">
        <f t="shared" ca="1" si="421"/>
        <v>0</v>
      </c>
      <c r="CX255" s="12">
        <f t="shared" ca="1" si="421"/>
        <v>0</v>
      </c>
      <c r="CY255" s="12">
        <f t="shared" ca="1" si="421"/>
        <v>0</v>
      </c>
      <c r="CZ255" s="12">
        <f t="shared" ca="1" si="421"/>
        <v>0</v>
      </c>
      <c r="DA255" s="12">
        <f t="shared" ca="1" si="421"/>
        <v>0</v>
      </c>
      <c r="DB255" s="12">
        <f t="shared" ca="1" si="421"/>
        <v>0</v>
      </c>
      <c r="DC255" s="12">
        <f t="shared" ca="1" si="421"/>
        <v>0</v>
      </c>
      <c r="DD255" s="12">
        <f t="shared" ca="1" si="421"/>
        <v>0</v>
      </c>
      <c r="DE255" s="12">
        <f t="shared" ca="1" si="421"/>
        <v>0</v>
      </c>
      <c r="DF255" s="12">
        <f t="shared" ca="1" si="421"/>
        <v>0</v>
      </c>
      <c r="DG255" s="12">
        <f t="shared" ca="1" si="421"/>
        <v>0</v>
      </c>
      <c r="DH255" s="12">
        <f t="shared" ca="1" si="421"/>
        <v>0</v>
      </c>
      <c r="DI255" s="12">
        <f t="shared" ca="1" si="421"/>
        <v>0</v>
      </c>
      <c r="DJ255" s="12">
        <f t="shared" ca="1" si="421"/>
        <v>0</v>
      </c>
      <c r="DK255" s="12">
        <f t="shared" ca="1" si="421"/>
        <v>0</v>
      </c>
      <c r="DL255" s="12">
        <f t="shared" ca="1" si="421"/>
        <v>0</v>
      </c>
      <c r="DM255" s="12">
        <f t="shared" ca="1" si="421"/>
        <v>0</v>
      </c>
      <c r="DN255" s="12">
        <f t="shared" ca="1" si="421"/>
        <v>0</v>
      </c>
      <c r="DO255" s="12">
        <f t="shared" ca="1" si="421"/>
        <v>0</v>
      </c>
      <c r="DP255" s="12">
        <f t="shared" ca="1" si="421"/>
        <v>0</v>
      </c>
      <c r="DQ255" s="12">
        <f t="shared" ca="1" si="421"/>
        <v>0</v>
      </c>
      <c r="DR255" s="12">
        <f t="shared" ca="1" si="421"/>
        <v>0</v>
      </c>
      <c r="DS255" s="12">
        <f t="shared" ca="1" si="421"/>
        <v>0</v>
      </c>
      <c r="DT255" s="12">
        <f t="shared" ca="1" si="421"/>
        <v>0</v>
      </c>
      <c r="DU255" s="12">
        <f t="shared" ca="1" si="421"/>
        <v>0</v>
      </c>
      <c r="DV255" s="12">
        <f t="shared" ca="1" si="421"/>
        <v>0</v>
      </c>
      <c r="DW255" s="12">
        <f t="shared" ca="1" si="421"/>
        <v>0</v>
      </c>
      <c r="DX255" s="12">
        <f t="shared" ca="1" si="421"/>
        <v>0</v>
      </c>
      <c r="DY255" s="12">
        <f t="shared" ca="1" si="421"/>
        <v>0</v>
      </c>
      <c r="DZ255" s="12">
        <f t="shared" ca="1" si="421"/>
        <v>0</v>
      </c>
      <c r="EA255" s="12">
        <f t="shared" ca="1" si="421"/>
        <v>0</v>
      </c>
      <c r="EB255" s="12">
        <f t="shared" ca="1" si="421"/>
        <v>0</v>
      </c>
      <c r="EC255" s="12">
        <f t="shared" ca="1" si="421"/>
        <v>0</v>
      </c>
      <c r="ED255" s="12">
        <f t="shared" ca="1" si="421"/>
        <v>0</v>
      </c>
      <c r="EE255" s="12">
        <f t="shared" ca="1" si="421"/>
        <v>0</v>
      </c>
      <c r="EF255" s="12">
        <f t="shared" ca="1" si="421"/>
        <v>0</v>
      </c>
      <c r="EG255" s="12">
        <f t="shared" ca="1" si="422"/>
        <v>0</v>
      </c>
      <c r="EH255" s="12">
        <f t="shared" ca="1" si="422"/>
        <v>0</v>
      </c>
      <c r="EI255" s="12">
        <f t="shared" ca="1" si="422"/>
        <v>0</v>
      </c>
      <c r="EJ255" s="12">
        <f t="shared" ca="1" si="422"/>
        <v>0</v>
      </c>
    </row>
    <row r="256" spans="2:140" x14ac:dyDescent="0.4">
      <c r="B256" s="1" t="s">
        <v>113</v>
      </c>
      <c r="H256" s="318">
        <f ca="1">H252+H237</f>
        <v>0</v>
      </c>
      <c r="I256" s="12">
        <f t="shared" ca="1" si="420"/>
        <v>0</v>
      </c>
      <c r="J256" s="12">
        <f t="shared" ca="1" si="420"/>
        <v>0</v>
      </c>
      <c r="K256" s="12">
        <f t="shared" ca="1" si="420"/>
        <v>0</v>
      </c>
      <c r="L256" s="12">
        <f t="shared" ca="1" si="420"/>
        <v>0</v>
      </c>
      <c r="M256" s="12">
        <f t="shared" ca="1" si="420"/>
        <v>0</v>
      </c>
      <c r="N256" s="12">
        <f t="shared" ca="1" si="420"/>
        <v>0</v>
      </c>
      <c r="O256" s="12">
        <f t="shared" ca="1" si="420"/>
        <v>0</v>
      </c>
      <c r="P256" s="12">
        <f t="shared" ca="1" si="420"/>
        <v>0</v>
      </c>
      <c r="Q256" s="12">
        <f t="shared" ca="1" si="420"/>
        <v>0</v>
      </c>
      <c r="R256" s="12">
        <f t="shared" ca="1" si="420"/>
        <v>0</v>
      </c>
      <c r="S256" s="12">
        <f t="shared" ca="1" si="420"/>
        <v>0</v>
      </c>
      <c r="T256" s="12">
        <f t="shared" ca="1" si="420"/>
        <v>0</v>
      </c>
      <c r="U256" s="12">
        <f t="shared" ca="1" si="420"/>
        <v>0</v>
      </c>
      <c r="V256" s="12">
        <f t="shared" ca="1" si="420"/>
        <v>0</v>
      </c>
      <c r="W256" s="12">
        <f t="shared" ca="1" si="420"/>
        <v>0</v>
      </c>
      <c r="X256" s="12">
        <f t="shared" ca="1" si="420"/>
        <v>0</v>
      </c>
      <c r="Y256" s="12">
        <f t="shared" ca="1" si="420"/>
        <v>0</v>
      </c>
      <c r="Z256" s="12">
        <f t="shared" ca="1" si="420"/>
        <v>0</v>
      </c>
      <c r="AA256" s="12">
        <f t="shared" ca="1" si="420"/>
        <v>0</v>
      </c>
      <c r="AB256" s="12">
        <f t="shared" ca="1" si="420"/>
        <v>0</v>
      </c>
      <c r="AC256" s="12">
        <f t="shared" ca="1" si="420"/>
        <v>0</v>
      </c>
      <c r="AD256" s="12">
        <f t="shared" ca="1" si="420"/>
        <v>0</v>
      </c>
      <c r="AE256" s="12">
        <f t="shared" ca="1" si="420"/>
        <v>0</v>
      </c>
      <c r="AF256" s="12">
        <f t="shared" ca="1" si="420"/>
        <v>0</v>
      </c>
      <c r="AG256" s="12">
        <f t="shared" ca="1" si="420"/>
        <v>0</v>
      </c>
      <c r="AH256" s="12">
        <f t="shared" ca="1" si="420"/>
        <v>0</v>
      </c>
      <c r="AI256" s="12">
        <f t="shared" ca="1" si="420"/>
        <v>0</v>
      </c>
      <c r="AJ256" s="12">
        <f t="shared" ca="1" si="420"/>
        <v>0</v>
      </c>
      <c r="AK256" s="12">
        <f t="shared" ca="1" si="420"/>
        <v>0</v>
      </c>
      <c r="AL256" s="12">
        <f t="shared" ca="1" si="420"/>
        <v>0</v>
      </c>
      <c r="AM256" s="12">
        <f t="shared" ca="1" si="420"/>
        <v>0</v>
      </c>
      <c r="AN256" s="12">
        <f t="shared" ca="1" si="420"/>
        <v>0</v>
      </c>
      <c r="AO256" s="12">
        <f t="shared" ca="1" si="420"/>
        <v>0</v>
      </c>
      <c r="AP256" s="12">
        <f t="shared" ca="1" si="420"/>
        <v>0</v>
      </c>
      <c r="AQ256" s="12">
        <f t="shared" ca="1" si="420"/>
        <v>0</v>
      </c>
      <c r="AR256" s="12">
        <f t="shared" ca="1" si="420"/>
        <v>3193528.9197919113</v>
      </c>
      <c r="AS256" s="12">
        <f t="shared" ca="1" si="420"/>
        <v>0</v>
      </c>
      <c r="AT256" s="12">
        <f t="shared" ca="1" si="420"/>
        <v>0</v>
      </c>
      <c r="AU256" s="12">
        <f t="shared" ca="1" si="420"/>
        <v>0</v>
      </c>
      <c r="AV256" s="12">
        <f t="shared" ca="1" si="420"/>
        <v>0</v>
      </c>
      <c r="AW256" s="12">
        <f t="shared" ca="1" si="420"/>
        <v>0</v>
      </c>
      <c r="AX256" s="12">
        <f t="shared" ca="1" si="420"/>
        <v>0</v>
      </c>
      <c r="AY256" s="12">
        <f t="shared" ca="1" si="420"/>
        <v>0</v>
      </c>
      <c r="AZ256" s="12">
        <f t="shared" ca="1" si="420"/>
        <v>0</v>
      </c>
      <c r="BA256" s="12">
        <f t="shared" ca="1" si="420"/>
        <v>0</v>
      </c>
      <c r="BB256" s="12">
        <f t="shared" ca="1" si="420"/>
        <v>0</v>
      </c>
      <c r="BC256" s="12">
        <f t="shared" ca="1" si="420"/>
        <v>0</v>
      </c>
      <c r="BD256" s="12">
        <f t="shared" ca="1" si="420"/>
        <v>0</v>
      </c>
      <c r="BE256" s="12">
        <f t="shared" ca="1" si="420"/>
        <v>0</v>
      </c>
      <c r="BF256" s="12">
        <f t="shared" ca="1" si="420"/>
        <v>0</v>
      </c>
      <c r="BG256" s="12">
        <f t="shared" ca="1" si="420"/>
        <v>0</v>
      </c>
      <c r="BH256" s="12">
        <f t="shared" ca="1" si="420"/>
        <v>0</v>
      </c>
      <c r="BI256" s="12">
        <f t="shared" ca="1" si="420"/>
        <v>0</v>
      </c>
      <c r="BJ256" s="12">
        <f t="shared" ca="1" si="420"/>
        <v>0</v>
      </c>
      <c r="BK256" s="12">
        <f t="shared" ca="1" si="420"/>
        <v>0</v>
      </c>
      <c r="BL256" s="12">
        <f t="shared" ca="1" si="420"/>
        <v>0</v>
      </c>
      <c r="BM256" s="12">
        <f t="shared" ca="1" si="420"/>
        <v>0</v>
      </c>
      <c r="BN256" s="12">
        <f t="shared" ca="1" si="420"/>
        <v>0</v>
      </c>
      <c r="BO256" s="12">
        <f t="shared" ca="1" si="420"/>
        <v>0</v>
      </c>
      <c r="BP256" s="12">
        <f t="shared" ca="1" si="420"/>
        <v>0</v>
      </c>
      <c r="BQ256" s="12">
        <f t="shared" ca="1" si="420"/>
        <v>0</v>
      </c>
      <c r="BR256" s="12">
        <f t="shared" ca="1" si="420"/>
        <v>0</v>
      </c>
      <c r="BS256" s="12">
        <f t="shared" ca="1" si="420"/>
        <v>0</v>
      </c>
      <c r="BT256" s="12">
        <f t="shared" ca="1" si="420"/>
        <v>0</v>
      </c>
      <c r="BU256" s="12">
        <f t="shared" ca="1" si="421"/>
        <v>0</v>
      </c>
      <c r="BV256" s="12">
        <f t="shared" ca="1" si="421"/>
        <v>0</v>
      </c>
      <c r="BW256" s="12">
        <f t="shared" ca="1" si="421"/>
        <v>0</v>
      </c>
      <c r="BX256" s="12">
        <f t="shared" ca="1" si="421"/>
        <v>0</v>
      </c>
      <c r="BY256" s="12">
        <f t="shared" ca="1" si="421"/>
        <v>0</v>
      </c>
      <c r="BZ256" s="12">
        <f t="shared" ca="1" si="421"/>
        <v>0</v>
      </c>
      <c r="CA256" s="12">
        <f t="shared" ca="1" si="421"/>
        <v>0</v>
      </c>
      <c r="CB256" s="12">
        <f t="shared" ca="1" si="421"/>
        <v>0</v>
      </c>
      <c r="CC256" s="12">
        <f t="shared" ca="1" si="421"/>
        <v>0</v>
      </c>
      <c r="CD256" s="12">
        <f t="shared" ca="1" si="421"/>
        <v>0</v>
      </c>
      <c r="CE256" s="12">
        <f t="shared" ca="1" si="421"/>
        <v>0</v>
      </c>
      <c r="CF256" s="12">
        <f t="shared" ca="1" si="421"/>
        <v>0</v>
      </c>
      <c r="CG256" s="12">
        <f t="shared" ca="1" si="421"/>
        <v>0</v>
      </c>
      <c r="CH256" s="12">
        <f t="shared" ca="1" si="421"/>
        <v>0</v>
      </c>
      <c r="CI256" s="12">
        <f t="shared" ca="1" si="421"/>
        <v>0</v>
      </c>
      <c r="CJ256" s="12">
        <f t="shared" ca="1" si="421"/>
        <v>0</v>
      </c>
      <c r="CK256" s="12">
        <f t="shared" ca="1" si="421"/>
        <v>0</v>
      </c>
      <c r="CL256" s="12">
        <f t="shared" ca="1" si="421"/>
        <v>0</v>
      </c>
      <c r="CM256" s="12">
        <f t="shared" ca="1" si="421"/>
        <v>0</v>
      </c>
      <c r="CN256" s="12">
        <f t="shared" ca="1" si="421"/>
        <v>0</v>
      </c>
      <c r="CO256" s="12">
        <f t="shared" ca="1" si="421"/>
        <v>0</v>
      </c>
      <c r="CP256" s="12">
        <f t="shared" ca="1" si="421"/>
        <v>0</v>
      </c>
      <c r="CQ256" s="12">
        <f t="shared" ca="1" si="421"/>
        <v>0</v>
      </c>
      <c r="CR256" s="12">
        <f t="shared" ca="1" si="421"/>
        <v>0</v>
      </c>
      <c r="CS256" s="12">
        <f t="shared" ca="1" si="421"/>
        <v>0</v>
      </c>
      <c r="CT256" s="12">
        <f t="shared" ca="1" si="421"/>
        <v>0</v>
      </c>
      <c r="CU256" s="12">
        <f t="shared" ca="1" si="421"/>
        <v>0</v>
      </c>
      <c r="CV256" s="12">
        <f t="shared" ca="1" si="421"/>
        <v>0</v>
      </c>
      <c r="CW256" s="12">
        <f t="shared" ca="1" si="421"/>
        <v>0</v>
      </c>
      <c r="CX256" s="12">
        <f t="shared" ca="1" si="421"/>
        <v>0</v>
      </c>
      <c r="CY256" s="12">
        <f t="shared" ca="1" si="421"/>
        <v>0</v>
      </c>
      <c r="CZ256" s="12">
        <f t="shared" ca="1" si="421"/>
        <v>0</v>
      </c>
      <c r="DA256" s="12">
        <f t="shared" ca="1" si="421"/>
        <v>0</v>
      </c>
      <c r="DB256" s="12">
        <f t="shared" ca="1" si="421"/>
        <v>0</v>
      </c>
      <c r="DC256" s="12">
        <f t="shared" ca="1" si="421"/>
        <v>0</v>
      </c>
      <c r="DD256" s="12">
        <f t="shared" ca="1" si="421"/>
        <v>0</v>
      </c>
      <c r="DE256" s="12">
        <f t="shared" ca="1" si="421"/>
        <v>0</v>
      </c>
      <c r="DF256" s="12">
        <f t="shared" ca="1" si="421"/>
        <v>0</v>
      </c>
      <c r="DG256" s="12">
        <f t="shared" ca="1" si="421"/>
        <v>0</v>
      </c>
      <c r="DH256" s="12">
        <f t="shared" ca="1" si="421"/>
        <v>0</v>
      </c>
      <c r="DI256" s="12">
        <f t="shared" ca="1" si="421"/>
        <v>0</v>
      </c>
      <c r="DJ256" s="12">
        <f t="shared" ca="1" si="421"/>
        <v>0</v>
      </c>
      <c r="DK256" s="12">
        <f t="shared" ca="1" si="421"/>
        <v>0</v>
      </c>
      <c r="DL256" s="12">
        <f t="shared" ca="1" si="421"/>
        <v>0</v>
      </c>
      <c r="DM256" s="12">
        <f t="shared" ca="1" si="421"/>
        <v>0</v>
      </c>
      <c r="DN256" s="12">
        <f t="shared" ca="1" si="421"/>
        <v>0</v>
      </c>
      <c r="DO256" s="12">
        <f t="shared" ca="1" si="421"/>
        <v>0</v>
      </c>
      <c r="DP256" s="12">
        <f t="shared" ca="1" si="421"/>
        <v>0</v>
      </c>
      <c r="DQ256" s="12">
        <f t="shared" ca="1" si="421"/>
        <v>0</v>
      </c>
      <c r="DR256" s="12">
        <f t="shared" ca="1" si="421"/>
        <v>0</v>
      </c>
      <c r="DS256" s="12">
        <f t="shared" ca="1" si="421"/>
        <v>0</v>
      </c>
      <c r="DT256" s="12">
        <f t="shared" ca="1" si="421"/>
        <v>0</v>
      </c>
      <c r="DU256" s="12">
        <f t="shared" ca="1" si="421"/>
        <v>0</v>
      </c>
      <c r="DV256" s="12">
        <f t="shared" ca="1" si="421"/>
        <v>0</v>
      </c>
      <c r="DW256" s="12">
        <f t="shared" ca="1" si="421"/>
        <v>0</v>
      </c>
      <c r="DX256" s="12">
        <f t="shared" ca="1" si="421"/>
        <v>0</v>
      </c>
      <c r="DY256" s="12">
        <f t="shared" ca="1" si="421"/>
        <v>0</v>
      </c>
      <c r="DZ256" s="12">
        <f t="shared" ca="1" si="421"/>
        <v>0</v>
      </c>
      <c r="EA256" s="12">
        <f t="shared" ca="1" si="421"/>
        <v>0</v>
      </c>
      <c r="EB256" s="12">
        <f t="shared" ca="1" si="421"/>
        <v>0</v>
      </c>
      <c r="EC256" s="12">
        <f t="shared" ca="1" si="421"/>
        <v>0</v>
      </c>
      <c r="ED256" s="12">
        <f t="shared" ca="1" si="421"/>
        <v>0</v>
      </c>
      <c r="EE256" s="12">
        <f t="shared" ca="1" si="421"/>
        <v>0</v>
      </c>
      <c r="EF256" s="12">
        <f t="shared" ca="1" si="421"/>
        <v>0</v>
      </c>
      <c r="EG256" s="12">
        <f t="shared" ca="1" si="422"/>
        <v>0</v>
      </c>
      <c r="EH256" s="12">
        <f t="shared" ca="1" si="422"/>
        <v>0</v>
      </c>
      <c r="EI256" s="12">
        <f t="shared" ca="1" si="422"/>
        <v>0</v>
      </c>
      <c r="EJ256" s="12">
        <f t="shared" ca="1" si="422"/>
        <v>0</v>
      </c>
    </row>
    <row r="257" spans="2:140" x14ac:dyDescent="0.4">
      <c r="H257" s="316"/>
    </row>
    <row r="258" spans="2:140" x14ac:dyDescent="0.4">
      <c r="B258" s="1" t="s">
        <v>112</v>
      </c>
      <c r="C258" s="321" t="str">
        <f ca="1">IF(SUM(H258:EJ258)=0,"Ok","Check")</f>
        <v>Ok</v>
      </c>
      <c r="H258" s="318">
        <f ca="1">H$159-SUM(H254:H256)</f>
        <v>0</v>
      </c>
      <c r="I258" s="12">
        <f t="shared" ref="I258:BT258" ca="1" si="423">I$159-SUM(I254:I256)</f>
        <v>0</v>
      </c>
      <c r="J258" s="12">
        <f t="shared" ca="1" si="423"/>
        <v>0</v>
      </c>
      <c r="K258" s="12">
        <f t="shared" ca="1" si="423"/>
        <v>0</v>
      </c>
      <c r="L258" s="12">
        <f t="shared" ca="1" si="423"/>
        <v>0</v>
      </c>
      <c r="M258" s="12">
        <f t="shared" ca="1" si="423"/>
        <v>0</v>
      </c>
      <c r="N258" s="12">
        <f t="shared" ca="1" si="423"/>
        <v>0</v>
      </c>
      <c r="O258" s="12">
        <f t="shared" ca="1" si="423"/>
        <v>0</v>
      </c>
      <c r="P258" s="12">
        <f t="shared" ca="1" si="423"/>
        <v>0</v>
      </c>
      <c r="Q258" s="12">
        <f t="shared" ca="1" si="423"/>
        <v>0</v>
      </c>
      <c r="R258" s="12">
        <f t="shared" ca="1" si="423"/>
        <v>0</v>
      </c>
      <c r="S258" s="12">
        <f t="shared" ca="1" si="423"/>
        <v>0</v>
      </c>
      <c r="T258" s="12">
        <f t="shared" ca="1" si="423"/>
        <v>0</v>
      </c>
      <c r="U258" s="12">
        <f t="shared" ca="1" si="423"/>
        <v>0</v>
      </c>
      <c r="V258" s="12">
        <f t="shared" ca="1" si="423"/>
        <v>0</v>
      </c>
      <c r="W258" s="12">
        <f t="shared" ca="1" si="423"/>
        <v>0</v>
      </c>
      <c r="X258" s="12">
        <f t="shared" ca="1" si="423"/>
        <v>0</v>
      </c>
      <c r="Y258" s="12">
        <f t="shared" ca="1" si="423"/>
        <v>0</v>
      </c>
      <c r="Z258" s="12">
        <f t="shared" ca="1" si="423"/>
        <v>0</v>
      </c>
      <c r="AA258" s="12">
        <f t="shared" ca="1" si="423"/>
        <v>0</v>
      </c>
      <c r="AB258" s="12">
        <f t="shared" ca="1" si="423"/>
        <v>0</v>
      </c>
      <c r="AC258" s="12">
        <f t="shared" ca="1" si="423"/>
        <v>0</v>
      </c>
      <c r="AD258" s="12">
        <f t="shared" ca="1" si="423"/>
        <v>0</v>
      </c>
      <c r="AE258" s="12">
        <f t="shared" ca="1" si="423"/>
        <v>0</v>
      </c>
      <c r="AF258" s="12">
        <f t="shared" ca="1" si="423"/>
        <v>0</v>
      </c>
      <c r="AG258" s="12">
        <f t="shared" ca="1" si="423"/>
        <v>0</v>
      </c>
      <c r="AH258" s="12">
        <f t="shared" ca="1" si="423"/>
        <v>0</v>
      </c>
      <c r="AI258" s="12">
        <f t="shared" ca="1" si="423"/>
        <v>0</v>
      </c>
      <c r="AJ258" s="12">
        <f t="shared" ca="1" si="423"/>
        <v>0</v>
      </c>
      <c r="AK258" s="12">
        <f t="shared" ca="1" si="423"/>
        <v>0</v>
      </c>
      <c r="AL258" s="12">
        <f t="shared" ca="1" si="423"/>
        <v>0</v>
      </c>
      <c r="AM258" s="12">
        <f t="shared" ca="1" si="423"/>
        <v>0</v>
      </c>
      <c r="AN258" s="12">
        <f t="shared" ca="1" si="423"/>
        <v>0</v>
      </c>
      <c r="AO258" s="12">
        <f t="shared" ca="1" si="423"/>
        <v>0</v>
      </c>
      <c r="AP258" s="12">
        <f t="shared" ca="1" si="423"/>
        <v>0</v>
      </c>
      <c r="AQ258" s="12">
        <f t="shared" ca="1" si="423"/>
        <v>0</v>
      </c>
      <c r="AR258" s="12">
        <f t="shared" ca="1" si="423"/>
        <v>0</v>
      </c>
      <c r="AS258" s="12">
        <f t="shared" ca="1" si="423"/>
        <v>0</v>
      </c>
      <c r="AT258" s="12">
        <f t="shared" ca="1" si="423"/>
        <v>0</v>
      </c>
      <c r="AU258" s="12">
        <f t="shared" ca="1" si="423"/>
        <v>0</v>
      </c>
      <c r="AV258" s="12">
        <f t="shared" ca="1" si="423"/>
        <v>0</v>
      </c>
      <c r="AW258" s="12">
        <f t="shared" ca="1" si="423"/>
        <v>0</v>
      </c>
      <c r="AX258" s="12">
        <f t="shared" ca="1" si="423"/>
        <v>0</v>
      </c>
      <c r="AY258" s="12">
        <f t="shared" ca="1" si="423"/>
        <v>0</v>
      </c>
      <c r="AZ258" s="12">
        <f t="shared" ca="1" si="423"/>
        <v>0</v>
      </c>
      <c r="BA258" s="12">
        <f t="shared" ca="1" si="423"/>
        <v>0</v>
      </c>
      <c r="BB258" s="12">
        <f t="shared" ca="1" si="423"/>
        <v>0</v>
      </c>
      <c r="BC258" s="12">
        <f t="shared" ca="1" si="423"/>
        <v>0</v>
      </c>
      <c r="BD258" s="12">
        <f t="shared" ca="1" si="423"/>
        <v>0</v>
      </c>
      <c r="BE258" s="12">
        <f t="shared" ca="1" si="423"/>
        <v>0</v>
      </c>
      <c r="BF258" s="12">
        <f t="shared" ca="1" si="423"/>
        <v>0</v>
      </c>
      <c r="BG258" s="12">
        <f t="shared" ca="1" si="423"/>
        <v>0</v>
      </c>
      <c r="BH258" s="12">
        <f t="shared" ca="1" si="423"/>
        <v>0</v>
      </c>
      <c r="BI258" s="12">
        <f t="shared" ca="1" si="423"/>
        <v>0</v>
      </c>
      <c r="BJ258" s="12">
        <f t="shared" ca="1" si="423"/>
        <v>0</v>
      </c>
      <c r="BK258" s="12">
        <f t="shared" ca="1" si="423"/>
        <v>0</v>
      </c>
      <c r="BL258" s="12">
        <f t="shared" ca="1" si="423"/>
        <v>0</v>
      </c>
      <c r="BM258" s="12">
        <f t="shared" ca="1" si="423"/>
        <v>0</v>
      </c>
      <c r="BN258" s="12">
        <f t="shared" ca="1" si="423"/>
        <v>0</v>
      </c>
      <c r="BO258" s="12">
        <f t="shared" ca="1" si="423"/>
        <v>0</v>
      </c>
      <c r="BP258" s="12">
        <f t="shared" ca="1" si="423"/>
        <v>0</v>
      </c>
      <c r="BQ258" s="12">
        <f t="shared" ca="1" si="423"/>
        <v>0</v>
      </c>
      <c r="BR258" s="12">
        <f t="shared" ca="1" si="423"/>
        <v>0</v>
      </c>
      <c r="BS258" s="12">
        <f t="shared" ca="1" si="423"/>
        <v>0</v>
      </c>
      <c r="BT258" s="12">
        <f t="shared" ca="1" si="423"/>
        <v>0</v>
      </c>
      <c r="BU258" s="12">
        <f t="shared" ref="BU258:EF258" ca="1" si="424">BU$159-SUM(BU254:BU256)</f>
        <v>0</v>
      </c>
      <c r="BV258" s="12">
        <f t="shared" ca="1" si="424"/>
        <v>0</v>
      </c>
      <c r="BW258" s="12">
        <f t="shared" ca="1" si="424"/>
        <v>0</v>
      </c>
      <c r="BX258" s="12">
        <f t="shared" ca="1" si="424"/>
        <v>0</v>
      </c>
      <c r="BY258" s="12">
        <f t="shared" ca="1" si="424"/>
        <v>0</v>
      </c>
      <c r="BZ258" s="12">
        <f t="shared" ca="1" si="424"/>
        <v>0</v>
      </c>
      <c r="CA258" s="12">
        <f t="shared" ca="1" si="424"/>
        <v>0</v>
      </c>
      <c r="CB258" s="12">
        <f t="shared" ca="1" si="424"/>
        <v>0</v>
      </c>
      <c r="CC258" s="12">
        <f t="shared" ca="1" si="424"/>
        <v>0</v>
      </c>
      <c r="CD258" s="12">
        <f t="shared" ca="1" si="424"/>
        <v>0</v>
      </c>
      <c r="CE258" s="12">
        <f t="shared" ca="1" si="424"/>
        <v>0</v>
      </c>
      <c r="CF258" s="12">
        <f t="shared" ca="1" si="424"/>
        <v>0</v>
      </c>
      <c r="CG258" s="12">
        <f t="shared" ca="1" si="424"/>
        <v>0</v>
      </c>
      <c r="CH258" s="12">
        <f t="shared" ca="1" si="424"/>
        <v>0</v>
      </c>
      <c r="CI258" s="12">
        <f t="shared" ca="1" si="424"/>
        <v>0</v>
      </c>
      <c r="CJ258" s="12">
        <f t="shared" ca="1" si="424"/>
        <v>0</v>
      </c>
      <c r="CK258" s="12">
        <f t="shared" ca="1" si="424"/>
        <v>0</v>
      </c>
      <c r="CL258" s="12">
        <f t="shared" ca="1" si="424"/>
        <v>0</v>
      </c>
      <c r="CM258" s="12">
        <f t="shared" ca="1" si="424"/>
        <v>0</v>
      </c>
      <c r="CN258" s="12">
        <f t="shared" ca="1" si="424"/>
        <v>0</v>
      </c>
      <c r="CO258" s="12">
        <f t="shared" ca="1" si="424"/>
        <v>0</v>
      </c>
      <c r="CP258" s="12">
        <f t="shared" ca="1" si="424"/>
        <v>0</v>
      </c>
      <c r="CQ258" s="12">
        <f t="shared" ca="1" si="424"/>
        <v>0</v>
      </c>
      <c r="CR258" s="12">
        <f t="shared" ca="1" si="424"/>
        <v>0</v>
      </c>
      <c r="CS258" s="12">
        <f t="shared" ca="1" si="424"/>
        <v>0</v>
      </c>
      <c r="CT258" s="12">
        <f t="shared" ca="1" si="424"/>
        <v>0</v>
      </c>
      <c r="CU258" s="12">
        <f t="shared" ca="1" si="424"/>
        <v>0</v>
      </c>
      <c r="CV258" s="12">
        <f t="shared" ca="1" si="424"/>
        <v>0</v>
      </c>
      <c r="CW258" s="12">
        <f t="shared" ca="1" si="424"/>
        <v>0</v>
      </c>
      <c r="CX258" s="12">
        <f t="shared" ca="1" si="424"/>
        <v>0</v>
      </c>
      <c r="CY258" s="12">
        <f t="shared" ca="1" si="424"/>
        <v>0</v>
      </c>
      <c r="CZ258" s="12">
        <f t="shared" ca="1" si="424"/>
        <v>0</v>
      </c>
      <c r="DA258" s="12">
        <f t="shared" ca="1" si="424"/>
        <v>0</v>
      </c>
      <c r="DB258" s="12">
        <f t="shared" ca="1" si="424"/>
        <v>0</v>
      </c>
      <c r="DC258" s="12">
        <f t="shared" ca="1" si="424"/>
        <v>0</v>
      </c>
      <c r="DD258" s="12">
        <f t="shared" ca="1" si="424"/>
        <v>0</v>
      </c>
      <c r="DE258" s="12">
        <f t="shared" ca="1" si="424"/>
        <v>0</v>
      </c>
      <c r="DF258" s="12">
        <f t="shared" ca="1" si="424"/>
        <v>0</v>
      </c>
      <c r="DG258" s="12">
        <f t="shared" ca="1" si="424"/>
        <v>0</v>
      </c>
      <c r="DH258" s="12">
        <f t="shared" ca="1" si="424"/>
        <v>0</v>
      </c>
      <c r="DI258" s="12">
        <f t="shared" ca="1" si="424"/>
        <v>0</v>
      </c>
      <c r="DJ258" s="12">
        <f t="shared" ca="1" si="424"/>
        <v>0</v>
      </c>
      <c r="DK258" s="12">
        <f t="shared" ca="1" si="424"/>
        <v>0</v>
      </c>
      <c r="DL258" s="12">
        <f t="shared" ca="1" si="424"/>
        <v>0</v>
      </c>
      <c r="DM258" s="12">
        <f t="shared" ca="1" si="424"/>
        <v>0</v>
      </c>
      <c r="DN258" s="12">
        <f t="shared" ca="1" si="424"/>
        <v>0</v>
      </c>
      <c r="DO258" s="12">
        <f t="shared" ca="1" si="424"/>
        <v>0</v>
      </c>
      <c r="DP258" s="12">
        <f t="shared" ca="1" si="424"/>
        <v>0</v>
      </c>
      <c r="DQ258" s="12">
        <f t="shared" ca="1" si="424"/>
        <v>0</v>
      </c>
      <c r="DR258" s="12">
        <f t="shared" ca="1" si="424"/>
        <v>0</v>
      </c>
      <c r="DS258" s="12">
        <f t="shared" ca="1" si="424"/>
        <v>0</v>
      </c>
      <c r="DT258" s="12">
        <f t="shared" ca="1" si="424"/>
        <v>0</v>
      </c>
      <c r="DU258" s="12">
        <f t="shared" ca="1" si="424"/>
        <v>0</v>
      </c>
      <c r="DV258" s="12">
        <f t="shared" ca="1" si="424"/>
        <v>0</v>
      </c>
      <c r="DW258" s="12">
        <f t="shared" ca="1" si="424"/>
        <v>0</v>
      </c>
      <c r="DX258" s="12">
        <f t="shared" ca="1" si="424"/>
        <v>0</v>
      </c>
      <c r="DY258" s="12">
        <f t="shared" ca="1" si="424"/>
        <v>0</v>
      </c>
      <c r="DZ258" s="12">
        <f t="shared" ca="1" si="424"/>
        <v>0</v>
      </c>
      <c r="EA258" s="12">
        <f t="shared" ca="1" si="424"/>
        <v>0</v>
      </c>
      <c r="EB258" s="12">
        <f t="shared" ca="1" si="424"/>
        <v>0</v>
      </c>
      <c r="EC258" s="12">
        <f t="shared" ca="1" si="424"/>
        <v>0</v>
      </c>
      <c r="ED258" s="12">
        <f t="shared" ca="1" si="424"/>
        <v>0</v>
      </c>
      <c r="EE258" s="12">
        <f t="shared" ca="1" si="424"/>
        <v>0</v>
      </c>
      <c r="EF258" s="12">
        <f t="shared" ca="1" si="424"/>
        <v>0</v>
      </c>
      <c r="EG258" s="12">
        <f ca="1">EG$159-SUM(EG254:EG256)</f>
        <v>0</v>
      </c>
      <c r="EH258" s="12">
        <f ca="1">EH$159-SUM(EH254:EH256)</f>
        <v>0</v>
      </c>
      <c r="EI258" s="12">
        <f ca="1">EI$159-SUM(EI254:EI256)</f>
        <v>0</v>
      </c>
      <c r="EJ258" s="12">
        <f ca="1">EJ$159-SUM(EJ254:EJ256)</f>
        <v>0</v>
      </c>
    </row>
    <row r="259" spans="2:140" x14ac:dyDescent="0.4">
      <c r="H259" s="316"/>
    </row>
    <row r="260" spans="2:140" x14ac:dyDescent="0.4">
      <c r="B260" s="94" t="s">
        <v>111</v>
      </c>
      <c r="H260" s="316"/>
    </row>
    <row r="261" spans="2:140" x14ac:dyDescent="0.4">
      <c r="B261" s="1" t="s">
        <v>110</v>
      </c>
      <c r="F261" s="15"/>
      <c r="H261" s="318">
        <f ca="1">H254</f>
        <v>-5490000</v>
      </c>
      <c r="I261" s="12">
        <f t="shared" ref="I261:BT261" ca="1" si="425">I254</f>
        <v>0</v>
      </c>
      <c r="J261" s="12">
        <f t="shared" ca="1" si="425"/>
        <v>0</v>
      </c>
      <c r="K261" s="12">
        <f t="shared" ca="1" si="425"/>
        <v>-324450</v>
      </c>
      <c r="L261" s="12">
        <f t="shared" ca="1" si="425"/>
        <v>-324450</v>
      </c>
      <c r="M261" s="12">
        <f t="shared" ca="1" si="425"/>
        <v>-324450</v>
      </c>
      <c r="N261" s="12">
        <f t="shared" ca="1" si="425"/>
        <v>-324450</v>
      </c>
      <c r="O261" s="12">
        <f t="shared" ca="1" si="425"/>
        <v>-2827575</v>
      </c>
      <c r="P261" s="12">
        <f t="shared" ca="1" si="425"/>
        <v>-2827575</v>
      </c>
      <c r="Q261" s="12">
        <f t="shared" ca="1" si="425"/>
        <v>-2827575</v>
      </c>
      <c r="R261" s="12">
        <f t="shared" ca="1" si="425"/>
        <v>-1600604.9994850091</v>
      </c>
      <c r="S261" s="12">
        <f t="shared" ca="1" si="425"/>
        <v>0</v>
      </c>
      <c r="T261" s="12">
        <f t="shared" ca="1" si="425"/>
        <v>0</v>
      </c>
      <c r="U261" s="12">
        <f t="shared" ca="1" si="425"/>
        <v>0</v>
      </c>
      <c r="V261" s="12">
        <f t="shared" ca="1" si="425"/>
        <v>0</v>
      </c>
      <c r="W261" s="12">
        <f t="shared" ca="1" si="425"/>
        <v>0</v>
      </c>
      <c r="X261" s="12">
        <f t="shared" ca="1" si="425"/>
        <v>0</v>
      </c>
      <c r="Y261" s="12">
        <f t="shared" ca="1" si="425"/>
        <v>-3375</v>
      </c>
      <c r="Z261" s="12">
        <f t="shared" ca="1" si="425"/>
        <v>1963.9034777278082</v>
      </c>
      <c r="AA261" s="12">
        <f t="shared" ca="1" si="425"/>
        <v>32437.528027416487</v>
      </c>
      <c r="AB261" s="12">
        <f t="shared" ca="1" si="425"/>
        <v>63012.71649531713</v>
      </c>
      <c r="AC261" s="12">
        <f t="shared" ca="1" si="425"/>
        <v>93689.722778865704</v>
      </c>
      <c r="AD261" s="12">
        <f t="shared" ca="1" si="425"/>
        <v>124468.80133969621</v>
      </c>
      <c r="AE261" s="12">
        <f t="shared" ca="1" si="425"/>
        <v>14412.007204846086</v>
      </c>
      <c r="AF261" s="12">
        <f t="shared" ca="1" si="425"/>
        <v>40551.42596786948</v>
      </c>
      <c r="AG261" s="12">
        <f t="shared" ca="1" si="425"/>
        <v>78194.739026057461</v>
      </c>
      <c r="AH261" s="12">
        <f t="shared" ca="1" si="425"/>
        <v>124378.38420954735</v>
      </c>
      <c r="AI261" s="12">
        <f t="shared" ca="1" si="425"/>
        <v>110743.84759994449</v>
      </c>
      <c r="AJ261" s="12">
        <f t="shared" ca="1" si="425"/>
        <v>115972.83865820078</v>
      </c>
      <c r="AK261" s="12">
        <f t="shared" ca="1" si="425"/>
        <v>111808.29151983473</v>
      </c>
      <c r="AL261" s="12">
        <f t="shared" ca="1" si="425"/>
        <v>117085.88033073113</v>
      </c>
      <c r="AM261" s="12">
        <f t="shared" ca="1" si="425"/>
        <v>112914.38924716647</v>
      </c>
      <c r="AN261" s="12">
        <f t="shared" ca="1" si="425"/>
        <v>144358.31152053524</v>
      </c>
      <c r="AO261" s="12">
        <f t="shared" ca="1" si="425"/>
        <v>149754.92405628873</v>
      </c>
      <c r="AP261" s="12">
        <f t="shared" ca="1" si="425"/>
        <v>145670.98200626823</v>
      </c>
      <c r="AQ261" s="12">
        <f t="shared" ca="1" si="425"/>
        <v>151104.53005052253</v>
      </c>
      <c r="AR261" s="12">
        <f t="shared" ca="1" si="425"/>
        <v>26591548.55486843</v>
      </c>
      <c r="AS261" s="12">
        <f t="shared" ca="1" si="425"/>
        <v>0</v>
      </c>
      <c r="AT261" s="12">
        <f t="shared" ca="1" si="425"/>
        <v>0</v>
      </c>
      <c r="AU261" s="12">
        <f t="shared" ca="1" si="425"/>
        <v>0</v>
      </c>
      <c r="AV261" s="12">
        <f t="shared" ca="1" si="425"/>
        <v>0</v>
      </c>
      <c r="AW261" s="12">
        <f t="shared" ca="1" si="425"/>
        <v>0</v>
      </c>
      <c r="AX261" s="12">
        <f t="shared" ca="1" si="425"/>
        <v>0</v>
      </c>
      <c r="AY261" s="12">
        <f t="shared" ca="1" si="425"/>
        <v>0</v>
      </c>
      <c r="AZ261" s="12">
        <f t="shared" ca="1" si="425"/>
        <v>0</v>
      </c>
      <c r="BA261" s="12">
        <f t="shared" ca="1" si="425"/>
        <v>0</v>
      </c>
      <c r="BB261" s="12">
        <f t="shared" ca="1" si="425"/>
        <v>0</v>
      </c>
      <c r="BC261" s="12">
        <f t="shared" ca="1" si="425"/>
        <v>0</v>
      </c>
      <c r="BD261" s="12">
        <f t="shared" ca="1" si="425"/>
        <v>0</v>
      </c>
      <c r="BE261" s="12">
        <f t="shared" ca="1" si="425"/>
        <v>0</v>
      </c>
      <c r="BF261" s="12">
        <f t="shared" ca="1" si="425"/>
        <v>0</v>
      </c>
      <c r="BG261" s="12">
        <f t="shared" ca="1" si="425"/>
        <v>0</v>
      </c>
      <c r="BH261" s="12">
        <f t="shared" ca="1" si="425"/>
        <v>0</v>
      </c>
      <c r="BI261" s="12">
        <f t="shared" ca="1" si="425"/>
        <v>0</v>
      </c>
      <c r="BJ261" s="12">
        <f t="shared" ca="1" si="425"/>
        <v>0</v>
      </c>
      <c r="BK261" s="12">
        <f t="shared" ca="1" si="425"/>
        <v>0</v>
      </c>
      <c r="BL261" s="12">
        <f t="shared" ca="1" si="425"/>
        <v>0</v>
      </c>
      <c r="BM261" s="12">
        <f t="shared" ca="1" si="425"/>
        <v>0</v>
      </c>
      <c r="BN261" s="12">
        <f t="shared" ca="1" si="425"/>
        <v>0</v>
      </c>
      <c r="BO261" s="12">
        <f t="shared" ca="1" si="425"/>
        <v>0</v>
      </c>
      <c r="BP261" s="12">
        <f t="shared" ca="1" si="425"/>
        <v>0</v>
      </c>
      <c r="BQ261" s="12">
        <f t="shared" ca="1" si="425"/>
        <v>0</v>
      </c>
      <c r="BR261" s="12">
        <f t="shared" ca="1" si="425"/>
        <v>0</v>
      </c>
      <c r="BS261" s="12">
        <f t="shared" ca="1" si="425"/>
        <v>0</v>
      </c>
      <c r="BT261" s="12">
        <f t="shared" ca="1" si="425"/>
        <v>0</v>
      </c>
      <c r="BU261" s="12">
        <f t="shared" ref="BU261:EF261" ca="1" si="426">BU254</f>
        <v>0</v>
      </c>
      <c r="BV261" s="12">
        <f t="shared" ca="1" si="426"/>
        <v>0</v>
      </c>
      <c r="BW261" s="12">
        <f t="shared" ca="1" si="426"/>
        <v>0</v>
      </c>
      <c r="BX261" s="12">
        <f t="shared" ca="1" si="426"/>
        <v>0</v>
      </c>
      <c r="BY261" s="12">
        <f t="shared" ca="1" si="426"/>
        <v>0</v>
      </c>
      <c r="BZ261" s="12">
        <f t="shared" ca="1" si="426"/>
        <v>0</v>
      </c>
      <c r="CA261" s="12">
        <f t="shared" ca="1" si="426"/>
        <v>0</v>
      </c>
      <c r="CB261" s="12">
        <f t="shared" ca="1" si="426"/>
        <v>0</v>
      </c>
      <c r="CC261" s="12">
        <f t="shared" ca="1" si="426"/>
        <v>0</v>
      </c>
      <c r="CD261" s="12">
        <f t="shared" ca="1" si="426"/>
        <v>0</v>
      </c>
      <c r="CE261" s="12">
        <f t="shared" ca="1" si="426"/>
        <v>0</v>
      </c>
      <c r="CF261" s="12">
        <f t="shared" ca="1" si="426"/>
        <v>0</v>
      </c>
      <c r="CG261" s="12">
        <f t="shared" ca="1" si="426"/>
        <v>0</v>
      </c>
      <c r="CH261" s="12">
        <f t="shared" ca="1" si="426"/>
        <v>0</v>
      </c>
      <c r="CI261" s="12">
        <f t="shared" ca="1" si="426"/>
        <v>0</v>
      </c>
      <c r="CJ261" s="12">
        <f t="shared" ca="1" si="426"/>
        <v>0</v>
      </c>
      <c r="CK261" s="12">
        <f t="shared" ca="1" si="426"/>
        <v>0</v>
      </c>
      <c r="CL261" s="12">
        <f t="shared" ca="1" si="426"/>
        <v>0</v>
      </c>
      <c r="CM261" s="12">
        <f t="shared" ca="1" si="426"/>
        <v>0</v>
      </c>
      <c r="CN261" s="12">
        <f t="shared" ca="1" si="426"/>
        <v>0</v>
      </c>
      <c r="CO261" s="12">
        <f t="shared" ca="1" si="426"/>
        <v>0</v>
      </c>
      <c r="CP261" s="12">
        <f t="shared" ca="1" si="426"/>
        <v>0</v>
      </c>
      <c r="CQ261" s="12">
        <f t="shared" ca="1" si="426"/>
        <v>0</v>
      </c>
      <c r="CR261" s="12">
        <f t="shared" ca="1" si="426"/>
        <v>0</v>
      </c>
      <c r="CS261" s="12">
        <f t="shared" ca="1" si="426"/>
        <v>0</v>
      </c>
      <c r="CT261" s="12">
        <f t="shared" ca="1" si="426"/>
        <v>0</v>
      </c>
      <c r="CU261" s="12">
        <f t="shared" ca="1" si="426"/>
        <v>0</v>
      </c>
      <c r="CV261" s="12">
        <f t="shared" ca="1" si="426"/>
        <v>0</v>
      </c>
      <c r="CW261" s="12">
        <f t="shared" ca="1" si="426"/>
        <v>0</v>
      </c>
      <c r="CX261" s="12">
        <f t="shared" ca="1" si="426"/>
        <v>0</v>
      </c>
      <c r="CY261" s="12">
        <f t="shared" ca="1" si="426"/>
        <v>0</v>
      </c>
      <c r="CZ261" s="12">
        <f t="shared" ca="1" si="426"/>
        <v>0</v>
      </c>
      <c r="DA261" s="12">
        <f t="shared" ca="1" si="426"/>
        <v>0</v>
      </c>
      <c r="DB261" s="12">
        <f t="shared" ca="1" si="426"/>
        <v>0</v>
      </c>
      <c r="DC261" s="12">
        <f t="shared" ca="1" si="426"/>
        <v>0</v>
      </c>
      <c r="DD261" s="12">
        <f t="shared" ca="1" si="426"/>
        <v>0</v>
      </c>
      <c r="DE261" s="12">
        <f t="shared" ca="1" si="426"/>
        <v>0</v>
      </c>
      <c r="DF261" s="12">
        <f t="shared" ca="1" si="426"/>
        <v>0</v>
      </c>
      <c r="DG261" s="12">
        <f t="shared" ca="1" si="426"/>
        <v>0</v>
      </c>
      <c r="DH261" s="12">
        <f t="shared" ca="1" si="426"/>
        <v>0</v>
      </c>
      <c r="DI261" s="12">
        <f t="shared" ca="1" si="426"/>
        <v>0</v>
      </c>
      <c r="DJ261" s="12">
        <f t="shared" ca="1" si="426"/>
        <v>0</v>
      </c>
      <c r="DK261" s="12">
        <f t="shared" ca="1" si="426"/>
        <v>0</v>
      </c>
      <c r="DL261" s="12">
        <f t="shared" ca="1" si="426"/>
        <v>0</v>
      </c>
      <c r="DM261" s="12">
        <f t="shared" ca="1" si="426"/>
        <v>0</v>
      </c>
      <c r="DN261" s="12">
        <f t="shared" ca="1" si="426"/>
        <v>0</v>
      </c>
      <c r="DO261" s="12">
        <f t="shared" ca="1" si="426"/>
        <v>0</v>
      </c>
      <c r="DP261" s="12">
        <f t="shared" ca="1" si="426"/>
        <v>0</v>
      </c>
      <c r="DQ261" s="12">
        <f t="shared" ca="1" si="426"/>
        <v>0</v>
      </c>
      <c r="DR261" s="12">
        <f t="shared" ca="1" si="426"/>
        <v>0</v>
      </c>
      <c r="DS261" s="12">
        <f t="shared" ca="1" si="426"/>
        <v>0</v>
      </c>
      <c r="DT261" s="12">
        <f t="shared" ca="1" si="426"/>
        <v>0</v>
      </c>
      <c r="DU261" s="12">
        <f t="shared" ca="1" si="426"/>
        <v>0</v>
      </c>
      <c r="DV261" s="12">
        <f t="shared" ca="1" si="426"/>
        <v>0</v>
      </c>
      <c r="DW261" s="12">
        <f t="shared" ca="1" si="426"/>
        <v>0</v>
      </c>
      <c r="DX261" s="12">
        <f t="shared" ca="1" si="426"/>
        <v>0</v>
      </c>
      <c r="DY261" s="12">
        <f t="shared" ca="1" si="426"/>
        <v>0</v>
      </c>
      <c r="DZ261" s="12">
        <f t="shared" ca="1" si="426"/>
        <v>0</v>
      </c>
      <c r="EA261" s="12">
        <f t="shared" ca="1" si="426"/>
        <v>0</v>
      </c>
      <c r="EB261" s="12">
        <f t="shared" ca="1" si="426"/>
        <v>0</v>
      </c>
      <c r="EC261" s="12">
        <f t="shared" ca="1" si="426"/>
        <v>0</v>
      </c>
      <c r="ED261" s="12">
        <f t="shared" ca="1" si="426"/>
        <v>0</v>
      </c>
      <c r="EE261" s="12">
        <f t="shared" ca="1" si="426"/>
        <v>0</v>
      </c>
      <c r="EF261" s="12">
        <f t="shared" ca="1" si="426"/>
        <v>0</v>
      </c>
      <c r="EG261" s="12">
        <f ca="1">EG254</f>
        <v>0</v>
      </c>
      <c r="EH261" s="12">
        <f ca="1">EH254</f>
        <v>0</v>
      </c>
      <c r="EI261" s="12">
        <f ca="1">EI254</f>
        <v>0</v>
      </c>
      <c r="EJ261" s="12">
        <f ca="1">EJ254</f>
        <v>0</v>
      </c>
    </row>
    <row r="262" spans="2:140" x14ac:dyDescent="0.4">
      <c r="H262" s="316"/>
    </row>
    <row r="263" spans="2:140" x14ac:dyDescent="0.4">
      <c r="B263" s="108" t="s">
        <v>142</v>
      </c>
      <c r="C263" s="178">
        <f ca="1">-SUMIF(H261:EJ261,"&lt;0")</f>
        <v>16874504.999485008</v>
      </c>
      <c r="F263" s="12"/>
      <c r="H263" s="318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</row>
    <row r="264" spans="2:140" x14ac:dyDescent="0.4">
      <c r="B264" s="109" t="s">
        <v>143</v>
      </c>
      <c r="C264" s="179">
        <f ca="1">XIRR(H261:EJ261,$H$6:$EJ$6)</f>
        <v>0.22744136452674865</v>
      </c>
      <c r="H264" s="316"/>
    </row>
    <row r="265" spans="2:140" x14ac:dyDescent="0.4">
      <c r="B265" s="109" t="s">
        <v>144</v>
      </c>
      <c r="C265" s="180">
        <f ca="1">SUM(H261:EJ261)</f>
        <v>11449566.778900255</v>
      </c>
      <c r="H265" s="316"/>
    </row>
    <row r="266" spans="2:140" x14ac:dyDescent="0.4">
      <c r="B266" s="110" t="s">
        <v>145</v>
      </c>
      <c r="C266" s="181">
        <f ca="1">SUMIF(H261:EJ261,"&gt;0")/C263</f>
        <v>1.6785127492184029</v>
      </c>
      <c r="H266" s="316"/>
    </row>
    <row r="267" spans="2:140" x14ac:dyDescent="0.4">
      <c r="H267" s="316"/>
    </row>
    <row r="268" spans="2:140" x14ac:dyDescent="0.4">
      <c r="B268" s="1" t="s">
        <v>109</v>
      </c>
      <c r="F268" s="15"/>
      <c r="H268" s="318">
        <f ca="1">H255</f>
        <v>-610000</v>
      </c>
      <c r="I268" s="12">
        <f t="shared" ref="I268:BT268" ca="1" si="427">I255</f>
        <v>0</v>
      </c>
      <c r="J268" s="12">
        <f t="shared" ca="1" si="427"/>
        <v>0</v>
      </c>
      <c r="K268" s="12">
        <f t="shared" ca="1" si="427"/>
        <v>-36050</v>
      </c>
      <c r="L268" s="12">
        <f t="shared" ca="1" si="427"/>
        <v>-36050</v>
      </c>
      <c r="M268" s="12">
        <f t="shared" ca="1" si="427"/>
        <v>-36050</v>
      </c>
      <c r="N268" s="12">
        <f t="shared" ca="1" si="427"/>
        <v>-36050</v>
      </c>
      <c r="O268" s="12">
        <f t="shared" ca="1" si="427"/>
        <v>-314175</v>
      </c>
      <c r="P268" s="12">
        <f t="shared" ca="1" si="427"/>
        <v>-314175</v>
      </c>
      <c r="Q268" s="12">
        <f t="shared" ca="1" si="427"/>
        <v>-314175</v>
      </c>
      <c r="R268" s="12">
        <f t="shared" ca="1" si="427"/>
        <v>-177844.99994277881</v>
      </c>
      <c r="S268" s="12">
        <f t="shared" ca="1" si="427"/>
        <v>0</v>
      </c>
      <c r="T268" s="12">
        <f t="shared" ca="1" si="427"/>
        <v>0</v>
      </c>
      <c r="U268" s="12">
        <f t="shared" ca="1" si="427"/>
        <v>0</v>
      </c>
      <c r="V268" s="12">
        <f t="shared" ca="1" si="427"/>
        <v>0</v>
      </c>
      <c r="W268" s="12">
        <f t="shared" ca="1" si="427"/>
        <v>0</v>
      </c>
      <c r="X268" s="12">
        <f t="shared" ca="1" si="427"/>
        <v>0</v>
      </c>
      <c r="Y268" s="12">
        <f t="shared" ca="1" si="427"/>
        <v>-375</v>
      </c>
      <c r="Z268" s="12">
        <f t="shared" ca="1" si="427"/>
        <v>218.21149752531201</v>
      </c>
      <c r="AA268" s="12">
        <f t="shared" ca="1" si="427"/>
        <v>3604.1697808240542</v>
      </c>
      <c r="AB268" s="12">
        <f t="shared" ca="1" si="427"/>
        <v>7001.412943924126</v>
      </c>
      <c r="AC268" s="12">
        <f t="shared" ca="1" si="427"/>
        <v>10409.969197651744</v>
      </c>
      <c r="AD268" s="12">
        <f t="shared" ca="1" si="427"/>
        <v>13829.866815521802</v>
      </c>
      <c r="AE268" s="12">
        <f t="shared" ca="1" si="427"/>
        <v>1601.3341338717873</v>
      </c>
      <c r="AF268" s="12">
        <f t="shared" ca="1" si="427"/>
        <v>4505.7139964299422</v>
      </c>
      <c r="AG268" s="12">
        <f t="shared" ca="1" si="427"/>
        <v>8688.3043362286062</v>
      </c>
      <c r="AH268" s="12">
        <f t="shared" ca="1" si="427"/>
        <v>13819.820467727484</v>
      </c>
      <c r="AI268" s="12">
        <f t="shared" ca="1" si="427"/>
        <v>12304.871955549388</v>
      </c>
      <c r="AJ268" s="12">
        <f t="shared" ca="1" si="427"/>
        <v>12885.870962022309</v>
      </c>
      <c r="AK268" s="12">
        <f t="shared" ca="1" si="427"/>
        <v>12423.143502203859</v>
      </c>
      <c r="AL268" s="12">
        <f t="shared" ca="1" si="427"/>
        <v>13009.542258970127</v>
      </c>
      <c r="AM268" s="12">
        <f t="shared" ca="1" si="427"/>
        <v>12546.043249685164</v>
      </c>
      <c r="AN268" s="12">
        <f t="shared" ca="1" si="427"/>
        <v>16039.812391170581</v>
      </c>
      <c r="AO268" s="12">
        <f t="shared" ca="1" si="427"/>
        <v>16639.436006254306</v>
      </c>
      <c r="AP268" s="12">
        <f t="shared" ca="1" si="427"/>
        <v>16185.664667363137</v>
      </c>
      <c r="AQ268" s="12">
        <f t="shared" ca="1" si="427"/>
        <v>16789.392227835837</v>
      </c>
      <c r="AR268" s="12">
        <f t="shared" ca="1" si="427"/>
        <v>2954616.5060964925</v>
      </c>
      <c r="AS268" s="12">
        <f t="shared" ca="1" si="427"/>
        <v>0</v>
      </c>
      <c r="AT268" s="12">
        <f t="shared" ca="1" si="427"/>
        <v>0</v>
      </c>
      <c r="AU268" s="12">
        <f t="shared" ca="1" si="427"/>
        <v>0</v>
      </c>
      <c r="AV268" s="12">
        <f t="shared" ca="1" si="427"/>
        <v>0</v>
      </c>
      <c r="AW268" s="12">
        <f t="shared" ca="1" si="427"/>
        <v>0</v>
      </c>
      <c r="AX268" s="12">
        <f t="shared" ca="1" si="427"/>
        <v>0</v>
      </c>
      <c r="AY268" s="12">
        <f t="shared" ca="1" si="427"/>
        <v>0</v>
      </c>
      <c r="AZ268" s="12">
        <f t="shared" ca="1" si="427"/>
        <v>0</v>
      </c>
      <c r="BA268" s="12">
        <f t="shared" ca="1" si="427"/>
        <v>0</v>
      </c>
      <c r="BB268" s="12">
        <f t="shared" ca="1" si="427"/>
        <v>0</v>
      </c>
      <c r="BC268" s="12">
        <f t="shared" ca="1" si="427"/>
        <v>0</v>
      </c>
      <c r="BD268" s="12">
        <f t="shared" ca="1" si="427"/>
        <v>0</v>
      </c>
      <c r="BE268" s="12">
        <f t="shared" ca="1" si="427"/>
        <v>0</v>
      </c>
      <c r="BF268" s="12">
        <f t="shared" ca="1" si="427"/>
        <v>0</v>
      </c>
      <c r="BG268" s="12">
        <f t="shared" ca="1" si="427"/>
        <v>0</v>
      </c>
      <c r="BH268" s="12">
        <f t="shared" ca="1" si="427"/>
        <v>0</v>
      </c>
      <c r="BI268" s="12">
        <f t="shared" ca="1" si="427"/>
        <v>0</v>
      </c>
      <c r="BJ268" s="12">
        <f t="shared" ca="1" si="427"/>
        <v>0</v>
      </c>
      <c r="BK268" s="12">
        <f t="shared" ca="1" si="427"/>
        <v>0</v>
      </c>
      <c r="BL268" s="12">
        <f t="shared" ca="1" si="427"/>
        <v>0</v>
      </c>
      <c r="BM268" s="12">
        <f t="shared" ca="1" si="427"/>
        <v>0</v>
      </c>
      <c r="BN268" s="12">
        <f t="shared" ca="1" si="427"/>
        <v>0</v>
      </c>
      <c r="BO268" s="12">
        <f t="shared" ca="1" si="427"/>
        <v>0</v>
      </c>
      <c r="BP268" s="12">
        <f t="shared" ca="1" si="427"/>
        <v>0</v>
      </c>
      <c r="BQ268" s="12">
        <f t="shared" ca="1" si="427"/>
        <v>0</v>
      </c>
      <c r="BR268" s="12">
        <f t="shared" ca="1" si="427"/>
        <v>0</v>
      </c>
      <c r="BS268" s="12">
        <f t="shared" ca="1" si="427"/>
        <v>0</v>
      </c>
      <c r="BT268" s="12">
        <f t="shared" ca="1" si="427"/>
        <v>0</v>
      </c>
      <c r="BU268" s="12">
        <f t="shared" ref="BU268:EF268" ca="1" si="428">BU255</f>
        <v>0</v>
      </c>
      <c r="BV268" s="12">
        <f t="shared" ca="1" si="428"/>
        <v>0</v>
      </c>
      <c r="BW268" s="12">
        <f t="shared" ca="1" si="428"/>
        <v>0</v>
      </c>
      <c r="BX268" s="12">
        <f t="shared" ca="1" si="428"/>
        <v>0</v>
      </c>
      <c r="BY268" s="12">
        <f t="shared" ca="1" si="428"/>
        <v>0</v>
      </c>
      <c r="BZ268" s="12">
        <f t="shared" ca="1" si="428"/>
        <v>0</v>
      </c>
      <c r="CA268" s="12">
        <f t="shared" ca="1" si="428"/>
        <v>0</v>
      </c>
      <c r="CB268" s="12">
        <f t="shared" ca="1" si="428"/>
        <v>0</v>
      </c>
      <c r="CC268" s="12">
        <f t="shared" ca="1" si="428"/>
        <v>0</v>
      </c>
      <c r="CD268" s="12">
        <f t="shared" ca="1" si="428"/>
        <v>0</v>
      </c>
      <c r="CE268" s="12">
        <f t="shared" ca="1" si="428"/>
        <v>0</v>
      </c>
      <c r="CF268" s="12">
        <f t="shared" ca="1" si="428"/>
        <v>0</v>
      </c>
      <c r="CG268" s="12">
        <f t="shared" ca="1" si="428"/>
        <v>0</v>
      </c>
      <c r="CH268" s="12">
        <f t="shared" ca="1" si="428"/>
        <v>0</v>
      </c>
      <c r="CI268" s="12">
        <f t="shared" ca="1" si="428"/>
        <v>0</v>
      </c>
      <c r="CJ268" s="12">
        <f t="shared" ca="1" si="428"/>
        <v>0</v>
      </c>
      <c r="CK268" s="12">
        <f t="shared" ca="1" si="428"/>
        <v>0</v>
      </c>
      <c r="CL268" s="12">
        <f t="shared" ca="1" si="428"/>
        <v>0</v>
      </c>
      <c r="CM268" s="12">
        <f t="shared" ca="1" si="428"/>
        <v>0</v>
      </c>
      <c r="CN268" s="12">
        <f t="shared" ca="1" si="428"/>
        <v>0</v>
      </c>
      <c r="CO268" s="12">
        <f t="shared" ca="1" si="428"/>
        <v>0</v>
      </c>
      <c r="CP268" s="12">
        <f t="shared" ca="1" si="428"/>
        <v>0</v>
      </c>
      <c r="CQ268" s="12">
        <f t="shared" ca="1" si="428"/>
        <v>0</v>
      </c>
      <c r="CR268" s="12">
        <f t="shared" ca="1" si="428"/>
        <v>0</v>
      </c>
      <c r="CS268" s="12">
        <f t="shared" ca="1" si="428"/>
        <v>0</v>
      </c>
      <c r="CT268" s="12">
        <f t="shared" ca="1" si="428"/>
        <v>0</v>
      </c>
      <c r="CU268" s="12">
        <f t="shared" ca="1" si="428"/>
        <v>0</v>
      </c>
      <c r="CV268" s="12">
        <f t="shared" ca="1" si="428"/>
        <v>0</v>
      </c>
      <c r="CW268" s="12">
        <f t="shared" ca="1" si="428"/>
        <v>0</v>
      </c>
      <c r="CX268" s="12">
        <f t="shared" ca="1" si="428"/>
        <v>0</v>
      </c>
      <c r="CY268" s="12">
        <f t="shared" ca="1" si="428"/>
        <v>0</v>
      </c>
      <c r="CZ268" s="12">
        <f t="shared" ca="1" si="428"/>
        <v>0</v>
      </c>
      <c r="DA268" s="12">
        <f t="shared" ca="1" si="428"/>
        <v>0</v>
      </c>
      <c r="DB268" s="12">
        <f t="shared" ca="1" si="428"/>
        <v>0</v>
      </c>
      <c r="DC268" s="12">
        <f t="shared" ca="1" si="428"/>
        <v>0</v>
      </c>
      <c r="DD268" s="12">
        <f t="shared" ca="1" si="428"/>
        <v>0</v>
      </c>
      <c r="DE268" s="12">
        <f t="shared" ca="1" si="428"/>
        <v>0</v>
      </c>
      <c r="DF268" s="12">
        <f t="shared" ca="1" si="428"/>
        <v>0</v>
      </c>
      <c r="DG268" s="12">
        <f t="shared" ca="1" si="428"/>
        <v>0</v>
      </c>
      <c r="DH268" s="12">
        <f t="shared" ca="1" si="428"/>
        <v>0</v>
      </c>
      <c r="DI268" s="12">
        <f t="shared" ca="1" si="428"/>
        <v>0</v>
      </c>
      <c r="DJ268" s="12">
        <f t="shared" ca="1" si="428"/>
        <v>0</v>
      </c>
      <c r="DK268" s="12">
        <f t="shared" ca="1" si="428"/>
        <v>0</v>
      </c>
      <c r="DL268" s="12">
        <f t="shared" ca="1" si="428"/>
        <v>0</v>
      </c>
      <c r="DM268" s="12">
        <f t="shared" ca="1" si="428"/>
        <v>0</v>
      </c>
      <c r="DN268" s="12">
        <f t="shared" ca="1" si="428"/>
        <v>0</v>
      </c>
      <c r="DO268" s="12">
        <f t="shared" ca="1" si="428"/>
        <v>0</v>
      </c>
      <c r="DP268" s="12">
        <f t="shared" ca="1" si="428"/>
        <v>0</v>
      </c>
      <c r="DQ268" s="12">
        <f t="shared" ca="1" si="428"/>
        <v>0</v>
      </c>
      <c r="DR268" s="12">
        <f t="shared" ca="1" si="428"/>
        <v>0</v>
      </c>
      <c r="DS268" s="12">
        <f t="shared" ca="1" si="428"/>
        <v>0</v>
      </c>
      <c r="DT268" s="12">
        <f t="shared" ca="1" si="428"/>
        <v>0</v>
      </c>
      <c r="DU268" s="12">
        <f t="shared" ca="1" si="428"/>
        <v>0</v>
      </c>
      <c r="DV268" s="12">
        <f t="shared" ca="1" si="428"/>
        <v>0</v>
      </c>
      <c r="DW268" s="12">
        <f t="shared" ca="1" si="428"/>
        <v>0</v>
      </c>
      <c r="DX268" s="12">
        <f t="shared" ca="1" si="428"/>
        <v>0</v>
      </c>
      <c r="DY268" s="12">
        <f t="shared" ca="1" si="428"/>
        <v>0</v>
      </c>
      <c r="DZ268" s="12">
        <f t="shared" ca="1" si="428"/>
        <v>0</v>
      </c>
      <c r="EA268" s="12">
        <f t="shared" ca="1" si="428"/>
        <v>0</v>
      </c>
      <c r="EB268" s="12">
        <f t="shared" ca="1" si="428"/>
        <v>0</v>
      </c>
      <c r="EC268" s="12">
        <f t="shared" ca="1" si="428"/>
        <v>0</v>
      </c>
      <c r="ED268" s="12">
        <f t="shared" ca="1" si="428"/>
        <v>0</v>
      </c>
      <c r="EE268" s="12">
        <f t="shared" ca="1" si="428"/>
        <v>0</v>
      </c>
      <c r="EF268" s="12">
        <f t="shared" ca="1" si="428"/>
        <v>0</v>
      </c>
      <c r="EG268" s="12">
        <f ca="1">EG255</f>
        <v>0</v>
      </c>
      <c r="EH268" s="12">
        <f ca="1">EH255</f>
        <v>0</v>
      </c>
      <c r="EI268" s="12">
        <f ca="1">EI255</f>
        <v>0</v>
      </c>
      <c r="EJ268" s="12">
        <f ca="1">EJ255</f>
        <v>0</v>
      </c>
    </row>
    <row r="269" spans="2:140" x14ac:dyDescent="0.4">
      <c r="C269" s="251"/>
      <c r="H269" s="316"/>
    </row>
    <row r="270" spans="2:140" x14ac:dyDescent="0.4">
      <c r="B270" s="108" t="s">
        <v>142</v>
      </c>
      <c r="C270" s="113">
        <f ca="1">-SUMIF(H268:EJ268,"&lt;0")</f>
        <v>1874944.9999427788</v>
      </c>
      <c r="F270" s="12"/>
      <c r="H270" s="318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</row>
    <row r="271" spans="2:140" x14ac:dyDescent="0.4">
      <c r="B271" s="109" t="s">
        <v>143</v>
      </c>
      <c r="C271" s="112">
        <f ca="1">XIRR(H268:EJ268,$H$6:$EJ$6)</f>
        <v>0.22744136452674865</v>
      </c>
      <c r="H271" s="316"/>
    </row>
    <row r="272" spans="2:140" x14ac:dyDescent="0.4">
      <c r="B272" s="109" t="s">
        <v>144</v>
      </c>
      <c r="C272" s="111">
        <f ca="1">SUM(H268:EJ268)</f>
        <v>1272174.0865444732</v>
      </c>
      <c r="H272" s="316"/>
    </row>
    <row r="273" spans="2:140" x14ac:dyDescent="0.4">
      <c r="B273" s="110" t="s">
        <v>145</v>
      </c>
      <c r="C273" s="114">
        <f ca="1">SUMIF(H268:EJ268,"&gt;0")/C270</f>
        <v>1.6785127492184031</v>
      </c>
      <c r="H273" s="316"/>
    </row>
    <row r="274" spans="2:140" x14ac:dyDescent="0.4">
      <c r="H274" s="316"/>
    </row>
    <row r="275" spans="2:140" x14ac:dyDescent="0.4">
      <c r="B275" s="1" t="s">
        <v>108</v>
      </c>
      <c r="F275" s="15"/>
      <c r="H275" s="318">
        <f ca="1">SUM(H255:H256)</f>
        <v>-610000</v>
      </c>
      <c r="I275" s="12">
        <f t="shared" ref="I275:BT275" ca="1" si="429">SUM(I255:I256)</f>
        <v>0</v>
      </c>
      <c r="J275" s="12">
        <f t="shared" ca="1" si="429"/>
        <v>0</v>
      </c>
      <c r="K275" s="12">
        <f t="shared" ca="1" si="429"/>
        <v>-36050</v>
      </c>
      <c r="L275" s="12">
        <f t="shared" ca="1" si="429"/>
        <v>-36050</v>
      </c>
      <c r="M275" s="12">
        <f t="shared" ca="1" si="429"/>
        <v>-36050</v>
      </c>
      <c r="N275" s="12">
        <f t="shared" ca="1" si="429"/>
        <v>-36050</v>
      </c>
      <c r="O275" s="12">
        <f t="shared" ca="1" si="429"/>
        <v>-314175</v>
      </c>
      <c r="P275" s="12">
        <f t="shared" ca="1" si="429"/>
        <v>-314175</v>
      </c>
      <c r="Q275" s="12">
        <f t="shared" ca="1" si="429"/>
        <v>-314175</v>
      </c>
      <c r="R275" s="12">
        <f t="shared" ca="1" si="429"/>
        <v>-177844.99994277881</v>
      </c>
      <c r="S275" s="12">
        <f t="shared" ca="1" si="429"/>
        <v>0</v>
      </c>
      <c r="T275" s="12">
        <f t="shared" ca="1" si="429"/>
        <v>0</v>
      </c>
      <c r="U275" s="12">
        <f t="shared" ca="1" si="429"/>
        <v>0</v>
      </c>
      <c r="V275" s="12">
        <f t="shared" ca="1" si="429"/>
        <v>0</v>
      </c>
      <c r="W275" s="12">
        <f t="shared" ca="1" si="429"/>
        <v>0</v>
      </c>
      <c r="X275" s="12">
        <f t="shared" ca="1" si="429"/>
        <v>0</v>
      </c>
      <c r="Y275" s="12">
        <f t="shared" ca="1" si="429"/>
        <v>-375</v>
      </c>
      <c r="Z275" s="12">
        <f t="shared" ca="1" si="429"/>
        <v>218.21149752531201</v>
      </c>
      <c r="AA275" s="12">
        <f t="shared" ca="1" si="429"/>
        <v>3604.1697808240542</v>
      </c>
      <c r="AB275" s="12">
        <f t="shared" ca="1" si="429"/>
        <v>7001.412943924126</v>
      </c>
      <c r="AC275" s="12">
        <f t="shared" ca="1" si="429"/>
        <v>10409.969197651744</v>
      </c>
      <c r="AD275" s="12">
        <f t="shared" ca="1" si="429"/>
        <v>13829.866815521802</v>
      </c>
      <c r="AE275" s="12">
        <f t="shared" ca="1" si="429"/>
        <v>1601.3341338717873</v>
      </c>
      <c r="AF275" s="12">
        <f t="shared" ca="1" si="429"/>
        <v>4505.7139964299422</v>
      </c>
      <c r="AG275" s="12">
        <f t="shared" ca="1" si="429"/>
        <v>8688.3043362286062</v>
      </c>
      <c r="AH275" s="12">
        <f t="shared" ca="1" si="429"/>
        <v>13819.820467727484</v>
      </c>
      <c r="AI275" s="12">
        <f t="shared" ca="1" si="429"/>
        <v>12304.871955549388</v>
      </c>
      <c r="AJ275" s="12">
        <f t="shared" ca="1" si="429"/>
        <v>12885.870962022309</v>
      </c>
      <c r="AK275" s="12">
        <f t="shared" ca="1" si="429"/>
        <v>12423.143502203859</v>
      </c>
      <c r="AL275" s="12">
        <f t="shared" ca="1" si="429"/>
        <v>13009.542258970127</v>
      </c>
      <c r="AM275" s="12">
        <f t="shared" ca="1" si="429"/>
        <v>12546.043249685164</v>
      </c>
      <c r="AN275" s="12">
        <f t="shared" ca="1" si="429"/>
        <v>16039.812391170581</v>
      </c>
      <c r="AO275" s="12">
        <f t="shared" ca="1" si="429"/>
        <v>16639.436006254306</v>
      </c>
      <c r="AP275" s="12">
        <f t="shared" ca="1" si="429"/>
        <v>16185.664667363137</v>
      </c>
      <c r="AQ275" s="12">
        <f t="shared" ca="1" si="429"/>
        <v>16789.392227835837</v>
      </c>
      <c r="AR275" s="12">
        <f t="shared" ca="1" si="429"/>
        <v>6148145.4258884043</v>
      </c>
      <c r="AS275" s="12">
        <f t="shared" ca="1" si="429"/>
        <v>0</v>
      </c>
      <c r="AT275" s="12">
        <f t="shared" ca="1" si="429"/>
        <v>0</v>
      </c>
      <c r="AU275" s="12">
        <f t="shared" ca="1" si="429"/>
        <v>0</v>
      </c>
      <c r="AV275" s="12">
        <f t="shared" ca="1" si="429"/>
        <v>0</v>
      </c>
      <c r="AW275" s="12">
        <f t="shared" ca="1" si="429"/>
        <v>0</v>
      </c>
      <c r="AX275" s="12">
        <f t="shared" ca="1" si="429"/>
        <v>0</v>
      </c>
      <c r="AY275" s="12">
        <f t="shared" ca="1" si="429"/>
        <v>0</v>
      </c>
      <c r="AZ275" s="12">
        <f t="shared" ca="1" si="429"/>
        <v>0</v>
      </c>
      <c r="BA275" s="12">
        <f t="shared" ca="1" si="429"/>
        <v>0</v>
      </c>
      <c r="BB275" s="12">
        <f t="shared" ca="1" si="429"/>
        <v>0</v>
      </c>
      <c r="BC275" s="12">
        <f t="shared" ca="1" si="429"/>
        <v>0</v>
      </c>
      <c r="BD275" s="12">
        <f t="shared" ca="1" si="429"/>
        <v>0</v>
      </c>
      <c r="BE275" s="12">
        <f t="shared" ca="1" si="429"/>
        <v>0</v>
      </c>
      <c r="BF275" s="12">
        <f t="shared" ca="1" si="429"/>
        <v>0</v>
      </c>
      <c r="BG275" s="12">
        <f t="shared" ca="1" si="429"/>
        <v>0</v>
      </c>
      <c r="BH275" s="12">
        <f t="shared" ca="1" si="429"/>
        <v>0</v>
      </c>
      <c r="BI275" s="12">
        <f t="shared" ca="1" si="429"/>
        <v>0</v>
      </c>
      <c r="BJ275" s="12">
        <f t="shared" ca="1" si="429"/>
        <v>0</v>
      </c>
      <c r="BK275" s="12">
        <f t="shared" ca="1" si="429"/>
        <v>0</v>
      </c>
      <c r="BL275" s="12">
        <f t="shared" ca="1" si="429"/>
        <v>0</v>
      </c>
      <c r="BM275" s="12">
        <f t="shared" ca="1" si="429"/>
        <v>0</v>
      </c>
      <c r="BN275" s="12">
        <f t="shared" ca="1" si="429"/>
        <v>0</v>
      </c>
      <c r="BO275" s="12">
        <f t="shared" ca="1" si="429"/>
        <v>0</v>
      </c>
      <c r="BP275" s="12">
        <f t="shared" ca="1" si="429"/>
        <v>0</v>
      </c>
      <c r="BQ275" s="12">
        <f t="shared" ca="1" si="429"/>
        <v>0</v>
      </c>
      <c r="BR275" s="12">
        <f t="shared" ca="1" si="429"/>
        <v>0</v>
      </c>
      <c r="BS275" s="12">
        <f t="shared" ca="1" si="429"/>
        <v>0</v>
      </c>
      <c r="BT275" s="12">
        <f t="shared" ca="1" si="429"/>
        <v>0</v>
      </c>
      <c r="BU275" s="12">
        <f t="shared" ref="BU275:EF275" ca="1" si="430">SUM(BU255:BU256)</f>
        <v>0</v>
      </c>
      <c r="BV275" s="12">
        <f t="shared" ca="1" si="430"/>
        <v>0</v>
      </c>
      <c r="BW275" s="12">
        <f t="shared" ca="1" si="430"/>
        <v>0</v>
      </c>
      <c r="BX275" s="12">
        <f t="shared" ca="1" si="430"/>
        <v>0</v>
      </c>
      <c r="BY275" s="12">
        <f t="shared" ca="1" si="430"/>
        <v>0</v>
      </c>
      <c r="BZ275" s="12">
        <f t="shared" ca="1" si="430"/>
        <v>0</v>
      </c>
      <c r="CA275" s="12">
        <f t="shared" ca="1" si="430"/>
        <v>0</v>
      </c>
      <c r="CB275" s="12">
        <f t="shared" ca="1" si="430"/>
        <v>0</v>
      </c>
      <c r="CC275" s="12">
        <f t="shared" ca="1" si="430"/>
        <v>0</v>
      </c>
      <c r="CD275" s="12">
        <f t="shared" ca="1" si="430"/>
        <v>0</v>
      </c>
      <c r="CE275" s="12">
        <f t="shared" ca="1" si="430"/>
        <v>0</v>
      </c>
      <c r="CF275" s="12">
        <f t="shared" ca="1" si="430"/>
        <v>0</v>
      </c>
      <c r="CG275" s="12">
        <f t="shared" ca="1" si="430"/>
        <v>0</v>
      </c>
      <c r="CH275" s="12">
        <f t="shared" ca="1" si="430"/>
        <v>0</v>
      </c>
      <c r="CI275" s="12">
        <f t="shared" ca="1" si="430"/>
        <v>0</v>
      </c>
      <c r="CJ275" s="12">
        <f t="shared" ca="1" si="430"/>
        <v>0</v>
      </c>
      <c r="CK275" s="12">
        <f t="shared" ca="1" si="430"/>
        <v>0</v>
      </c>
      <c r="CL275" s="12">
        <f t="shared" ca="1" si="430"/>
        <v>0</v>
      </c>
      <c r="CM275" s="12">
        <f t="shared" ca="1" si="430"/>
        <v>0</v>
      </c>
      <c r="CN275" s="12">
        <f t="shared" ca="1" si="430"/>
        <v>0</v>
      </c>
      <c r="CO275" s="12">
        <f t="shared" ca="1" si="430"/>
        <v>0</v>
      </c>
      <c r="CP275" s="12">
        <f t="shared" ca="1" si="430"/>
        <v>0</v>
      </c>
      <c r="CQ275" s="12">
        <f t="shared" ca="1" si="430"/>
        <v>0</v>
      </c>
      <c r="CR275" s="12">
        <f t="shared" ca="1" si="430"/>
        <v>0</v>
      </c>
      <c r="CS275" s="12">
        <f t="shared" ca="1" si="430"/>
        <v>0</v>
      </c>
      <c r="CT275" s="12">
        <f t="shared" ca="1" si="430"/>
        <v>0</v>
      </c>
      <c r="CU275" s="12">
        <f t="shared" ca="1" si="430"/>
        <v>0</v>
      </c>
      <c r="CV275" s="12">
        <f t="shared" ca="1" si="430"/>
        <v>0</v>
      </c>
      <c r="CW275" s="12">
        <f t="shared" ca="1" si="430"/>
        <v>0</v>
      </c>
      <c r="CX275" s="12">
        <f t="shared" ca="1" si="430"/>
        <v>0</v>
      </c>
      <c r="CY275" s="12">
        <f t="shared" ca="1" si="430"/>
        <v>0</v>
      </c>
      <c r="CZ275" s="12">
        <f t="shared" ca="1" si="430"/>
        <v>0</v>
      </c>
      <c r="DA275" s="12">
        <f t="shared" ca="1" si="430"/>
        <v>0</v>
      </c>
      <c r="DB275" s="12">
        <f t="shared" ca="1" si="430"/>
        <v>0</v>
      </c>
      <c r="DC275" s="12">
        <f t="shared" ca="1" si="430"/>
        <v>0</v>
      </c>
      <c r="DD275" s="12">
        <f t="shared" ca="1" si="430"/>
        <v>0</v>
      </c>
      <c r="DE275" s="12">
        <f t="shared" ca="1" si="430"/>
        <v>0</v>
      </c>
      <c r="DF275" s="12">
        <f t="shared" ca="1" si="430"/>
        <v>0</v>
      </c>
      <c r="DG275" s="12">
        <f t="shared" ca="1" si="430"/>
        <v>0</v>
      </c>
      <c r="DH275" s="12">
        <f t="shared" ca="1" si="430"/>
        <v>0</v>
      </c>
      <c r="DI275" s="12">
        <f t="shared" ca="1" si="430"/>
        <v>0</v>
      </c>
      <c r="DJ275" s="12">
        <f t="shared" ca="1" si="430"/>
        <v>0</v>
      </c>
      <c r="DK275" s="12">
        <f t="shared" ca="1" si="430"/>
        <v>0</v>
      </c>
      <c r="DL275" s="12">
        <f t="shared" ca="1" si="430"/>
        <v>0</v>
      </c>
      <c r="DM275" s="12">
        <f t="shared" ca="1" si="430"/>
        <v>0</v>
      </c>
      <c r="DN275" s="12">
        <f t="shared" ca="1" si="430"/>
        <v>0</v>
      </c>
      <c r="DO275" s="12">
        <f t="shared" ca="1" si="430"/>
        <v>0</v>
      </c>
      <c r="DP275" s="12">
        <f t="shared" ca="1" si="430"/>
        <v>0</v>
      </c>
      <c r="DQ275" s="12">
        <f t="shared" ca="1" si="430"/>
        <v>0</v>
      </c>
      <c r="DR275" s="12">
        <f t="shared" ca="1" si="430"/>
        <v>0</v>
      </c>
      <c r="DS275" s="12">
        <f t="shared" ca="1" si="430"/>
        <v>0</v>
      </c>
      <c r="DT275" s="12">
        <f t="shared" ca="1" si="430"/>
        <v>0</v>
      </c>
      <c r="DU275" s="12">
        <f t="shared" ca="1" si="430"/>
        <v>0</v>
      </c>
      <c r="DV275" s="12">
        <f t="shared" ca="1" si="430"/>
        <v>0</v>
      </c>
      <c r="DW275" s="12">
        <f t="shared" ca="1" si="430"/>
        <v>0</v>
      </c>
      <c r="DX275" s="12">
        <f t="shared" ca="1" si="430"/>
        <v>0</v>
      </c>
      <c r="DY275" s="12">
        <f t="shared" ca="1" si="430"/>
        <v>0</v>
      </c>
      <c r="DZ275" s="12">
        <f t="shared" ca="1" si="430"/>
        <v>0</v>
      </c>
      <c r="EA275" s="12">
        <f t="shared" ca="1" si="430"/>
        <v>0</v>
      </c>
      <c r="EB275" s="12">
        <f t="shared" ca="1" si="430"/>
        <v>0</v>
      </c>
      <c r="EC275" s="12">
        <f t="shared" ca="1" si="430"/>
        <v>0</v>
      </c>
      <c r="ED275" s="12">
        <f t="shared" ca="1" si="430"/>
        <v>0</v>
      </c>
      <c r="EE275" s="12">
        <f t="shared" ca="1" si="430"/>
        <v>0</v>
      </c>
      <c r="EF275" s="12">
        <f t="shared" ca="1" si="430"/>
        <v>0</v>
      </c>
      <c r="EG275" s="12">
        <f ca="1">SUM(EG255:EG256)</f>
        <v>0</v>
      </c>
      <c r="EH275" s="12">
        <f ca="1">SUM(EH255:EH256)</f>
        <v>0</v>
      </c>
      <c r="EI275" s="12">
        <f ca="1">SUM(EI255:EI256)</f>
        <v>0</v>
      </c>
      <c r="EJ275" s="12">
        <f ca="1">SUM(EJ255:EJ256)</f>
        <v>0</v>
      </c>
    </row>
    <row r="276" spans="2:140" x14ac:dyDescent="0.4">
      <c r="H276" s="316"/>
    </row>
    <row r="277" spans="2:140" x14ac:dyDescent="0.4">
      <c r="B277" s="108" t="s">
        <v>142</v>
      </c>
      <c r="C277" s="113">
        <f ca="1">-SUMIF(H275:EJ275,"&lt;0")</f>
        <v>1874944.9999427788</v>
      </c>
      <c r="F277" s="12"/>
      <c r="G277" s="12"/>
      <c r="H277" s="318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</row>
    <row r="278" spans="2:140" x14ac:dyDescent="0.4">
      <c r="B278" s="109" t="s">
        <v>143</v>
      </c>
      <c r="C278" s="112">
        <f ca="1">XIRR(H275:EJ275,$H$6:$EJ$6)</f>
        <v>0.60943712592124932</v>
      </c>
      <c r="H278" s="316"/>
    </row>
    <row r="279" spans="2:140" x14ac:dyDescent="0.4">
      <c r="B279" s="109" t="s">
        <v>144</v>
      </c>
      <c r="C279" s="111">
        <f ca="1">SUM(H275:EJ275)</f>
        <v>4465703.0063363854</v>
      </c>
      <c r="H279" s="316"/>
    </row>
    <row r="280" spans="2:140" x14ac:dyDescent="0.4">
      <c r="B280" s="110" t="s">
        <v>145</v>
      </c>
      <c r="C280" s="114">
        <f ca="1">SUMIF(H275:EJ275,"&gt;0")/C277</f>
        <v>3.381778135610737</v>
      </c>
      <c r="H280" s="316"/>
    </row>
  </sheetData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60C7B-9A98-409D-9431-3EFCEE7D43C9}">
  <dimension ref="B1:G48"/>
  <sheetViews>
    <sheetView showGridLines="0" zoomScaleNormal="100" workbookViewId="0">
      <selection activeCell="E34" sqref="E34"/>
    </sheetView>
  </sheetViews>
  <sheetFormatPr defaultColWidth="9.1796875" defaultRowHeight="14.5" x14ac:dyDescent="0.4"/>
  <cols>
    <col min="1" max="1" width="9.1796875" style="1"/>
    <col min="2" max="2" width="29.26953125" style="1" bestFit="1" customWidth="1"/>
    <col min="3" max="3" width="9.1796875" style="1"/>
    <col min="4" max="7" width="15.7265625" style="1" customWidth="1"/>
    <col min="8" max="16384" width="9.1796875" style="1"/>
  </cols>
  <sheetData>
    <row r="1" spans="2:7" x14ac:dyDescent="0.4">
      <c r="D1" s="332"/>
    </row>
    <row r="2" spans="2:7" ht="15" thickBot="1" x14ac:dyDescent="0.45">
      <c r="B2" s="75" t="s">
        <v>242</v>
      </c>
      <c r="D2" s="332"/>
    </row>
    <row r="3" spans="2:7" ht="15" thickTop="1" x14ac:dyDescent="0.4">
      <c r="B3" s="171"/>
      <c r="C3" s="171"/>
      <c r="D3" s="333"/>
      <c r="E3" s="171"/>
      <c r="F3" s="171"/>
    </row>
    <row r="4" spans="2:7" ht="16" x14ac:dyDescent="0.55000000000000004">
      <c r="D4" s="334" t="s">
        <v>244</v>
      </c>
      <c r="E4" s="172" t="s">
        <v>245</v>
      </c>
      <c r="F4" s="172" t="s">
        <v>246</v>
      </c>
      <c r="G4" s="172"/>
    </row>
    <row r="5" spans="2:7" x14ac:dyDescent="0.4">
      <c r="D5" s="335"/>
    </row>
    <row r="6" spans="2:7" x14ac:dyDescent="0.4">
      <c r="B6" s="1" t="s">
        <v>247</v>
      </c>
      <c r="D6" s="336">
        <f ca="1">E6/$E$34</f>
        <v>8.5112612498424611E-2</v>
      </c>
      <c r="E6" s="307">
        <v>5000000</v>
      </c>
      <c r="F6" s="244">
        <f>E6/'Inputs &amp; Drivers'!$E$8</f>
        <v>16666.666666666668</v>
      </c>
    </row>
    <row r="7" spans="2:7" x14ac:dyDescent="0.4">
      <c r="B7" s="1" t="s">
        <v>248</v>
      </c>
      <c r="D7" s="336">
        <f ca="1">E7/$E$34</f>
        <v>0</v>
      </c>
      <c r="E7" s="51">
        <v>0</v>
      </c>
      <c r="F7" s="244">
        <f>E7/'Inputs &amp; Drivers'!$E$8</f>
        <v>0</v>
      </c>
    </row>
    <row r="8" spans="2:7" x14ac:dyDescent="0.4">
      <c r="B8" s="1" t="s">
        <v>151</v>
      </c>
      <c r="D8" s="336">
        <f ca="1">E8/$E$34</f>
        <v>1.1915765749779445E-2</v>
      </c>
      <c r="E8" s="51">
        <v>700000</v>
      </c>
      <c r="F8" s="244">
        <f>E8/'Inputs &amp; Drivers'!$E$8</f>
        <v>2333.3333333333335</v>
      </c>
    </row>
    <row r="9" spans="2:7" x14ac:dyDescent="0.4">
      <c r="B9" s="89" t="s">
        <v>263</v>
      </c>
      <c r="C9" s="107"/>
      <c r="D9" s="337">
        <f ca="1">SUM(D6:D8)</f>
        <v>9.7028378248204053E-2</v>
      </c>
      <c r="E9" s="168">
        <f>SUM(E6:E8)</f>
        <v>5700000</v>
      </c>
      <c r="F9" s="173">
        <f>SUM(F6:F8)</f>
        <v>19000</v>
      </c>
    </row>
    <row r="10" spans="2:7" x14ac:dyDescent="0.4">
      <c r="D10" s="335"/>
      <c r="E10" s="51"/>
    </row>
    <row r="11" spans="2:7" x14ac:dyDescent="0.4">
      <c r="B11" s="1" t="s">
        <v>252</v>
      </c>
      <c r="D11" s="336">
        <f ca="1">E11/$E$34</f>
        <v>5.3365608036512226E-2</v>
      </c>
      <c r="E11" s="51">
        <v>3135000</v>
      </c>
      <c r="F11" s="244">
        <f>E11/'Inputs &amp; Drivers'!$E$8</f>
        <v>10450</v>
      </c>
    </row>
    <row r="12" spans="2:7" x14ac:dyDescent="0.4">
      <c r="B12" s="1" t="s">
        <v>253</v>
      </c>
      <c r="D12" s="336">
        <f ca="1">E12/$E$34</f>
        <v>3.5321734186846213E-2</v>
      </c>
      <c r="E12" s="51">
        <v>2075000</v>
      </c>
      <c r="F12" s="244">
        <f>E12/'Inputs &amp; Drivers'!$E$8</f>
        <v>6916.666666666667</v>
      </c>
    </row>
    <row r="13" spans="2:7" x14ac:dyDescent="0.4">
      <c r="B13" s="1" t="s">
        <v>254</v>
      </c>
      <c r="D13" s="336">
        <f ca="1">E13/$E$34</f>
        <v>4.25563062492123E-3</v>
      </c>
      <c r="E13" s="51">
        <v>250000</v>
      </c>
      <c r="F13" s="244">
        <f>E13/'Inputs &amp; Drivers'!$E$8</f>
        <v>833.33333333333337</v>
      </c>
    </row>
    <row r="14" spans="2:7" x14ac:dyDescent="0.4">
      <c r="B14" s="1" t="s">
        <v>59</v>
      </c>
      <c r="D14" s="336">
        <f ca="1">E14/$E$34</f>
        <v>0</v>
      </c>
      <c r="E14" s="51">
        <v>0</v>
      </c>
      <c r="F14" s="244">
        <f>E14/'Inputs &amp; Drivers'!$E$8</f>
        <v>0</v>
      </c>
    </row>
    <row r="15" spans="2:7" x14ac:dyDescent="0.4">
      <c r="B15" s="89" t="s">
        <v>236</v>
      </c>
      <c r="C15" s="107"/>
      <c r="D15" s="337">
        <f ca="1">SUM(D11:D14)</f>
        <v>9.2942972848279681E-2</v>
      </c>
      <c r="E15" s="168">
        <f>SUM(E11:E14)</f>
        <v>5460000</v>
      </c>
      <c r="F15" s="173">
        <f>SUM(F11:F14)</f>
        <v>18200</v>
      </c>
    </row>
    <row r="16" spans="2:7" x14ac:dyDescent="0.4">
      <c r="D16" s="335"/>
      <c r="E16" s="51"/>
    </row>
    <row r="17" spans="2:6" x14ac:dyDescent="0.4">
      <c r="B17" s="1" t="s">
        <v>249</v>
      </c>
      <c r="D17" s="336">
        <f ca="1">E17/$E$34</f>
        <v>2.5533783749527384E-3</v>
      </c>
      <c r="E17" s="51">
        <v>150000</v>
      </c>
      <c r="F17" s="244">
        <f>E17/'Inputs &amp; Drivers'!$E$8</f>
        <v>500</v>
      </c>
    </row>
    <row r="18" spans="2:6" x14ac:dyDescent="0.4">
      <c r="B18" s="1" t="s">
        <v>250</v>
      </c>
      <c r="D18" s="336">
        <f ca="1">E18/$E$34</f>
        <v>0.71494594498676667</v>
      </c>
      <c r="E18" s="51">
        <v>42000000</v>
      </c>
      <c r="F18" s="244">
        <f>E18/'Inputs &amp; Drivers'!$E$8</f>
        <v>140000</v>
      </c>
    </row>
    <row r="19" spans="2:6" x14ac:dyDescent="0.4">
      <c r="B19" s="1" t="s">
        <v>251</v>
      </c>
      <c r="D19" s="336">
        <f ca="1">E19/$E$34</f>
        <v>1.1915765749779445E-2</v>
      </c>
      <c r="E19" s="51">
        <v>700000</v>
      </c>
      <c r="F19" s="244">
        <f>E19/'Inputs &amp; Drivers'!$E$8</f>
        <v>2333.3333333333335</v>
      </c>
    </row>
    <row r="20" spans="2:6" x14ac:dyDescent="0.4">
      <c r="B20" s="1" t="s">
        <v>59</v>
      </c>
      <c r="D20" s="336">
        <f ca="1">E20/$E$34</f>
        <v>2.808716212448012E-2</v>
      </c>
      <c r="E20" s="51">
        <v>1650000</v>
      </c>
      <c r="F20" s="244">
        <f>E20/'Inputs &amp; Drivers'!$E$8</f>
        <v>5500</v>
      </c>
    </row>
    <row r="21" spans="2:6" x14ac:dyDescent="0.4">
      <c r="B21" s="89" t="s">
        <v>235</v>
      </c>
      <c r="C21" s="107"/>
      <c r="D21" s="337">
        <f ca="1">SUM(D17:D20)</f>
        <v>0.75750225123597903</v>
      </c>
      <c r="E21" s="168">
        <f>SUM(E17:E20)</f>
        <v>44500000</v>
      </c>
      <c r="F21" s="173">
        <f>SUM(F17:F20)</f>
        <v>148333.33333333334</v>
      </c>
    </row>
    <row r="22" spans="2:6" x14ac:dyDescent="0.4">
      <c r="D22" s="335"/>
      <c r="E22" s="51"/>
    </row>
    <row r="23" spans="2:6" x14ac:dyDescent="0.4">
      <c r="B23" s="1" t="s">
        <v>255</v>
      </c>
      <c r="D23" s="336">
        <f ca="1">E23/$E$34</f>
        <v>2.9789414374448611E-2</v>
      </c>
      <c r="E23" s="51">
        <v>1750000</v>
      </c>
      <c r="F23" s="244">
        <f>E23/'Inputs &amp; Drivers'!$E$8</f>
        <v>5833.333333333333</v>
      </c>
    </row>
    <row r="24" spans="2:6" x14ac:dyDescent="0.4">
      <c r="B24" s="1" t="s">
        <v>256</v>
      </c>
      <c r="D24" s="336">
        <f ca="1">E24/$E$34</f>
        <v>0</v>
      </c>
      <c r="E24" s="51">
        <v>0</v>
      </c>
      <c r="F24" s="244">
        <f>E24/'Inputs &amp; Drivers'!$E$8</f>
        <v>0</v>
      </c>
    </row>
    <row r="25" spans="2:6" x14ac:dyDescent="0.4">
      <c r="B25" s="89" t="s">
        <v>264</v>
      </c>
      <c r="C25" s="107"/>
      <c r="D25" s="337">
        <f ca="1">SUM(D23:D24)</f>
        <v>2.9789414374448611E-2</v>
      </c>
      <c r="E25" s="168">
        <f>SUM(E23:E24)</f>
        <v>1750000</v>
      </c>
      <c r="F25" s="173">
        <f>SUM(F23:F24)</f>
        <v>5833.333333333333</v>
      </c>
    </row>
    <row r="26" spans="2:6" x14ac:dyDescent="0.4">
      <c r="D26" s="338"/>
      <c r="E26" s="51"/>
    </row>
    <row r="27" spans="2:6" x14ac:dyDescent="0.4">
      <c r="B27" s="174" t="s">
        <v>296</v>
      </c>
      <c r="C27" s="308"/>
      <c r="D27" s="339">
        <f ca="1">D25+D21+D15+D9</f>
        <v>0.9772630167069114</v>
      </c>
      <c r="E27" s="330">
        <f>E25+E21+E15+E9</f>
        <v>57410000</v>
      </c>
      <c r="F27" s="330">
        <f>F25+F21+F15+F9</f>
        <v>191366.66666666669</v>
      </c>
    </row>
    <row r="28" spans="2:6" x14ac:dyDescent="0.4">
      <c r="D28" s="335"/>
      <c r="E28" s="51"/>
    </row>
    <row r="29" spans="2:6" x14ac:dyDescent="0.4">
      <c r="B29" s="1" t="s">
        <v>94</v>
      </c>
      <c r="D29" s="336">
        <f ca="1">E29/$E$34</f>
        <v>6.8090089998739684E-3</v>
      </c>
      <c r="E29" s="253">
        <f>-Model!H150</f>
        <v>400000</v>
      </c>
      <c r="F29" s="244">
        <f>E29/'Inputs &amp; Drivers'!$E$8</f>
        <v>1333.3333333333333</v>
      </c>
    </row>
    <row r="30" spans="2:6" x14ac:dyDescent="0.4">
      <c r="B30" s="1" t="s">
        <v>284</v>
      </c>
      <c r="D30" s="336">
        <f ca="1">E30/$E$34</f>
        <v>1.5454494522905293E-2</v>
      </c>
      <c r="E30" s="309">
        <f ca="1">'Inputs &amp; Drivers'!J25</f>
        <v>907885.09888539417</v>
      </c>
      <c r="F30" s="244">
        <f ca="1">E30/'Inputs &amp; Drivers'!$E$8</f>
        <v>3026.283662951314</v>
      </c>
    </row>
    <row r="31" spans="2:6" x14ac:dyDescent="0.4">
      <c r="B31" s="1" t="s">
        <v>294</v>
      </c>
      <c r="D31" s="336">
        <f ca="1">E31/$E$34</f>
        <v>4.7347977030943864E-4</v>
      </c>
      <c r="E31" s="310">
        <f>'Inputs &amp; Drivers'!J26</f>
        <v>27814.900542396259</v>
      </c>
      <c r="F31" s="244">
        <f>E31/'Inputs &amp; Drivers'!$E$8</f>
        <v>92.716335141320869</v>
      </c>
    </row>
    <row r="32" spans="2:6" x14ac:dyDescent="0.4">
      <c r="B32" s="89" t="s">
        <v>297</v>
      </c>
      <c r="C32" s="89"/>
      <c r="D32" s="337">
        <f ca="1">SUM(D29:D31)</f>
        <v>2.2736983293088701E-2</v>
      </c>
      <c r="E32" s="168">
        <f ca="1">SUM(E29:E31)</f>
        <v>1335699.9994277905</v>
      </c>
      <c r="F32" s="168">
        <f ca="1">SUM(F29:F31)</f>
        <v>4452.333331425968</v>
      </c>
    </row>
    <row r="33" spans="2:6" x14ac:dyDescent="0.4">
      <c r="D33" s="338"/>
      <c r="E33" s="51"/>
    </row>
    <row r="34" spans="2:6" x14ac:dyDescent="0.4">
      <c r="B34" s="68" t="s">
        <v>243</v>
      </c>
      <c r="C34" s="96"/>
      <c r="D34" s="340">
        <f ca="1">D27+D32</f>
        <v>1</v>
      </c>
      <c r="E34" s="331">
        <f ca="1">E27+E32</f>
        <v>58745699.999427788</v>
      </c>
      <c r="F34" s="331">
        <f ca="1">F27+F32</f>
        <v>195818.99999809265</v>
      </c>
    </row>
    <row r="36" spans="2:6" x14ac:dyDescent="0.4">
      <c r="B36" s="94" t="s">
        <v>318</v>
      </c>
    </row>
    <row r="37" spans="2:6" x14ac:dyDescent="0.4">
      <c r="B37" s="1" t="s">
        <v>257</v>
      </c>
      <c r="D37" s="175" t="s">
        <v>259</v>
      </c>
      <c r="E37" s="255">
        <f>E14</f>
        <v>0</v>
      </c>
      <c r="F37" s="258">
        <f ca="1">E37/$E$34</f>
        <v>0</v>
      </c>
    </row>
    <row r="38" spans="2:6" x14ac:dyDescent="0.4">
      <c r="B38" s="1" t="s">
        <v>258</v>
      </c>
      <c r="D38" s="175" t="s">
        <v>260</v>
      </c>
      <c r="E38" s="255">
        <f>E20</f>
        <v>1650000</v>
      </c>
      <c r="F38" s="258">
        <f ca="1">E38/$E$34</f>
        <v>2.808716212448012E-2</v>
      </c>
    </row>
    <row r="39" spans="2:6" x14ac:dyDescent="0.4">
      <c r="B39" s="1" t="s">
        <v>256</v>
      </c>
      <c r="D39" s="311"/>
      <c r="E39" s="243">
        <f>E24</f>
        <v>0</v>
      </c>
      <c r="F39" s="258">
        <f ca="1">E39/$E$34</f>
        <v>0</v>
      </c>
    </row>
    <row r="40" spans="2:6" x14ac:dyDescent="0.4">
      <c r="B40" s="107" t="s">
        <v>3</v>
      </c>
      <c r="C40" s="107"/>
      <c r="D40" s="218" t="s">
        <v>317</v>
      </c>
      <c r="E40" s="312">
        <f>SUM(E37:E39)</f>
        <v>1650000</v>
      </c>
      <c r="F40" s="258">
        <f ca="1">E40/$E$34</f>
        <v>2.808716212448012E-2</v>
      </c>
    </row>
    <row r="41" spans="2:6" x14ac:dyDescent="0.4">
      <c r="E41" s="175"/>
      <c r="F41" s="13"/>
    </row>
    <row r="42" spans="2:6" x14ac:dyDescent="0.4">
      <c r="B42" s="94" t="s">
        <v>180</v>
      </c>
      <c r="E42" s="175"/>
      <c r="F42" s="13"/>
    </row>
    <row r="43" spans="2:6" x14ac:dyDescent="0.4">
      <c r="B43" s="1" t="s">
        <v>255</v>
      </c>
      <c r="E43" s="175" t="s">
        <v>319</v>
      </c>
      <c r="F43" s="259" cm="1">
        <f t="array" ref="F43">E23/SUM(E6:E8+E11:E13+E17:E19)</f>
        <v>3.2401407146824664E-2</v>
      </c>
    </row>
    <row r="45" spans="2:6" x14ac:dyDescent="0.4">
      <c r="B45" s="94" t="s">
        <v>285</v>
      </c>
    </row>
    <row r="46" spans="2:6" x14ac:dyDescent="0.4">
      <c r="B46" s="1" t="s">
        <v>154</v>
      </c>
      <c r="F46" s="243">
        <f ca="1">F48-F47</f>
        <v>18745699.999427788</v>
      </c>
    </row>
    <row r="47" spans="2:6" x14ac:dyDescent="0.4">
      <c r="B47" s="1" t="s">
        <v>155</v>
      </c>
      <c r="E47" s="251"/>
      <c r="F47" s="253">
        <f>'Inputs &amp; Drivers'!J16</f>
        <v>40000000</v>
      </c>
    </row>
    <row r="48" spans="2:6" x14ac:dyDescent="0.4">
      <c r="B48" s="107" t="s">
        <v>3</v>
      </c>
      <c r="C48" s="107"/>
      <c r="D48" s="107"/>
      <c r="E48" s="107"/>
      <c r="F48" s="313">
        <f ca="1">E34</f>
        <v>58745699.999427788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 Summary</vt:lpstr>
      <vt:lpstr>Inputs &amp; Drivers</vt:lpstr>
      <vt:lpstr>Model</vt:lpstr>
      <vt:lpstr>Development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Hancock</dc:creator>
  <cp:lastModifiedBy>Brady McCarron</cp:lastModifiedBy>
  <dcterms:created xsi:type="dcterms:W3CDTF">2019-11-29T00:20:24Z</dcterms:created>
  <dcterms:modified xsi:type="dcterms:W3CDTF">2026-08-13T16:48:14Z</dcterms:modified>
</cp:coreProperties>
</file>